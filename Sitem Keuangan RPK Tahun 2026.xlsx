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ham\Downloads\"/>
    </mc:Choice>
  </mc:AlternateContent>
  <xr:revisionPtr revIDLastSave="0" documentId="13_ncr:20001_{F80B77B1-CDB1-4FC2-9198-772B44788D2E}" xr6:coauthVersionLast="47" xr6:coauthVersionMax="47" xr10:uidLastSave="{00000000-0000-0000-0000-000000000000}"/>
  <bookViews>
    <workbookView xWindow="-108" yWindow="-108" windowWidth="23256" windowHeight="12456" firstSheet="2" activeTab="4" xr2:uid="{00000000-000D-0000-FFFF-FFFF00000000}"/>
  </bookViews>
  <sheets>
    <sheet name="PANDUAN" sheetId="1" r:id="rId1"/>
    <sheet name="DASHBOARD" sheetId="2" r:id="rId2"/>
    <sheet name="PERKARA" sheetId="12" r:id="rId3"/>
    <sheet name="PEMASUKAN" sheetId="3" r:id="rId4"/>
    <sheet name="PENGELUARAN" sheetId="4" r:id="rId5"/>
    <sheet name="KAS_BANK" sheetId="8" r:id="rId6"/>
    <sheet name="GAJI" sheetId="5" r:id="rId7"/>
    <sheet name="REIMBURSE" sheetId="6" r:id="rId8"/>
    <sheet name="INVOICE_PIUTANG" sheetId="7" r:id="rId9"/>
    <sheet name="INVOICE_CETAK" sheetId="19" r:id="rId10"/>
    <sheet name="DANA_KLIEN" sheetId="9" r:id="rId11"/>
    <sheet name="PARTNER" sheetId="10" r:id="rId12"/>
    <sheet name="EKUITAS" sheetId="11" r:id="rId13"/>
    <sheet name="ARUS_KAS" sheetId="15" r:id="rId14"/>
    <sheet name="ANGGARAN" sheetId="13" r:id="rId15"/>
    <sheet name="LABA_RUGI" sheetId="14" r:id="rId16"/>
    <sheet name="KEWAJIBAN" sheetId="16" r:id="rId17"/>
    <sheet name="KONTROL" sheetId="17" r:id="rId18"/>
    <sheet name="MASTER" sheetId="18" r:id="rId19"/>
    <sheet name="SLIP_GAJI" sheetId="20" r:id="rId20"/>
    <sheet name="UMUR_PIUTANG" sheetId="21" r:id="rId21"/>
    <sheet name="TALANGAN_PARTNER" sheetId="22" r:id="rId22"/>
    <sheet name="TRANSFER_KAS" sheetId="23" r:id="rId23"/>
    <sheet name="NERACA" sheetId="24" r:id="rId24"/>
    <sheet name="OTORISASI" sheetId="25" r:id="rId25"/>
    <sheet name="SALDO_AWAL_2026" sheetId="26" r:id="rId26"/>
  </sheets>
  <externalReferences>
    <externalReference r:id="rId27"/>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4" l="1"/>
  <c r="Y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5" i="12"/>
  <c r="E32" i="24"/>
  <c r="C5" i="7"/>
  <c r="Q9" i="5"/>
  <c r="P9" i="5"/>
  <c r="K9" i="5"/>
  <c r="K8" i="5"/>
  <c r="K7" i="5"/>
  <c r="K6" i="5"/>
  <c r="P5" i="5"/>
  <c r="K5" i="5"/>
  <c r="Q5" i="5" s="1"/>
  <c r="AF15" i="18"/>
  <c r="E15" i="4"/>
  <c r="Y15" i="4" s="1"/>
  <c r="C15" i="4"/>
  <c r="E14" i="4"/>
  <c r="Y14" i="4" s="1"/>
  <c r="C14" i="4"/>
  <c r="E13" i="4"/>
  <c r="Y13" i="4" s="1"/>
  <c r="C13" i="4"/>
  <c r="E12" i="4"/>
  <c r="Y12" i="4" s="1"/>
  <c r="C12" i="4"/>
  <c r="E11" i="4"/>
  <c r="Y11" i="4" s="1"/>
  <c r="C11" i="4"/>
  <c r="E10" i="4"/>
  <c r="Y10" i="4" s="1"/>
  <c r="C10" i="4"/>
  <c r="E9" i="4"/>
  <c r="Y9" i="4" s="1"/>
  <c r="C9" i="4"/>
  <c r="E8" i="4"/>
  <c r="Y8" i="4" s="1"/>
  <c r="C8" i="4"/>
  <c r="E7" i="4"/>
  <c r="Y7" i="4" s="1"/>
  <c r="C7" i="4"/>
  <c r="E6" i="4"/>
  <c r="Y6" i="4" s="1"/>
  <c r="C6" i="4"/>
  <c r="E5" i="4"/>
  <c r="Y5" i="4" s="1"/>
  <c r="C5" i="4"/>
  <c r="B4" i="2"/>
  <c r="A33" i="26"/>
  <c r="B25" i="26"/>
  <c r="A70" i="13"/>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24" i="26"/>
  <c r="A23" i="26"/>
  <c r="A22" i="26"/>
  <c r="B18" i="26"/>
  <c r="B17" i="26"/>
  <c r="B16" i="26"/>
  <c r="B29" i="26" s="1"/>
  <c r="D14" i="26"/>
  <c r="A14" i="26"/>
  <c r="D13" i="26"/>
  <c r="A13" i="26"/>
  <c r="D12" i="26"/>
  <c r="A12" i="26"/>
  <c r="D11" i="26"/>
  <c r="A11" i="26"/>
  <c r="D10" i="26"/>
  <c r="A10" i="26"/>
  <c r="A9" i="26"/>
  <c r="D9" i="26" s="1"/>
  <c r="H18" i="25"/>
  <c r="E18" i="25"/>
  <c r="D18" i="25"/>
  <c r="C18" i="25"/>
  <c r="I17" i="25"/>
  <c r="H17" i="25"/>
  <c r="E17" i="25"/>
  <c r="D17" i="25"/>
  <c r="C17" i="25"/>
  <c r="I16" i="25"/>
  <c r="H16" i="25"/>
  <c r="E16" i="25"/>
  <c r="D16" i="25"/>
  <c r="C16" i="25"/>
  <c r="H15" i="25"/>
  <c r="E15" i="25"/>
  <c r="D15" i="25"/>
  <c r="C15" i="25"/>
  <c r="I14" i="25"/>
  <c r="H14" i="25"/>
  <c r="E14" i="25"/>
  <c r="D14" i="25"/>
  <c r="C14" i="25"/>
  <c r="H13" i="25"/>
  <c r="E13" i="25"/>
  <c r="D13" i="25"/>
  <c r="C13" i="25"/>
  <c r="H12" i="25"/>
  <c r="E12" i="25"/>
  <c r="D12" i="25"/>
  <c r="C12" i="25"/>
  <c r="H11" i="25"/>
  <c r="E11" i="25"/>
  <c r="D11" i="25"/>
  <c r="C11" i="25"/>
  <c r="H10" i="25"/>
  <c r="E10" i="25"/>
  <c r="D10" i="25"/>
  <c r="C10" i="25"/>
  <c r="E17" i="24"/>
  <c r="E9" i="24"/>
  <c r="E8" i="24"/>
  <c r="R204" i="23"/>
  <c r="M204" i="23"/>
  <c r="H204" i="23"/>
  <c r="C204" i="23"/>
  <c r="A204" i="23"/>
  <c r="R203" i="23"/>
  <c r="M203" i="23"/>
  <c r="H203" i="23"/>
  <c r="C203" i="23"/>
  <c r="A203" i="23"/>
  <c r="R202" i="23"/>
  <c r="M202" i="23"/>
  <c r="H202" i="23"/>
  <c r="C202" i="23"/>
  <c r="A202" i="23"/>
  <c r="R201" i="23"/>
  <c r="M201" i="23"/>
  <c r="H201" i="23"/>
  <c r="C201" i="23"/>
  <c r="A201" i="23"/>
  <c r="R200" i="23"/>
  <c r="M200" i="23"/>
  <c r="H200" i="23"/>
  <c r="C200" i="23"/>
  <c r="A200" i="23"/>
  <c r="R199" i="23"/>
  <c r="M199" i="23"/>
  <c r="H199" i="23"/>
  <c r="C199" i="23"/>
  <c r="A199" i="23"/>
  <c r="R198" i="23"/>
  <c r="M198" i="23"/>
  <c r="H198" i="23"/>
  <c r="C198" i="23"/>
  <c r="A198" i="23"/>
  <c r="R197" i="23"/>
  <c r="M197" i="23"/>
  <c r="H197" i="23"/>
  <c r="C197" i="23"/>
  <c r="A197" i="23"/>
  <c r="R196" i="23"/>
  <c r="M196" i="23"/>
  <c r="H196" i="23"/>
  <c r="C196" i="23"/>
  <c r="A196" i="23"/>
  <c r="R195" i="23"/>
  <c r="M195" i="23"/>
  <c r="H195" i="23"/>
  <c r="C195" i="23"/>
  <c r="A195" i="23"/>
  <c r="R194" i="23"/>
  <c r="M194" i="23"/>
  <c r="H194" i="23"/>
  <c r="C194" i="23"/>
  <c r="A194" i="23"/>
  <c r="R193" i="23"/>
  <c r="M193" i="23"/>
  <c r="H193" i="23"/>
  <c r="C193" i="23"/>
  <c r="A193" i="23"/>
  <c r="R192" i="23"/>
  <c r="M192" i="23"/>
  <c r="H192" i="23"/>
  <c r="C192" i="23"/>
  <c r="A192" i="23"/>
  <c r="R191" i="23"/>
  <c r="M191" i="23"/>
  <c r="H191" i="23"/>
  <c r="C191" i="23"/>
  <c r="A191" i="23"/>
  <c r="R190" i="23"/>
  <c r="M190" i="23"/>
  <c r="H190" i="23"/>
  <c r="C190" i="23"/>
  <c r="A190" i="23"/>
  <c r="R189" i="23"/>
  <c r="M189" i="23"/>
  <c r="H189" i="23"/>
  <c r="C189" i="23"/>
  <c r="A189" i="23"/>
  <c r="R188" i="23"/>
  <c r="M188" i="23"/>
  <c r="H188" i="23"/>
  <c r="C188" i="23"/>
  <c r="A188" i="23"/>
  <c r="R187" i="23"/>
  <c r="M187" i="23"/>
  <c r="H187" i="23"/>
  <c r="C187" i="23"/>
  <c r="A187" i="23"/>
  <c r="R186" i="23"/>
  <c r="M186" i="23"/>
  <c r="H186" i="23"/>
  <c r="C186" i="23"/>
  <c r="A186" i="23"/>
  <c r="R185" i="23"/>
  <c r="M185" i="23"/>
  <c r="H185" i="23"/>
  <c r="C185" i="23"/>
  <c r="A185" i="23"/>
  <c r="R184" i="23"/>
  <c r="M184" i="23"/>
  <c r="H184" i="23"/>
  <c r="C184" i="23"/>
  <c r="A184" i="23"/>
  <c r="R183" i="23"/>
  <c r="M183" i="23"/>
  <c r="H183" i="23"/>
  <c r="C183" i="23"/>
  <c r="A183" i="23"/>
  <c r="R182" i="23"/>
  <c r="M182" i="23"/>
  <c r="H182" i="23"/>
  <c r="C182" i="23"/>
  <c r="A182" i="23"/>
  <c r="R181" i="23"/>
  <c r="M181" i="23"/>
  <c r="H181" i="23"/>
  <c r="C181" i="23"/>
  <c r="A181" i="23"/>
  <c r="R180" i="23"/>
  <c r="M180" i="23"/>
  <c r="H180" i="23"/>
  <c r="C180" i="23"/>
  <c r="A180" i="23"/>
  <c r="R179" i="23"/>
  <c r="M179" i="23"/>
  <c r="H179" i="23"/>
  <c r="C179" i="23"/>
  <c r="A179" i="23"/>
  <c r="R178" i="23"/>
  <c r="M178" i="23"/>
  <c r="H178" i="23"/>
  <c r="C178" i="23"/>
  <c r="A178" i="23"/>
  <c r="R177" i="23"/>
  <c r="M177" i="23"/>
  <c r="H177" i="23"/>
  <c r="C177" i="23"/>
  <c r="A177" i="23"/>
  <c r="R176" i="23"/>
  <c r="M176" i="23"/>
  <c r="H176" i="23"/>
  <c r="C176" i="23"/>
  <c r="A176" i="23"/>
  <c r="R175" i="23"/>
  <c r="M175" i="23"/>
  <c r="H175" i="23"/>
  <c r="C175" i="23"/>
  <c r="A175" i="23"/>
  <c r="R174" i="23"/>
  <c r="M174" i="23"/>
  <c r="H174" i="23"/>
  <c r="C174" i="23"/>
  <c r="A174" i="23"/>
  <c r="R173" i="23"/>
  <c r="M173" i="23"/>
  <c r="H173" i="23"/>
  <c r="C173" i="23"/>
  <c r="A173" i="23"/>
  <c r="R172" i="23"/>
  <c r="M172" i="23"/>
  <c r="H172" i="23"/>
  <c r="C172" i="23"/>
  <c r="A172" i="23"/>
  <c r="R171" i="23"/>
  <c r="M171" i="23"/>
  <c r="H171" i="23"/>
  <c r="C171" i="23"/>
  <c r="A171" i="23"/>
  <c r="R170" i="23"/>
  <c r="M170" i="23"/>
  <c r="H170" i="23"/>
  <c r="C170" i="23"/>
  <c r="A170" i="23"/>
  <c r="R169" i="23"/>
  <c r="M169" i="23"/>
  <c r="H169" i="23"/>
  <c r="C169" i="23"/>
  <c r="A169" i="23"/>
  <c r="R168" i="23"/>
  <c r="M168" i="23"/>
  <c r="H168" i="23"/>
  <c r="C168" i="23"/>
  <c r="A168" i="23"/>
  <c r="R167" i="23"/>
  <c r="M167" i="23"/>
  <c r="H167" i="23"/>
  <c r="C167" i="23"/>
  <c r="A167" i="23"/>
  <c r="R166" i="23"/>
  <c r="M166" i="23"/>
  <c r="H166" i="23"/>
  <c r="C166" i="23"/>
  <c r="A166" i="23"/>
  <c r="R165" i="23"/>
  <c r="M165" i="23"/>
  <c r="H165" i="23"/>
  <c r="C165" i="23"/>
  <c r="A165" i="23"/>
  <c r="R164" i="23"/>
  <c r="M164" i="23"/>
  <c r="H164" i="23"/>
  <c r="C164" i="23"/>
  <c r="A164" i="23"/>
  <c r="R163" i="23"/>
  <c r="M163" i="23"/>
  <c r="H163" i="23"/>
  <c r="C163" i="23"/>
  <c r="A163" i="23"/>
  <c r="R162" i="23"/>
  <c r="M162" i="23"/>
  <c r="H162" i="23"/>
  <c r="C162" i="23"/>
  <c r="A162" i="23"/>
  <c r="R161" i="23"/>
  <c r="M161" i="23"/>
  <c r="H161" i="23"/>
  <c r="C161" i="23"/>
  <c r="A161" i="23"/>
  <c r="R160" i="23"/>
  <c r="M160" i="23"/>
  <c r="H160" i="23"/>
  <c r="C160" i="23"/>
  <c r="A160" i="23"/>
  <c r="R159" i="23"/>
  <c r="M159" i="23"/>
  <c r="H159" i="23"/>
  <c r="C159" i="23"/>
  <c r="A159" i="23"/>
  <c r="R158" i="23"/>
  <c r="M158" i="23"/>
  <c r="H158" i="23"/>
  <c r="C158" i="23"/>
  <c r="A158" i="23"/>
  <c r="R157" i="23"/>
  <c r="M157" i="23"/>
  <c r="H157" i="23"/>
  <c r="C157" i="23"/>
  <c r="A157" i="23"/>
  <c r="R156" i="23"/>
  <c r="M156" i="23"/>
  <c r="H156" i="23"/>
  <c r="C156" i="23"/>
  <c r="A156" i="23"/>
  <c r="R155" i="23"/>
  <c r="M155" i="23"/>
  <c r="H155" i="23"/>
  <c r="C155" i="23"/>
  <c r="A155" i="23"/>
  <c r="R154" i="23"/>
  <c r="M154" i="23"/>
  <c r="H154" i="23"/>
  <c r="C154" i="23"/>
  <c r="A154" i="23"/>
  <c r="R153" i="23"/>
  <c r="M153" i="23"/>
  <c r="H153" i="23"/>
  <c r="C153" i="23"/>
  <c r="A153" i="23"/>
  <c r="R152" i="23"/>
  <c r="M152" i="23"/>
  <c r="H152" i="23"/>
  <c r="C152" i="23"/>
  <c r="A152" i="23"/>
  <c r="R151" i="23"/>
  <c r="M151" i="23"/>
  <c r="H151" i="23"/>
  <c r="C151" i="23"/>
  <c r="A151" i="23"/>
  <c r="R150" i="23"/>
  <c r="M150" i="23"/>
  <c r="H150" i="23"/>
  <c r="C150" i="23"/>
  <c r="A150" i="23"/>
  <c r="R149" i="23"/>
  <c r="M149" i="23"/>
  <c r="H149" i="23"/>
  <c r="C149" i="23"/>
  <c r="A149" i="23"/>
  <c r="R148" i="23"/>
  <c r="M148" i="23"/>
  <c r="H148" i="23"/>
  <c r="C148" i="23"/>
  <c r="A148" i="23"/>
  <c r="R147" i="23"/>
  <c r="M147" i="23"/>
  <c r="H147" i="23"/>
  <c r="C147" i="23"/>
  <c r="A147" i="23"/>
  <c r="R146" i="23"/>
  <c r="M146" i="23"/>
  <c r="H146" i="23"/>
  <c r="C146" i="23"/>
  <c r="A146" i="23"/>
  <c r="R145" i="23"/>
  <c r="M145" i="23"/>
  <c r="H145" i="23"/>
  <c r="C145" i="23"/>
  <c r="A145" i="23"/>
  <c r="R144" i="23"/>
  <c r="M144" i="23"/>
  <c r="H144" i="23"/>
  <c r="C144" i="23"/>
  <c r="A144" i="23"/>
  <c r="R143" i="23"/>
  <c r="M143" i="23"/>
  <c r="H143" i="23"/>
  <c r="C143" i="23"/>
  <c r="A143" i="23"/>
  <c r="R142" i="23"/>
  <c r="M142" i="23"/>
  <c r="H142" i="23"/>
  <c r="C142" i="23"/>
  <c r="A142" i="23"/>
  <c r="R141" i="23"/>
  <c r="M141" i="23"/>
  <c r="H141" i="23"/>
  <c r="C141" i="23"/>
  <c r="A141" i="23"/>
  <c r="R140" i="23"/>
  <c r="M140" i="23"/>
  <c r="H140" i="23"/>
  <c r="C140" i="23"/>
  <c r="A140" i="23"/>
  <c r="R139" i="23"/>
  <c r="M139" i="23"/>
  <c r="H139" i="23"/>
  <c r="C139" i="23"/>
  <c r="A139" i="23"/>
  <c r="R138" i="23"/>
  <c r="M138" i="23"/>
  <c r="H138" i="23"/>
  <c r="C138" i="23"/>
  <c r="A138" i="23"/>
  <c r="R137" i="23"/>
  <c r="M137" i="23"/>
  <c r="H137" i="23"/>
  <c r="C137" i="23"/>
  <c r="A137" i="23"/>
  <c r="R136" i="23"/>
  <c r="M136" i="23"/>
  <c r="H136" i="23"/>
  <c r="C136" i="23"/>
  <c r="A136" i="23"/>
  <c r="R135" i="23"/>
  <c r="M135" i="23"/>
  <c r="H135" i="23"/>
  <c r="C135" i="23"/>
  <c r="A135" i="23"/>
  <c r="R134" i="23"/>
  <c r="M134" i="23"/>
  <c r="H134" i="23"/>
  <c r="C134" i="23"/>
  <c r="A134" i="23"/>
  <c r="R133" i="23"/>
  <c r="M133" i="23"/>
  <c r="H133" i="23"/>
  <c r="C133" i="23"/>
  <c r="A133" i="23"/>
  <c r="R132" i="23"/>
  <c r="M132" i="23"/>
  <c r="H132" i="23"/>
  <c r="C132" i="23"/>
  <c r="A132" i="23"/>
  <c r="R131" i="23"/>
  <c r="M131" i="23"/>
  <c r="H131" i="23"/>
  <c r="C131" i="23"/>
  <c r="A131" i="23"/>
  <c r="R130" i="23"/>
  <c r="M130" i="23"/>
  <c r="H130" i="23"/>
  <c r="C130" i="23"/>
  <c r="A130" i="23"/>
  <c r="R129" i="23"/>
  <c r="M129" i="23"/>
  <c r="H129" i="23"/>
  <c r="C129" i="23"/>
  <c r="A129" i="23"/>
  <c r="R128" i="23"/>
  <c r="M128" i="23"/>
  <c r="H128" i="23"/>
  <c r="C128" i="23"/>
  <c r="A128" i="23"/>
  <c r="R127" i="23"/>
  <c r="M127" i="23"/>
  <c r="H127" i="23"/>
  <c r="C127" i="23"/>
  <c r="A127" i="23"/>
  <c r="R126" i="23"/>
  <c r="M126" i="23"/>
  <c r="H126" i="23"/>
  <c r="C126" i="23"/>
  <c r="A126" i="23"/>
  <c r="R125" i="23"/>
  <c r="M125" i="23"/>
  <c r="H125" i="23"/>
  <c r="C125" i="23"/>
  <c r="A125" i="23"/>
  <c r="R124" i="23"/>
  <c r="M124" i="23"/>
  <c r="H124" i="23"/>
  <c r="C124" i="23"/>
  <c r="A124" i="23"/>
  <c r="R123" i="23"/>
  <c r="M123" i="23"/>
  <c r="H123" i="23"/>
  <c r="C123" i="23"/>
  <c r="A123" i="23"/>
  <c r="R122" i="23"/>
  <c r="M122" i="23"/>
  <c r="H122" i="23"/>
  <c r="C122" i="23"/>
  <c r="A122" i="23"/>
  <c r="R121" i="23"/>
  <c r="M121" i="23"/>
  <c r="H121" i="23"/>
  <c r="C121" i="23"/>
  <c r="A121" i="23"/>
  <c r="R120" i="23"/>
  <c r="M120" i="23"/>
  <c r="H120" i="23"/>
  <c r="C120" i="23"/>
  <c r="A120" i="23"/>
  <c r="R119" i="23"/>
  <c r="M119" i="23"/>
  <c r="H119" i="23"/>
  <c r="C119" i="23"/>
  <c r="A119" i="23"/>
  <c r="R118" i="23"/>
  <c r="M118" i="23"/>
  <c r="H118" i="23"/>
  <c r="C118" i="23"/>
  <c r="A118" i="23"/>
  <c r="R117" i="23"/>
  <c r="M117" i="23"/>
  <c r="H117" i="23"/>
  <c r="C117" i="23"/>
  <c r="A117" i="23"/>
  <c r="R116" i="23"/>
  <c r="M116" i="23"/>
  <c r="H116" i="23"/>
  <c r="C116" i="23"/>
  <c r="A116" i="23"/>
  <c r="R115" i="23"/>
  <c r="M115" i="23"/>
  <c r="H115" i="23"/>
  <c r="C115" i="23"/>
  <c r="A115" i="23"/>
  <c r="R114" i="23"/>
  <c r="M114" i="23"/>
  <c r="H114" i="23"/>
  <c r="C114" i="23"/>
  <c r="A114" i="23"/>
  <c r="R113" i="23"/>
  <c r="M113" i="23"/>
  <c r="H113" i="23"/>
  <c r="C113" i="23"/>
  <c r="A113" i="23"/>
  <c r="R112" i="23"/>
  <c r="M112" i="23"/>
  <c r="H112" i="23"/>
  <c r="C112" i="23"/>
  <c r="A112" i="23"/>
  <c r="R111" i="23"/>
  <c r="M111" i="23"/>
  <c r="H111" i="23"/>
  <c r="C111" i="23"/>
  <c r="A111" i="23"/>
  <c r="R110" i="23"/>
  <c r="M110" i="23"/>
  <c r="H110" i="23"/>
  <c r="C110" i="23"/>
  <c r="A110" i="23"/>
  <c r="R109" i="23"/>
  <c r="M109" i="23"/>
  <c r="H109" i="23"/>
  <c r="C109" i="23"/>
  <c r="A109" i="23"/>
  <c r="R108" i="23"/>
  <c r="M108" i="23"/>
  <c r="H108" i="23"/>
  <c r="C108" i="23"/>
  <c r="A108" i="23"/>
  <c r="R107" i="23"/>
  <c r="M107" i="23"/>
  <c r="H107" i="23"/>
  <c r="C107" i="23"/>
  <c r="A107" i="23"/>
  <c r="R106" i="23"/>
  <c r="M106" i="23"/>
  <c r="H106" i="23"/>
  <c r="C106" i="23"/>
  <c r="A106" i="23"/>
  <c r="R105" i="23"/>
  <c r="M105" i="23"/>
  <c r="H105" i="23"/>
  <c r="C105" i="23"/>
  <c r="A105" i="23"/>
  <c r="R104" i="23"/>
  <c r="M104" i="23"/>
  <c r="H104" i="23"/>
  <c r="C104" i="23"/>
  <c r="A104" i="23"/>
  <c r="R103" i="23"/>
  <c r="M103" i="23"/>
  <c r="H103" i="23"/>
  <c r="C103" i="23"/>
  <c r="A103" i="23"/>
  <c r="R102" i="23"/>
  <c r="M102" i="23"/>
  <c r="H102" i="23"/>
  <c r="C102" i="23"/>
  <c r="A102" i="23"/>
  <c r="R101" i="23"/>
  <c r="M101" i="23"/>
  <c r="H101" i="23"/>
  <c r="C101" i="23"/>
  <c r="A101" i="23"/>
  <c r="R100" i="23"/>
  <c r="M100" i="23"/>
  <c r="H100" i="23"/>
  <c r="C100" i="23"/>
  <c r="A100" i="23"/>
  <c r="R99" i="23"/>
  <c r="M99" i="23"/>
  <c r="H99" i="23"/>
  <c r="C99" i="23"/>
  <c r="A99" i="23"/>
  <c r="R98" i="23"/>
  <c r="M98" i="23"/>
  <c r="H98" i="23"/>
  <c r="C98" i="23"/>
  <c r="A98" i="23"/>
  <c r="R97" i="23"/>
  <c r="M97" i="23"/>
  <c r="H97" i="23"/>
  <c r="C97" i="23"/>
  <c r="A97" i="23"/>
  <c r="R96" i="23"/>
  <c r="M96" i="23"/>
  <c r="H96" i="23"/>
  <c r="C96" i="23"/>
  <c r="A96" i="23"/>
  <c r="R95" i="23"/>
  <c r="M95" i="23"/>
  <c r="H95" i="23"/>
  <c r="C95" i="23"/>
  <c r="A95" i="23"/>
  <c r="R94" i="23"/>
  <c r="M94" i="23"/>
  <c r="H94" i="23"/>
  <c r="C94" i="23"/>
  <c r="A94" i="23"/>
  <c r="R93" i="23"/>
  <c r="M93" i="23"/>
  <c r="H93" i="23"/>
  <c r="C93" i="23"/>
  <c r="A93" i="23"/>
  <c r="R92" i="23"/>
  <c r="M92" i="23"/>
  <c r="H92" i="23"/>
  <c r="C92" i="23"/>
  <c r="A92" i="23"/>
  <c r="R91" i="23"/>
  <c r="M91" i="23"/>
  <c r="H91" i="23"/>
  <c r="C91" i="23"/>
  <c r="A91" i="23"/>
  <c r="R90" i="23"/>
  <c r="M90" i="23"/>
  <c r="H90" i="23"/>
  <c r="C90" i="23"/>
  <c r="A90" i="23"/>
  <c r="R89" i="23"/>
  <c r="M89" i="23"/>
  <c r="H89" i="23"/>
  <c r="C89" i="23"/>
  <c r="A89" i="23"/>
  <c r="R88" i="23"/>
  <c r="M88" i="23"/>
  <c r="H88" i="23"/>
  <c r="C88" i="23"/>
  <c r="A88" i="23"/>
  <c r="R87" i="23"/>
  <c r="M87" i="23"/>
  <c r="H87" i="23"/>
  <c r="C87" i="23"/>
  <c r="A87" i="23"/>
  <c r="R86" i="23"/>
  <c r="M86" i="23"/>
  <c r="H86" i="23"/>
  <c r="C86" i="23"/>
  <c r="A86" i="23"/>
  <c r="R85" i="23"/>
  <c r="M85" i="23"/>
  <c r="H85" i="23"/>
  <c r="C85" i="23"/>
  <c r="A85" i="23"/>
  <c r="R84" i="23"/>
  <c r="M84" i="23"/>
  <c r="H84" i="23"/>
  <c r="C84" i="23"/>
  <c r="A84" i="23"/>
  <c r="R83" i="23"/>
  <c r="M83" i="23"/>
  <c r="H83" i="23"/>
  <c r="C83" i="23"/>
  <c r="A83" i="23"/>
  <c r="R82" i="23"/>
  <c r="M82" i="23"/>
  <c r="H82" i="23"/>
  <c r="C82" i="23"/>
  <c r="A82" i="23"/>
  <c r="R81" i="23"/>
  <c r="M81" i="23"/>
  <c r="H81" i="23"/>
  <c r="C81" i="23"/>
  <c r="A81" i="23"/>
  <c r="R80" i="23"/>
  <c r="M80" i="23"/>
  <c r="H80" i="23"/>
  <c r="C80" i="23"/>
  <c r="A80" i="23"/>
  <c r="R79" i="23"/>
  <c r="M79" i="23"/>
  <c r="H79" i="23"/>
  <c r="C79" i="23"/>
  <c r="A79" i="23"/>
  <c r="R78" i="23"/>
  <c r="M78" i="23"/>
  <c r="H78" i="23"/>
  <c r="C78" i="23"/>
  <c r="A78" i="23"/>
  <c r="R77" i="23"/>
  <c r="M77" i="23"/>
  <c r="H77" i="23"/>
  <c r="C77" i="23"/>
  <c r="A77" i="23"/>
  <c r="R76" i="23"/>
  <c r="M76" i="23"/>
  <c r="H76" i="23"/>
  <c r="C76" i="23"/>
  <c r="A76" i="23"/>
  <c r="R75" i="23"/>
  <c r="M75" i="23"/>
  <c r="H75" i="23"/>
  <c r="C75" i="23"/>
  <c r="A75" i="23"/>
  <c r="R74" i="23"/>
  <c r="M74" i="23"/>
  <c r="H74" i="23"/>
  <c r="C74" i="23"/>
  <c r="A74" i="23"/>
  <c r="R73" i="23"/>
  <c r="M73" i="23"/>
  <c r="H73" i="23"/>
  <c r="C73" i="23"/>
  <c r="A73" i="23"/>
  <c r="R72" i="23"/>
  <c r="M72" i="23"/>
  <c r="H72" i="23"/>
  <c r="C72" i="23"/>
  <c r="A72" i="23"/>
  <c r="R71" i="23"/>
  <c r="M71" i="23"/>
  <c r="H71" i="23"/>
  <c r="C71" i="23"/>
  <c r="A71" i="23"/>
  <c r="R70" i="23"/>
  <c r="M70" i="23"/>
  <c r="H70" i="23"/>
  <c r="C70" i="23"/>
  <c r="A70" i="23"/>
  <c r="R69" i="23"/>
  <c r="M69" i="23"/>
  <c r="H69" i="23"/>
  <c r="C69" i="23"/>
  <c r="A69" i="23"/>
  <c r="R68" i="23"/>
  <c r="M68" i="23"/>
  <c r="H68" i="23"/>
  <c r="C68" i="23"/>
  <c r="A68" i="23"/>
  <c r="R67" i="23"/>
  <c r="M67" i="23"/>
  <c r="H67" i="23"/>
  <c r="C67" i="23"/>
  <c r="A67" i="23"/>
  <c r="R66" i="23"/>
  <c r="M66" i="23"/>
  <c r="H66" i="23"/>
  <c r="C66" i="23"/>
  <c r="A66" i="23"/>
  <c r="R65" i="23"/>
  <c r="M65" i="23"/>
  <c r="H65" i="23"/>
  <c r="C65" i="23"/>
  <c r="A65" i="23"/>
  <c r="R64" i="23"/>
  <c r="M64" i="23"/>
  <c r="H64" i="23"/>
  <c r="C64" i="23"/>
  <c r="A64" i="23"/>
  <c r="R63" i="23"/>
  <c r="M63" i="23"/>
  <c r="H63" i="23"/>
  <c r="C63" i="23"/>
  <c r="A63" i="23"/>
  <c r="R62" i="23"/>
  <c r="M62" i="23"/>
  <c r="H62" i="23"/>
  <c r="C62" i="23"/>
  <c r="A62" i="23"/>
  <c r="R61" i="23"/>
  <c r="M61" i="23"/>
  <c r="H61" i="23"/>
  <c r="C61" i="23"/>
  <c r="A61" i="23"/>
  <c r="R60" i="23"/>
  <c r="M60" i="23"/>
  <c r="H60" i="23"/>
  <c r="C60" i="23"/>
  <c r="A60" i="23"/>
  <c r="R59" i="23"/>
  <c r="M59" i="23"/>
  <c r="H59" i="23"/>
  <c r="C59" i="23"/>
  <c r="A59" i="23"/>
  <c r="R58" i="23"/>
  <c r="M58" i="23"/>
  <c r="H58" i="23"/>
  <c r="C58" i="23"/>
  <c r="A58" i="23"/>
  <c r="R57" i="23"/>
  <c r="M57" i="23"/>
  <c r="H57" i="23"/>
  <c r="C57" i="23"/>
  <c r="A57" i="23"/>
  <c r="R56" i="23"/>
  <c r="M56" i="23"/>
  <c r="H56" i="23"/>
  <c r="C56" i="23"/>
  <c r="A56" i="23"/>
  <c r="R55" i="23"/>
  <c r="M55" i="23"/>
  <c r="H55" i="23"/>
  <c r="C55" i="23"/>
  <c r="A55" i="23"/>
  <c r="R54" i="23"/>
  <c r="M54" i="23"/>
  <c r="H54" i="23"/>
  <c r="C54" i="23"/>
  <c r="A54" i="23"/>
  <c r="R53" i="23"/>
  <c r="M53" i="23"/>
  <c r="H53" i="23"/>
  <c r="C53" i="23"/>
  <c r="A53" i="23"/>
  <c r="R52" i="23"/>
  <c r="M52" i="23"/>
  <c r="H52" i="23"/>
  <c r="C52" i="23"/>
  <c r="A52" i="23"/>
  <c r="R51" i="23"/>
  <c r="M51" i="23"/>
  <c r="H51" i="23"/>
  <c r="C51" i="23"/>
  <c r="A51" i="23"/>
  <c r="R50" i="23"/>
  <c r="M50" i="23"/>
  <c r="H50" i="23"/>
  <c r="C50" i="23"/>
  <c r="A50" i="23"/>
  <c r="R49" i="23"/>
  <c r="M49" i="23"/>
  <c r="H49" i="23"/>
  <c r="C49" i="23"/>
  <c r="A49" i="23"/>
  <c r="R48" i="23"/>
  <c r="M48" i="23"/>
  <c r="H48" i="23"/>
  <c r="C48" i="23"/>
  <c r="A48" i="23"/>
  <c r="R47" i="23"/>
  <c r="M47" i="23"/>
  <c r="H47" i="23"/>
  <c r="C47" i="23"/>
  <c r="A47" i="23"/>
  <c r="R46" i="23"/>
  <c r="M46" i="23"/>
  <c r="H46" i="23"/>
  <c r="C46" i="23"/>
  <c r="A46" i="23"/>
  <c r="R45" i="23"/>
  <c r="M45" i="23"/>
  <c r="H45" i="23"/>
  <c r="C45" i="23"/>
  <c r="A45" i="23"/>
  <c r="R44" i="23"/>
  <c r="M44" i="23"/>
  <c r="H44" i="23"/>
  <c r="C44" i="23"/>
  <c r="A44" i="23"/>
  <c r="R43" i="23"/>
  <c r="M43" i="23"/>
  <c r="H43" i="23"/>
  <c r="C43" i="23"/>
  <c r="A43" i="23"/>
  <c r="R42" i="23"/>
  <c r="M42" i="23"/>
  <c r="H42" i="23"/>
  <c r="C42" i="23"/>
  <c r="A42" i="23"/>
  <c r="R41" i="23"/>
  <c r="M41" i="23"/>
  <c r="H41" i="23"/>
  <c r="C41" i="23"/>
  <c r="A41" i="23"/>
  <c r="R40" i="23"/>
  <c r="M40" i="23"/>
  <c r="H40" i="23"/>
  <c r="C40" i="23"/>
  <c r="A40" i="23"/>
  <c r="R39" i="23"/>
  <c r="M39" i="23"/>
  <c r="H39" i="23"/>
  <c r="C39" i="23"/>
  <c r="A39" i="23"/>
  <c r="R38" i="23"/>
  <c r="M38" i="23"/>
  <c r="H38" i="23"/>
  <c r="C38" i="23"/>
  <c r="A38" i="23"/>
  <c r="R37" i="23"/>
  <c r="M37" i="23"/>
  <c r="H37" i="23"/>
  <c r="C37" i="23"/>
  <c r="A37" i="23"/>
  <c r="R36" i="23"/>
  <c r="M36" i="23"/>
  <c r="H36" i="23"/>
  <c r="C36" i="23"/>
  <c r="A36" i="23"/>
  <c r="R35" i="23"/>
  <c r="M35" i="23"/>
  <c r="H35" i="23"/>
  <c r="C35" i="23"/>
  <c r="A35" i="23"/>
  <c r="R34" i="23"/>
  <c r="M34" i="23"/>
  <c r="H34" i="23"/>
  <c r="C34" i="23"/>
  <c r="A34" i="23"/>
  <c r="R33" i="23"/>
  <c r="M33" i="23"/>
  <c r="H33" i="23"/>
  <c r="C33" i="23"/>
  <c r="A33" i="23"/>
  <c r="R32" i="23"/>
  <c r="M32" i="23"/>
  <c r="H32" i="23"/>
  <c r="C32" i="23"/>
  <c r="A32" i="23"/>
  <c r="R31" i="23"/>
  <c r="M31" i="23"/>
  <c r="H31" i="23"/>
  <c r="C31" i="23"/>
  <c r="A31" i="23"/>
  <c r="R30" i="23"/>
  <c r="M30" i="23"/>
  <c r="H30" i="23"/>
  <c r="C30" i="23"/>
  <c r="A30" i="23"/>
  <c r="R29" i="23"/>
  <c r="M29" i="23"/>
  <c r="H29" i="23"/>
  <c r="C29" i="23"/>
  <c r="A29" i="23"/>
  <c r="R28" i="23"/>
  <c r="M28" i="23"/>
  <c r="H28" i="23"/>
  <c r="C28" i="23"/>
  <c r="A28" i="23"/>
  <c r="R27" i="23"/>
  <c r="M27" i="23"/>
  <c r="H27" i="23"/>
  <c r="C27" i="23"/>
  <c r="A27" i="23"/>
  <c r="R26" i="23"/>
  <c r="M26" i="23"/>
  <c r="H26" i="23"/>
  <c r="C26" i="23"/>
  <c r="A26" i="23"/>
  <c r="R25" i="23"/>
  <c r="M25" i="23"/>
  <c r="H25" i="23"/>
  <c r="C25" i="23"/>
  <c r="A25" i="23"/>
  <c r="R24" i="23"/>
  <c r="M24" i="23"/>
  <c r="H24" i="23"/>
  <c r="C24" i="23"/>
  <c r="A24" i="23"/>
  <c r="R23" i="23"/>
  <c r="M23" i="23"/>
  <c r="H23" i="23"/>
  <c r="C23" i="23"/>
  <c r="A23" i="23"/>
  <c r="R22" i="23"/>
  <c r="M22" i="23"/>
  <c r="H22" i="23"/>
  <c r="C22" i="23"/>
  <c r="A22" i="23"/>
  <c r="R21" i="23"/>
  <c r="M21" i="23"/>
  <c r="H21" i="23"/>
  <c r="C21" i="23"/>
  <c r="A21" i="23"/>
  <c r="R20" i="23"/>
  <c r="M20" i="23"/>
  <c r="H20" i="23"/>
  <c r="C20" i="23"/>
  <c r="A20" i="23"/>
  <c r="R19" i="23"/>
  <c r="M19" i="23"/>
  <c r="H19" i="23"/>
  <c r="C19" i="23"/>
  <c r="A19" i="23"/>
  <c r="R18" i="23"/>
  <c r="M18" i="23"/>
  <c r="H18" i="23"/>
  <c r="C18" i="23"/>
  <c r="A18" i="23"/>
  <c r="R17" i="23"/>
  <c r="M17" i="23"/>
  <c r="H17" i="23"/>
  <c r="C17" i="23"/>
  <c r="A17" i="23"/>
  <c r="R16" i="23"/>
  <c r="M16" i="23"/>
  <c r="H16" i="23"/>
  <c r="C16" i="23"/>
  <c r="A16" i="23"/>
  <c r="R15" i="23"/>
  <c r="M15" i="23"/>
  <c r="H15" i="23"/>
  <c r="C15" i="23"/>
  <c r="A15" i="23"/>
  <c r="R14" i="23"/>
  <c r="M14" i="23"/>
  <c r="H14" i="23"/>
  <c r="C14" i="23"/>
  <c r="A14" i="23"/>
  <c r="R13" i="23"/>
  <c r="M13" i="23"/>
  <c r="H13" i="23"/>
  <c r="C13" i="23"/>
  <c r="A13" i="23"/>
  <c r="R12" i="23"/>
  <c r="M12" i="23"/>
  <c r="H12" i="23"/>
  <c r="C12" i="23"/>
  <c r="A12" i="23"/>
  <c r="R11" i="23"/>
  <c r="M11" i="23"/>
  <c r="H11" i="23"/>
  <c r="C11" i="23"/>
  <c r="A11" i="23"/>
  <c r="R10" i="23"/>
  <c r="M10" i="23"/>
  <c r="H10" i="23"/>
  <c r="C10" i="23"/>
  <c r="A10" i="23"/>
  <c r="R9" i="23"/>
  <c r="M9" i="23"/>
  <c r="H9" i="23"/>
  <c r="C9" i="23"/>
  <c r="A9" i="23"/>
  <c r="R8" i="23"/>
  <c r="M8" i="23"/>
  <c r="H8" i="23"/>
  <c r="C8" i="23"/>
  <c r="A8" i="23"/>
  <c r="R7" i="23"/>
  <c r="M7" i="23"/>
  <c r="H7" i="23"/>
  <c r="C7" i="23"/>
  <c r="A7" i="23"/>
  <c r="R6" i="23"/>
  <c r="M6" i="23"/>
  <c r="H6" i="23"/>
  <c r="C6" i="23"/>
  <c r="A6" i="23"/>
  <c r="R5" i="23"/>
  <c r="F17" i="25" s="1"/>
  <c r="M5" i="23"/>
  <c r="H5" i="23"/>
  <c r="C5" i="23"/>
  <c r="A5" i="23"/>
  <c r="B8" i="22"/>
  <c r="A8" i="22"/>
  <c r="B7" i="22"/>
  <c r="A7" i="22"/>
  <c r="B6" i="22"/>
  <c r="A6" i="22"/>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J72" i="21"/>
  <c r="I72"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G48" i="20"/>
  <c r="B48" i="20"/>
  <c r="J40" i="20"/>
  <c r="E40" i="20"/>
  <c r="I34" i="20"/>
  <c r="J31" i="20"/>
  <c r="E31" i="20"/>
  <c r="E29" i="20"/>
  <c r="E28" i="20"/>
  <c r="J27" i="20"/>
  <c r="E27" i="20"/>
  <c r="J26" i="20"/>
  <c r="E26" i="20"/>
  <c r="J25" i="20"/>
  <c r="E25" i="20"/>
  <c r="I20" i="20"/>
  <c r="D20" i="20"/>
  <c r="I19" i="20"/>
  <c r="D19" i="20"/>
  <c r="I18" i="20"/>
  <c r="D18" i="20"/>
  <c r="I17" i="20"/>
  <c r="D17" i="20"/>
  <c r="D41" i="19"/>
  <c r="D40" i="19"/>
  <c r="D39" i="19"/>
  <c r="B64" i="17"/>
  <c r="M54" i="2" s="1"/>
  <c r="B63" i="17"/>
  <c r="B62" i="17"/>
  <c r="B60" i="17"/>
  <c r="B59" i="17"/>
  <c r="B56" i="17"/>
  <c r="B52" i="17"/>
  <c r="B51" i="17"/>
  <c r="B49" i="17"/>
  <c r="B43" i="17"/>
  <c r="B40" i="17"/>
  <c r="B39" i="17"/>
  <c r="B37" i="17"/>
  <c r="B34" i="17"/>
  <c r="B33" i="17"/>
  <c r="B27" i="17"/>
  <c r="B19" i="17"/>
  <c r="B18" i="17"/>
  <c r="B15" i="17"/>
  <c r="B14" i="17"/>
  <c r="B10" i="17"/>
  <c r="B8" i="17"/>
  <c r="B7" i="17"/>
  <c r="B6" i="17"/>
  <c r="B5" i="17"/>
  <c r="W124" i="16"/>
  <c r="R124" i="16"/>
  <c r="Q124" i="16"/>
  <c r="K124" i="16"/>
  <c r="G124" i="16"/>
  <c r="A124" i="16"/>
  <c r="W123" i="16"/>
  <c r="R123" i="16"/>
  <c r="Q123" i="16"/>
  <c r="K123" i="16"/>
  <c r="G123" i="16"/>
  <c r="A123" i="16"/>
  <c r="W122" i="16"/>
  <c r="R122" i="16"/>
  <c r="Q122" i="16"/>
  <c r="K122" i="16"/>
  <c r="G122" i="16"/>
  <c r="A122" i="16"/>
  <c r="W121" i="16"/>
  <c r="R121" i="16"/>
  <c r="Q121" i="16"/>
  <c r="K121" i="16"/>
  <c r="G121" i="16"/>
  <c r="A121" i="16"/>
  <c r="W120" i="16"/>
  <c r="R120" i="16"/>
  <c r="Q120" i="16"/>
  <c r="K120" i="16"/>
  <c r="G120" i="16"/>
  <c r="A120" i="16"/>
  <c r="W119" i="16"/>
  <c r="R119" i="16"/>
  <c r="Q119" i="16"/>
  <c r="K119" i="16"/>
  <c r="G119" i="16"/>
  <c r="A119" i="16"/>
  <c r="W118" i="16"/>
  <c r="R118" i="16"/>
  <c r="Q118" i="16"/>
  <c r="K118" i="16"/>
  <c r="G118" i="16"/>
  <c r="A118" i="16"/>
  <c r="W117" i="16"/>
  <c r="R117" i="16"/>
  <c r="Q117" i="16"/>
  <c r="K117" i="16"/>
  <c r="G117" i="16"/>
  <c r="A117" i="16"/>
  <c r="W116" i="16"/>
  <c r="R116" i="16"/>
  <c r="Q116" i="16"/>
  <c r="K116" i="16"/>
  <c r="G116" i="16"/>
  <c r="A116" i="16"/>
  <c r="W115" i="16"/>
  <c r="R115" i="16"/>
  <c r="Q115" i="16"/>
  <c r="K115" i="16"/>
  <c r="G115" i="16"/>
  <c r="A115" i="16"/>
  <c r="W114" i="16"/>
  <c r="R114" i="16"/>
  <c r="Q114" i="16"/>
  <c r="K114" i="16"/>
  <c r="G114" i="16"/>
  <c r="A114" i="16"/>
  <c r="W113" i="16"/>
  <c r="R113" i="16"/>
  <c r="Q113" i="16"/>
  <c r="K113" i="16"/>
  <c r="G113" i="16"/>
  <c r="A113" i="16"/>
  <c r="W112" i="16"/>
  <c r="R112" i="16"/>
  <c r="Q112" i="16"/>
  <c r="K112" i="16"/>
  <c r="G112" i="16"/>
  <c r="A112" i="16"/>
  <c r="W111" i="16"/>
  <c r="R111" i="16"/>
  <c r="Q111" i="16"/>
  <c r="K111" i="16"/>
  <c r="G111" i="16"/>
  <c r="A111" i="16"/>
  <c r="W110" i="16"/>
  <c r="R110" i="16"/>
  <c r="Q110" i="16"/>
  <c r="K110" i="16"/>
  <c r="G110" i="16"/>
  <c r="A110" i="16"/>
  <c r="W109" i="16"/>
  <c r="R109" i="16"/>
  <c r="Q109" i="16"/>
  <c r="K109" i="16"/>
  <c r="G109" i="16"/>
  <c r="A109" i="16"/>
  <c r="W108" i="16"/>
  <c r="R108" i="16"/>
  <c r="Q108" i="16"/>
  <c r="K108" i="16"/>
  <c r="G108" i="16"/>
  <c r="A108" i="16"/>
  <c r="W107" i="16"/>
  <c r="R107" i="16"/>
  <c r="Q107" i="16"/>
  <c r="K107" i="16"/>
  <c r="G107" i="16"/>
  <c r="A107" i="16"/>
  <c r="W106" i="16"/>
  <c r="R106" i="16"/>
  <c r="Q106" i="16"/>
  <c r="K106" i="16"/>
  <c r="G106" i="16"/>
  <c r="A106" i="16"/>
  <c r="W105" i="16"/>
  <c r="R105" i="16"/>
  <c r="Q105" i="16"/>
  <c r="K105" i="16"/>
  <c r="G105" i="16"/>
  <c r="A105" i="16"/>
  <c r="W104" i="16"/>
  <c r="R104" i="16"/>
  <c r="Q104" i="16"/>
  <c r="K104" i="16"/>
  <c r="G104" i="16"/>
  <c r="A104" i="16"/>
  <c r="W103" i="16"/>
  <c r="R103" i="16"/>
  <c r="Q103" i="16"/>
  <c r="K103" i="16"/>
  <c r="G103" i="16"/>
  <c r="A103" i="16"/>
  <c r="W102" i="16"/>
  <c r="R102" i="16"/>
  <c r="Q102" i="16"/>
  <c r="K102" i="16"/>
  <c r="G102" i="16"/>
  <c r="A102" i="16"/>
  <c r="W101" i="16"/>
  <c r="R101" i="16"/>
  <c r="Q101" i="16"/>
  <c r="K101" i="16"/>
  <c r="G101" i="16"/>
  <c r="A101" i="16"/>
  <c r="W100" i="16"/>
  <c r="R100" i="16"/>
  <c r="Q100" i="16"/>
  <c r="K100" i="16"/>
  <c r="G100" i="16"/>
  <c r="A100" i="16"/>
  <c r="W99" i="16"/>
  <c r="R99" i="16"/>
  <c r="Q99" i="16"/>
  <c r="K99" i="16"/>
  <c r="G99" i="16"/>
  <c r="A99" i="16"/>
  <c r="W98" i="16"/>
  <c r="R98" i="16"/>
  <c r="Q98" i="16"/>
  <c r="K98" i="16"/>
  <c r="G98" i="16"/>
  <c r="A98" i="16"/>
  <c r="W97" i="16"/>
  <c r="R97" i="16"/>
  <c r="Q97" i="16"/>
  <c r="K97" i="16"/>
  <c r="G97" i="16"/>
  <c r="A97" i="16"/>
  <c r="W96" i="16"/>
  <c r="R96" i="16"/>
  <c r="Q96" i="16"/>
  <c r="K96" i="16"/>
  <c r="G96" i="16"/>
  <c r="A96" i="16"/>
  <c r="W95" i="16"/>
  <c r="R95" i="16"/>
  <c r="Q95" i="16"/>
  <c r="K95" i="16"/>
  <c r="G95" i="16"/>
  <c r="A95" i="16"/>
  <c r="W94" i="16"/>
  <c r="R94" i="16"/>
  <c r="Q94" i="16"/>
  <c r="K94" i="16"/>
  <c r="G94" i="16"/>
  <c r="A94" i="16"/>
  <c r="W93" i="16"/>
  <c r="R93" i="16"/>
  <c r="Q93" i="16"/>
  <c r="K93" i="16"/>
  <c r="G93" i="16"/>
  <c r="A93" i="16"/>
  <c r="W92" i="16"/>
  <c r="R92" i="16"/>
  <c r="Q92" i="16"/>
  <c r="K92" i="16"/>
  <c r="G92" i="16"/>
  <c r="A92" i="16"/>
  <c r="W91" i="16"/>
  <c r="R91" i="16"/>
  <c r="Q91" i="16"/>
  <c r="K91" i="16"/>
  <c r="G91" i="16"/>
  <c r="A91" i="16"/>
  <c r="W90" i="16"/>
  <c r="R90" i="16"/>
  <c r="Q90" i="16"/>
  <c r="K90" i="16"/>
  <c r="G90" i="16"/>
  <c r="A90" i="16"/>
  <c r="W89" i="16"/>
  <c r="R89" i="16"/>
  <c r="Q89" i="16"/>
  <c r="K89" i="16"/>
  <c r="G89" i="16"/>
  <c r="A89" i="16"/>
  <c r="W88" i="16"/>
  <c r="R88" i="16"/>
  <c r="Q88" i="16"/>
  <c r="K88" i="16"/>
  <c r="G88" i="16"/>
  <c r="A88" i="16"/>
  <c r="W87" i="16"/>
  <c r="R87" i="16"/>
  <c r="Q87" i="16"/>
  <c r="K87" i="16"/>
  <c r="G87" i="16"/>
  <c r="A87" i="16"/>
  <c r="W86" i="16"/>
  <c r="R86" i="16"/>
  <c r="Q86" i="16"/>
  <c r="K86" i="16"/>
  <c r="G86" i="16"/>
  <c r="A86" i="16"/>
  <c r="W85" i="16"/>
  <c r="R85" i="16"/>
  <c r="Q85" i="16"/>
  <c r="K85" i="16"/>
  <c r="G85" i="16"/>
  <c r="A85" i="16"/>
  <c r="W84" i="16"/>
  <c r="R84" i="16"/>
  <c r="Q84" i="16"/>
  <c r="K84" i="16"/>
  <c r="G84" i="16"/>
  <c r="A84" i="16"/>
  <c r="W83" i="16"/>
  <c r="R83" i="16"/>
  <c r="Q83" i="16"/>
  <c r="K83" i="16"/>
  <c r="G83" i="16"/>
  <c r="A83" i="16"/>
  <c r="W82" i="16"/>
  <c r="R82" i="16"/>
  <c r="Q82" i="16"/>
  <c r="K82" i="16"/>
  <c r="G82" i="16"/>
  <c r="A82" i="16"/>
  <c r="W81" i="16"/>
  <c r="R81" i="16"/>
  <c r="Q81" i="16"/>
  <c r="K81" i="16"/>
  <c r="G81" i="16"/>
  <c r="A81" i="16"/>
  <c r="W80" i="16"/>
  <c r="R80" i="16"/>
  <c r="Q80" i="16"/>
  <c r="K80" i="16"/>
  <c r="G80" i="16"/>
  <c r="A80" i="16"/>
  <c r="W79" i="16"/>
  <c r="R79" i="16"/>
  <c r="Q79" i="16"/>
  <c r="K79" i="16"/>
  <c r="G79" i="16"/>
  <c r="A79" i="16"/>
  <c r="W78" i="16"/>
  <c r="R78" i="16"/>
  <c r="Q78" i="16"/>
  <c r="K78" i="16"/>
  <c r="G78" i="16"/>
  <c r="A78" i="16"/>
  <c r="W77" i="16"/>
  <c r="R77" i="16"/>
  <c r="Q77" i="16"/>
  <c r="K77" i="16"/>
  <c r="G77" i="16"/>
  <c r="A77" i="16"/>
  <c r="W76" i="16"/>
  <c r="R76" i="16"/>
  <c r="Q76" i="16"/>
  <c r="K76" i="16"/>
  <c r="G76" i="16"/>
  <c r="A76" i="16"/>
  <c r="W75" i="16"/>
  <c r="R75" i="16"/>
  <c r="Q75" i="16"/>
  <c r="K75" i="16"/>
  <c r="G75" i="16"/>
  <c r="A75" i="16"/>
  <c r="W74" i="16"/>
  <c r="R74" i="16"/>
  <c r="Q74" i="16"/>
  <c r="K74" i="16"/>
  <c r="G74" i="16"/>
  <c r="A74" i="16"/>
  <c r="W73" i="16"/>
  <c r="R73" i="16"/>
  <c r="Q73" i="16"/>
  <c r="K73" i="16"/>
  <c r="G73" i="16"/>
  <c r="A73" i="16"/>
  <c r="W72" i="16"/>
  <c r="R72" i="16"/>
  <c r="Q72" i="16"/>
  <c r="K72" i="16"/>
  <c r="G72" i="16"/>
  <c r="A72" i="16"/>
  <c r="W71" i="16"/>
  <c r="R71" i="16"/>
  <c r="Q71" i="16"/>
  <c r="K71" i="16"/>
  <c r="G71" i="16"/>
  <c r="A71" i="16"/>
  <c r="W70" i="16"/>
  <c r="R70" i="16"/>
  <c r="Q70" i="16"/>
  <c r="K70" i="16"/>
  <c r="G70" i="16"/>
  <c r="A70" i="16"/>
  <c r="W69" i="16"/>
  <c r="R69" i="16"/>
  <c r="Q69" i="16"/>
  <c r="K69" i="16"/>
  <c r="G69" i="16"/>
  <c r="A69" i="16"/>
  <c r="W68" i="16"/>
  <c r="R68" i="16"/>
  <c r="Q68" i="16"/>
  <c r="K68" i="16"/>
  <c r="G68" i="16"/>
  <c r="A68" i="16"/>
  <c r="W67" i="16"/>
  <c r="R67" i="16"/>
  <c r="Q67" i="16"/>
  <c r="K67" i="16"/>
  <c r="G67" i="16"/>
  <c r="A67" i="16"/>
  <c r="W66" i="16"/>
  <c r="R66" i="16"/>
  <c r="Q66" i="16"/>
  <c r="K66" i="16"/>
  <c r="G66" i="16"/>
  <c r="A66" i="16"/>
  <c r="W65" i="16"/>
  <c r="R65" i="16"/>
  <c r="Q65" i="16"/>
  <c r="K65" i="16"/>
  <c r="G65" i="16"/>
  <c r="A65" i="16"/>
  <c r="W64" i="16"/>
  <c r="R64" i="16"/>
  <c r="Q64" i="16"/>
  <c r="K64" i="16"/>
  <c r="G64" i="16"/>
  <c r="A64" i="16"/>
  <c r="W63" i="16"/>
  <c r="R63" i="16"/>
  <c r="Q63" i="16"/>
  <c r="K63" i="16"/>
  <c r="G63" i="16"/>
  <c r="A63" i="16"/>
  <c r="W62" i="16"/>
  <c r="R62" i="16"/>
  <c r="Q62" i="16"/>
  <c r="K62" i="16"/>
  <c r="G62" i="16"/>
  <c r="A62" i="16"/>
  <c r="W61" i="16"/>
  <c r="R61" i="16"/>
  <c r="Q61" i="16"/>
  <c r="K61" i="16"/>
  <c r="G61" i="16"/>
  <c r="A61" i="16"/>
  <c r="W60" i="16"/>
  <c r="R60" i="16"/>
  <c r="Q60" i="16"/>
  <c r="K60" i="16"/>
  <c r="G60" i="16"/>
  <c r="A60" i="16"/>
  <c r="W59" i="16"/>
  <c r="R59" i="16"/>
  <c r="Q59" i="16"/>
  <c r="K59" i="16"/>
  <c r="G59" i="16"/>
  <c r="A59" i="16"/>
  <c r="W58" i="16"/>
  <c r="R58" i="16"/>
  <c r="Q58" i="16"/>
  <c r="K58" i="16"/>
  <c r="G58" i="16"/>
  <c r="A58" i="16"/>
  <c r="W57" i="16"/>
  <c r="R57" i="16"/>
  <c r="Q57" i="16"/>
  <c r="K57" i="16"/>
  <c r="G57" i="16"/>
  <c r="A57" i="16"/>
  <c r="W56" i="16"/>
  <c r="R56" i="16"/>
  <c r="Q56" i="16"/>
  <c r="K56" i="16"/>
  <c r="G56" i="16"/>
  <c r="A56" i="16"/>
  <c r="W55" i="16"/>
  <c r="R55" i="16"/>
  <c r="Q55" i="16"/>
  <c r="K55" i="16"/>
  <c r="G55" i="16"/>
  <c r="A55" i="16"/>
  <c r="W54" i="16"/>
  <c r="R54" i="16"/>
  <c r="Q54" i="16"/>
  <c r="K54" i="16"/>
  <c r="G54" i="16"/>
  <c r="A54" i="16"/>
  <c r="W53" i="16"/>
  <c r="R53" i="16"/>
  <c r="Q53" i="16"/>
  <c r="K53" i="16"/>
  <c r="G53" i="16"/>
  <c r="A53" i="16"/>
  <c r="W52" i="16"/>
  <c r="R52" i="16"/>
  <c r="Q52" i="16"/>
  <c r="K52" i="16"/>
  <c r="G52" i="16"/>
  <c r="A52" i="16"/>
  <c r="W51" i="16"/>
  <c r="R51" i="16"/>
  <c r="Q51" i="16"/>
  <c r="K51" i="16"/>
  <c r="G51" i="16"/>
  <c r="A51" i="16"/>
  <c r="W50" i="16"/>
  <c r="R50" i="16"/>
  <c r="Q50" i="16"/>
  <c r="K50" i="16"/>
  <c r="G50" i="16"/>
  <c r="A50" i="16"/>
  <c r="W49" i="16"/>
  <c r="R49" i="16"/>
  <c r="Q49" i="16"/>
  <c r="K49" i="16"/>
  <c r="G49" i="16"/>
  <c r="A49" i="16"/>
  <c r="W48" i="16"/>
  <c r="R48" i="16"/>
  <c r="Q48" i="16"/>
  <c r="K48" i="16"/>
  <c r="G48" i="16"/>
  <c r="A48" i="16"/>
  <c r="W47" i="16"/>
  <c r="R47" i="16"/>
  <c r="Q47" i="16"/>
  <c r="K47" i="16"/>
  <c r="G47" i="16"/>
  <c r="A47" i="16"/>
  <c r="W46" i="16"/>
  <c r="R46" i="16"/>
  <c r="Q46" i="16"/>
  <c r="K46" i="16"/>
  <c r="G46" i="16"/>
  <c r="A46" i="16"/>
  <c r="W45" i="16"/>
  <c r="R45" i="16"/>
  <c r="Q45" i="16"/>
  <c r="K45" i="16"/>
  <c r="G45" i="16"/>
  <c r="A45" i="16"/>
  <c r="W44" i="16"/>
  <c r="R44" i="16"/>
  <c r="Q44" i="16"/>
  <c r="K44" i="16"/>
  <c r="G44" i="16"/>
  <c r="A44" i="16"/>
  <c r="W43" i="16"/>
  <c r="R43" i="16"/>
  <c r="Q43" i="16"/>
  <c r="K43" i="16"/>
  <c r="G43" i="16"/>
  <c r="A43" i="16"/>
  <c r="W42" i="16"/>
  <c r="R42" i="16"/>
  <c r="Q42" i="16"/>
  <c r="K42" i="16"/>
  <c r="G42" i="16"/>
  <c r="A42" i="16"/>
  <c r="W41" i="16"/>
  <c r="R41" i="16"/>
  <c r="Q41" i="16"/>
  <c r="K41" i="16"/>
  <c r="G41" i="16"/>
  <c r="A41" i="16"/>
  <c r="W40" i="16"/>
  <c r="R40" i="16"/>
  <c r="Q40" i="16"/>
  <c r="K40" i="16"/>
  <c r="G40" i="16"/>
  <c r="A40" i="16"/>
  <c r="W39" i="16"/>
  <c r="R39" i="16"/>
  <c r="Q39" i="16"/>
  <c r="K39" i="16"/>
  <c r="G39" i="16"/>
  <c r="A39" i="16"/>
  <c r="W38" i="16"/>
  <c r="R38" i="16"/>
  <c r="Q38" i="16"/>
  <c r="K38" i="16"/>
  <c r="G38" i="16"/>
  <c r="A38" i="16"/>
  <c r="W37" i="16"/>
  <c r="R37" i="16"/>
  <c r="Q37" i="16"/>
  <c r="K37" i="16"/>
  <c r="G37" i="16"/>
  <c r="A37" i="16"/>
  <c r="W36" i="16"/>
  <c r="R36" i="16"/>
  <c r="Q36" i="16"/>
  <c r="K36" i="16"/>
  <c r="G36" i="16"/>
  <c r="A36" i="16"/>
  <c r="W35" i="16"/>
  <c r="R35" i="16"/>
  <c r="Q35" i="16"/>
  <c r="K35" i="16"/>
  <c r="G35" i="16"/>
  <c r="A35" i="16"/>
  <c r="W34" i="16"/>
  <c r="R34" i="16"/>
  <c r="Q34" i="16"/>
  <c r="K34" i="16"/>
  <c r="G34" i="16"/>
  <c r="A34" i="16"/>
  <c r="W33" i="16"/>
  <c r="R33" i="16"/>
  <c r="Q33" i="16"/>
  <c r="K33" i="16"/>
  <c r="G33" i="16"/>
  <c r="A33" i="16"/>
  <c r="W32" i="16"/>
  <c r="R32" i="16"/>
  <c r="Q32" i="16"/>
  <c r="K32" i="16"/>
  <c r="G32" i="16"/>
  <c r="A32" i="16"/>
  <c r="W31" i="16"/>
  <c r="R31" i="16"/>
  <c r="Q31" i="16"/>
  <c r="K31" i="16"/>
  <c r="G31" i="16"/>
  <c r="A31" i="16"/>
  <c r="W30" i="16"/>
  <c r="R30" i="16"/>
  <c r="Q30" i="16"/>
  <c r="K30" i="16"/>
  <c r="G30" i="16"/>
  <c r="A30" i="16"/>
  <c r="W29" i="16"/>
  <c r="R29" i="16"/>
  <c r="Q29" i="16"/>
  <c r="K29" i="16"/>
  <c r="G29" i="16"/>
  <c r="A29" i="16"/>
  <c r="W28" i="16"/>
  <c r="R28" i="16"/>
  <c r="Q28" i="16"/>
  <c r="K28" i="16"/>
  <c r="G28" i="16"/>
  <c r="A28" i="16"/>
  <c r="W27" i="16"/>
  <c r="R27" i="16"/>
  <c r="Q27" i="16"/>
  <c r="K27" i="16"/>
  <c r="G27" i="16"/>
  <c r="A27" i="16"/>
  <c r="W26" i="16"/>
  <c r="R26" i="16"/>
  <c r="Q26" i="16"/>
  <c r="K26" i="16"/>
  <c r="G26" i="16"/>
  <c r="A26" i="16"/>
  <c r="W25" i="16"/>
  <c r="R25" i="16"/>
  <c r="Q25" i="16"/>
  <c r="K25" i="16"/>
  <c r="G25" i="16"/>
  <c r="A25" i="16"/>
  <c r="W24" i="16"/>
  <c r="R24" i="16"/>
  <c r="Q24" i="16"/>
  <c r="K24" i="16"/>
  <c r="G24" i="16"/>
  <c r="A24" i="16"/>
  <c r="W23" i="16"/>
  <c r="R23" i="16"/>
  <c r="Q23" i="16"/>
  <c r="K23" i="16"/>
  <c r="G23" i="16"/>
  <c r="A23" i="16"/>
  <c r="W22" i="16"/>
  <c r="R22" i="16"/>
  <c r="Q22" i="16"/>
  <c r="K22" i="16"/>
  <c r="G22" i="16"/>
  <c r="A22" i="16"/>
  <c r="W21" i="16"/>
  <c r="R21" i="16"/>
  <c r="Q21" i="16"/>
  <c r="K21" i="16"/>
  <c r="G21" i="16"/>
  <c r="A21" i="16"/>
  <c r="W20" i="16"/>
  <c r="R20" i="16"/>
  <c r="Q20" i="16"/>
  <c r="K20" i="16"/>
  <c r="G20" i="16"/>
  <c r="A20" i="16"/>
  <c r="W19" i="16"/>
  <c r="R19" i="16"/>
  <c r="Q19" i="16"/>
  <c r="K19" i="16"/>
  <c r="G19" i="16"/>
  <c r="A19" i="16"/>
  <c r="W18" i="16"/>
  <c r="R18" i="16"/>
  <c r="Q18" i="16"/>
  <c r="K18" i="16"/>
  <c r="G18" i="16"/>
  <c r="A18" i="16"/>
  <c r="W17" i="16"/>
  <c r="R17" i="16"/>
  <c r="Q17" i="16"/>
  <c r="K17" i="16"/>
  <c r="G17" i="16"/>
  <c r="A17" i="16"/>
  <c r="W16" i="16"/>
  <c r="R16" i="16"/>
  <c r="Q16" i="16"/>
  <c r="K16" i="16"/>
  <c r="G16" i="16"/>
  <c r="A16" i="16"/>
  <c r="W15" i="16"/>
  <c r="R15" i="16"/>
  <c r="Q15" i="16"/>
  <c r="K15" i="16"/>
  <c r="G15" i="16"/>
  <c r="A15" i="16"/>
  <c r="W14" i="16"/>
  <c r="R14" i="16"/>
  <c r="Q14" i="16"/>
  <c r="K14" i="16"/>
  <c r="G14" i="16"/>
  <c r="A14" i="16"/>
  <c r="W13" i="16"/>
  <c r="R13" i="16"/>
  <c r="Q13" i="16"/>
  <c r="K13" i="16"/>
  <c r="G13" i="16"/>
  <c r="A13" i="16"/>
  <c r="W12" i="16"/>
  <c r="R12" i="16"/>
  <c r="Q12" i="16"/>
  <c r="K12" i="16"/>
  <c r="G12" i="16"/>
  <c r="A12" i="16"/>
  <c r="W11" i="16"/>
  <c r="R11" i="16"/>
  <c r="Q11" i="16"/>
  <c r="K11" i="16"/>
  <c r="G11" i="16"/>
  <c r="A11" i="16"/>
  <c r="W10" i="16"/>
  <c r="R10" i="16"/>
  <c r="Q10" i="16"/>
  <c r="K10" i="16"/>
  <c r="G10" i="16"/>
  <c r="A10" i="16"/>
  <c r="W9" i="16"/>
  <c r="R9" i="16"/>
  <c r="Q9" i="16"/>
  <c r="K9" i="16"/>
  <c r="G9" i="16"/>
  <c r="A9" i="16"/>
  <c r="W8" i="16"/>
  <c r="R8" i="16"/>
  <c r="Q8" i="16"/>
  <c r="K8" i="16"/>
  <c r="G8" i="16"/>
  <c r="A8" i="16"/>
  <c r="W7" i="16"/>
  <c r="R7" i="16"/>
  <c r="Q7" i="16"/>
  <c r="K7" i="16"/>
  <c r="G7" i="16"/>
  <c r="A7" i="16"/>
  <c r="W6" i="16"/>
  <c r="R6" i="16"/>
  <c r="Q6" i="16"/>
  <c r="G6" i="16"/>
  <c r="K6" i="16" s="1"/>
  <c r="A6" i="16"/>
  <c r="W5" i="16"/>
  <c r="F16" i="25" s="1"/>
  <c r="R5" i="16"/>
  <c r="Q5" i="16"/>
  <c r="G5" i="16"/>
  <c r="A5" i="16"/>
  <c r="N27" i="15"/>
  <c r="N23" i="15"/>
  <c r="N19" i="15"/>
  <c r="N17" i="15"/>
  <c r="N11" i="15"/>
  <c r="N7" i="15"/>
  <c r="M44" i="14"/>
  <c r="N44" i="14" s="1"/>
  <c r="L44" i="14"/>
  <c r="K44" i="14"/>
  <c r="J44" i="14"/>
  <c r="I44" i="14"/>
  <c r="H44" i="14"/>
  <c r="G44" i="14"/>
  <c r="F44" i="14"/>
  <c r="E44" i="14"/>
  <c r="D44" i="14"/>
  <c r="C44" i="14"/>
  <c r="B44" i="14"/>
  <c r="N26" i="14"/>
  <c r="N14" i="14"/>
  <c r="N7" i="14"/>
  <c r="B232" i="13"/>
  <c r="A232" i="13"/>
  <c r="B231" i="13"/>
  <c r="A231" i="13"/>
  <c r="B230" i="13"/>
  <c r="A230" i="13"/>
  <c r="B229" i="13"/>
  <c r="A229" i="13"/>
  <c r="B228" i="13"/>
  <c r="A228" i="13"/>
  <c r="B227" i="13"/>
  <c r="A227" i="13"/>
  <c r="B226" i="13"/>
  <c r="A226" i="13"/>
  <c r="B225" i="13"/>
  <c r="A225" i="13"/>
  <c r="B224" i="13"/>
  <c r="A224" i="13"/>
  <c r="B223" i="13"/>
  <c r="A223" i="13"/>
  <c r="B222" i="13"/>
  <c r="A222" i="13"/>
  <c r="B221" i="13"/>
  <c r="B220" i="13"/>
  <c r="B219" i="13"/>
  <c r="B218" i="13"/>
  <c r="B217" i="13"/>
  <c r="B216" i="13"/>
  <c r="B215" i="13"/>
  <c r="B213" i="13"/>
  <c r="B212" i="13"/>
  <c r="B211" i="13"/>
  <c r="B210" i="13"/>
  <c r="B209" i="13"/>
  <c r="B208" i="13"/>
  <c r="B207" i="13"/>
  <c r="B206" i="13"/>
  <c r="B205" i="13"/>
  <c r="B204" i="13"/>
  <c r="B203" i="13"/>
  <c r="B202" i="13"/>
  <c r="B201" i="13"/>
  <c r="B200" i="13"/>
  <c r="B199" i="13"/>
  <c r="B198" i="13"/>
  <c r="B197" i="13"/>
  <c r="B196" i="13"/>
  <c r="B194" i="13"/>
  <c r="B193" i="13"/>
  <c r="B192" i="13"/>
  <c r="B191" i="13"/>
  <c r="B190" i="13"/>
  <c r="B189" i="13"/>
  <c r="B188" i="13"/>
  <c r="B187" i="13"/>
  <c r="B186" i="13"/>
  <c r="B185" i="13"/>
  <c r="B184" i="13"/>
  <c r="B183" i="13"/>
  <c r="B182" i="13"/>
  <c r="B181" i="13"/>
  <c r="B180" i="13"/>
  <c r="B179" i="13"/>
  <c r="B178" i="13"/>
  <c r="B177" i="13"/>
  <c r="B175" i="13"/>
  <c r="B174" i="13"/>
  <c r="B173" i="13"/>
  <c r="B172" i="13"/>
  <c r="B171" i="13"/>
  <c r="B170" i="13"/>
  <c r="B169" i="13"/>
  <c r="B168" i="13"/>
  <c r="B167" i="13"/>
  <c r="B166" i="13"/>
  <c r="B165" i="13"/>
  <c r="B164" i="13"/>
  <c r="B163" i="13"/>
  <c r="B162" i="13"/>
  <c r="B161" i="13"/>
  <c r="B160" i="13"/>
  <c r="B159" i="13"/>
  <c r="B158" i="13"/>
  <c r="B156" i="13"/>
  <c r="B155" i="13"/>
  <c r="B154" i="13"/>
  <c r="B153" i="13"/>
  <c r="B152" i="13"/>
  <c r="B151" i="13"/>
  <c r="B150" i="13"/>
  <c r="B149" i="13"/>
  <c r="B148" i="13"/>
  <c r="B147" i="13"/>
  <c r="B146" i="13"/>
  <c r="B145" i="13"/>
  <c r="B144" i="13"/>
  <c r="B143" i="13"/>
  <c r="B142" i="13"/>
  <c r="B141" i="13"/>
  <c r="B140" i="13"/>
  <c r="B139" i="13"/>
  <c r="B137" i="13"/>
  <c r="B136" i="13"/>
  <c r="B135" i="13"/>
  <c r="B134" i="13"/>
  <c r="B133" i="13"/>
  <c r="B132" i="13"/>
  <c r="B131" i="13"/>
  <c r="B130" i="13"/>
  <c r="B129" i="13"/>
  <c r="B128" i="13"/>
  <c r="B127" i="13"/>
  <c r="B126" i="13"/>
  <c r="B125" i="13"/>
  <c r="B124" i="13"/>
  <c r="B123" i="13"/>
  <c r="B122" i="13"/>
  <c r="B121" i="13"/>
  <c r="B120" i="13"/>
  <c r="B118" i="13"/>
  <c r="B117" i="13"/>
  <c r="B116" i="13"/>
  <c r="B115" i="13"/>
  <c r="B114" i="13"/>
  <c r="B113" i="13"/>
  <c r="B112" i="13"/>
  <c r="B111" i="13"/>
  <c r="B110" i="13"/>
  <c r="B109" i="13"/>
  <c r="B108" i="13"/>
  <c r="B107" i="13"/>
  <c r="B106" i="13"/>
  <c r="B105" i="13"/>
  <c r="B104" i="13"/>
  <c r="B103" i="13"/>
  <c r="B102" i="13"/>
  <c r="B101" i="13"/>
  <c r="B99" i="13"/>
  <c r="B98" i="13"/>
  <c r="B97" i="13"/>
  <c r="B96" i="13"/>
  <c r="B95" i="13"/>
  <c r="B94" i="13"/>
  <c r="B93" i="13"/>
  <c r="B92" i="13"/>
  <c r="B91" i="13"/>
  <c r="B90" i="13"/>
  <c r="B89" i="13"/>
  <c r="B88" i="13"/>
  <c r="B87" i="13"/>
  <c r="B86" i="13"/>
  <c r="B85" i="13"/>
  <c r="B84" i="13"/>
  <c r="B83" i="13"/>
  <c r="B82" i="13"/>
  <c r="B80" i="13"/>
  <c r="B79" i="13"/>
  <c r="B78" i="13"/>
  <c r="B77" i="13"/>
  <c r="B76" i="13"/>
  <c r="B75" i="13"/>
  <c r="B74" i="13"/>
  <c r="B73" i="13"/>
  <c r="B72" i="13"/>
  <c r="B71" i="13"/>
  <c r="B70" i="13"/>
  <c r="B69" i="13"/>
  <c r="B68" i="13"/>
  <c r="B67" i="13"/>
  <c r="B66" i="13"/>
  <c r="B65" i="13"/>
  <c r="B64" i="13"/>
  <c r="B63" i="13"/>
  <c r="B61" i="13"/>
  <c r="B60" i="13"/>
  <c r="B59" i="13"/>
  <c r="A59" i="13"/>
  <c r="B58" i="13"/>
  <c r="A58" i="13"/>
  <c r="B57" i="13"/>
  <c r="A57" i="13"/>
  <c r="B56" i="13"/>
  <c r="A56" i="13"/>
  <c r="B55" i="13"/>
  <c r="A55" i="13"/>
  <c r="B54" i="13"/>
  <c r="A54" i="13"/>
  <c r="B53" i="13"/>
  <c r="A53" i="13"/>
  <c r="B52" i="13"/>
  <c r="A52" i="13"/>
  <c r="B51" i="13"/>
  <c r="A51" i="13"/>
  <c r="B50" i="13"/>
  <c r="A50" i="13"/>
  <c r="B49" i="13"/>
  <c r="A49" i="13"/>
  <c r="B48" i="13"/>
  <c r="A48" i="13"/>
  <c r="B47" i="13"/>
  <c r="A47" i="13"/>
  <c r="B46" i="13"/>
  <c r="A46" i="13"/>
  <c r="B45" i="13"/>
  <c r="A45" i="13"/>
  <c r="B44" i="13"/>
  <c r="A44"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A5" i="13"/>
  <c r="N22" i="11"/>
  <c r="B10" i="11"/>
  <c r="A10" i="11"/>
  <c r="B9" i="11"/>
  <c r="A9" i="11"/>
  <c r="J8" i="11"/>
  <c r="I8" i="11"/>
  <c r="B8" i="11"/>
  <c r="A8" i="11"/>
  <c r="B4" i="11"/>
  <c r="V124" i="10"/>
  <c r="U124" i="10"/>
  <c r="R124" i="10"/>
  <c r="Q124" i="10"/>
  <c r="J124" i="10"/>
  <c r="C124" i="10"/>
  <c r="A124" i="10"/>
  <c r="V123" i="10"/>
  <c r="U123" i="10"/>
  <c r="R123" i="10"/>
  <c r="Q123" i="10"/>
  <c r="J123" i="10"/>
  <c r="C123" i="10"/>
  <c r="A123" i="10"/>
  <c r="V122" i="10"/>
  <c r="U122" i="10"/>
  <c r="R122" i="10"/>
  <c r="Q122" i="10"/>
  <c r="J122" i="10"/>
  <c r="C122" i="10"/>
  <c r="A122" i="10"/>
  <c r="V121" i="10"/>
  <c r="U121" i="10"/>
  <c r="R121" i="10"/>
  <c r="Q121" i="10"/>
  <c r="J121" i="10"/>
  <c r="C121" i="10"/>
  <c r="A121" i="10"/>
  <c r="V120" i="10"/>
  <c r="U120" i="10"/>
  <c r="R120" i="10"/>
  <c r="Q120" i="10"/>
  <c r="J120" i="10"/>
  <c r="C120" i="10"/>
  <c r="A120" i="10"/>
  <c r="V119" i="10"/>
  <c r="U119" i="10"/>
  <c r="R119" i="10"/>
  <c r="Q119" i="10"/>
  <c r="J119" i="10"/>
  <c r="C119" i="10"/>
  <c r="A119" i="10"/>
  <c r="V118" i="10"/>
  <c r="U118" i="10"/>
  <c r="R118" i="10"/>
  <c r="Q118" i="10"/>
  <c r="J118" i="10"/>
  <c r="C118" i="10"/>
  <c r="A118" i="10"/>
  <c r="V117" i="10"/>
  <c r="U117" i="10"/>
  <c r="R117" i="10"/>
  <c r="Q117" i="10"/>
  <c r="J117" i="10"/>
  <c r="C117" i="10"/>
  <c r="A117" i="10"/>
  <c r="V116" i="10"/>
  <c r="U116" i="10"/>
  <c r="R116" i="10"/>
  <c r="Q116" i="10"/>
  <c r="J116" i="10"/>
  <c r="C116" i="10"/>
  <c r="A116" i="10"/>
  <c r="V115" i="10"/>
  <c r="U115" i="10"/>
  <c r="R115" i="10"/>
  <c r="Q115" i="10"/>
  <c r="J115" i="10"/>
  <c r="C115" i="10"/>
  <c r="A115" i="10"/>
  <c r="V114" i="10"/>
  <c r="U114" i="10"/>
  <c r="R114" i="10"/>
  <c r="Q114" i="10"/>
  <c r="J114" i="10"/>
  <c r="C114" i="10"/>
  <c r="A114" i="10"/>
  <c r="V113" i="10"/>
  <c r="U113" i="10"/>
  <c r="R113" i="10"/>
  <c r="Q113" i="10"/>
  <c r="J113" i="10"/>
  <c r="C113" i="10"/>
  <c r="A113" i="10"/>
  <c r="V112" i="10"/>
  <c r="U112" i="10"/>
  <c r="R112" i="10"/>
  <c r="Q112" i="10"/>
  <c r="J112" i="10"/>
  <c r="C112" i="10"/>
  <c r="A112" i="10"/>
  <c r="V111" i="10"/>
  <c r="U111" i="10"/>
  <c r="R111" i="10"/>
  <c r="Q111" i="10"/>
  <c r="J111" i="10"/>
  <c r="C111" i="10"/>
  <c r="A111" i="10"/>
  <c r="V110" i="10"/>
  <c r="U110" i="10"/>
  <c r="R110" i="10"/>
  <c r="Q110" i="10"/>
  <c r="J110" i="10"/>
  <c r="C110" i="10"/>
  <c r="A110" i="10"/>
  <c r="V109" i="10"/>
  <c r="U109" i="10"/>
  <c r="R109" i="10"/>
  <c r="Q109" i="10"/>
  <c r="J109" i="10"/>
  <c r="C109" i="10"/>
  <c r="A109" i="10"/>
  <c r="V108" i="10"/>
  <c r="U108" i="10"/>
  <c r="R108" i="10"/>
  <c r="Q108" i="10"/>
  <c r="J108" i="10"/>
  <c r="C108" i="10"/>
  <c r="A108" i="10"/>
  <c r="V107" i="10"/>
  <c r="U107" i="10"/>
  <c r="R107" i="10"/>
  <c r="Q107" i="10"/>
  <c r="J107" i="10"/>
  <c r="C107" i="10"/>
  <c r="A107" i="10"/>
  <c r="V106" i="10"/>
  <c r="U106" i="10"/>
  <c r="R106" i="10"/>
  <c r="Q106" i="10"/>
  <c r="J106" i="10"/>
  <c r="C106" i="10"/>
  <c r="A106" i="10"/>
  <c r="V105" i="10"/>
  <c r="U105" i="10"/>
  <c r="R105" i="10"/>
  <c r="Q105" i="10"/>
  <c r="J105" i="10"/>
  <c r="C105" i="10"/>
  <c r="A105" i="10"/>
  <c r="V104" i="10"/>
  <c r="U104" i="10"/>
  <c r="R104" i="10"/>
  <c r="Q104" i="10"/>
  <c r="J104" i="10"/>
  <c r="C104" i="10"/>
  <c r="A104" i="10"/>
  <c r="V103" i="10"/>
  <c r="U103" i="10"/>
  <c r="R103" i="10"/>
  <c r="Q103" i="10"/>
  <c r="J103" i="10"/>
  <c r="C103" i="10"/>
  <c r="A103" i="10"/>
  <c r="V102" i="10"/>
  <c r="U102" i="10"/>
  <c r="R102" i="10"/>
  <c r="Q102" i="10"/>
  <c r="J102" i="10"/>
  <c r="C102" i="10"/>
  <c r="A102" i="10"/>
  <c r="V101" i="10"/>
  <c r="U101" i="10"/>
  <c r="R101" i="10"/>
  <c r="Q101" i="10"/>
  <c r="J101" i="10"/>
  <c r="C101" i="10"/>
  <c r="A101" i="10"/>
  <c r="V100" i="10"/>
  <c r="U100" i="10"/>
  <c r="R100" i="10"/>
  <c r="Q100" i="10"/>
  <c r="J100" i="10"/>
  <c r="C100" i="10"/>
  <c r="A100" i="10"/>
  <c r="V99" i="10"/>
  <c r="U99" i="10"/>
  <c r="R99" i="10"/>
  <c r="Q99" i="10"/>
  <c r="J99" i="10"/>
  <c r="C99" i="10"/>
  <c r="A99" i="10"/>
  <c r="V98" i="10"/>
  <c r="U98" i="10"/>
  <c r="R98" i="10"/>
  <c r="Q98" i="10"/>
  <c r="J98" i="10"/>
  <c r="C98" i="10"/>
  <c r="A98" i="10"/>
  <c r="V97" i="10"/>
  <c r="U97" i="10"/>
  <c r="R97" i="10"/>
  <c r="Q97" i="10"/>
  <c r="J97" i="10"/>
  <c r="C97" i="10"/>
  <c r="A97" i="10"/>
  <c r="V96" i="10"/>
  <c r="U96" i="10"/>
  <c r="R96" i="10"/>
  <c r="Q96" i="10"/>
  <c r="J96" i="10"/>
  <c r="C96" i="10"/>
  <c r="A96" i="10"/>
  <c r="V95" i="10"/>
  <c r="U95" i="10"/>
  <c r="R95" i="10"/>
  <c r="Q95" i="10"/>
  <c r="J95" i="10"/>
  <c r="C95" i="10"/>
  <c r="A95" i="10"/>
  <c r="V94" i="10"/>
  <c r="U94" i="10"/>
  <c r="R94" i="10"/>
  <c r="Q94" i="10"/>
  <c r="J94" i="10"/>
  <c r="C94" i="10"/>
  <c r="A94" i="10"/>
  <c r="V93" i="10"/>
  <c r="U93" i="10"/>
  <c r="R93" i="10"/>
  <c r="Q93" i="10"/>
  <c r="J93" i="10"/>
  <c r="C93" i="10"/>
  <c r="A93" i="10"/>
  <c r="V92" i="10"/>
  <c r="U92" i="10"/>
  <c r="R92" i="10"/>
  <c r="Q92" i="10"/>
  <c r="J92" i="10"/>
  <c r="C92" i="10"/>
  <c r="A92" i="10"/>
  <c r="V91" i="10"/>
  <c r="U91" i="10"/>
  <c r="R91" i="10"/>
  <c r="Q91" i="10"/>
  <c r="J91" i="10"/>
  <c r="C91" i="10"/>
  <c r="A91" i="10"/>
  <c r="V90" i="10"/>
  <c r="U90" i="10"/>
  <c r="R90" i="10"/>
  <c r="Q90" i="10"/>
  <c r="J90" i="10"/>
  <c r="C90" i="10"/>
  <c r="A90" i="10"/>
  <c r="V89" i="10"/>
  <c r="U89" i="10"/>
  <c r="R89" i="10"/>
  <c r="Q89" i="10"/>
  <c r="J89" i="10"/>
  <c r="C89" i="10"/>
  <c r="A89" i="10"/>
  <c r="V88" i="10"/>
  <c r="U88" i="10"/>
  <c r="R88" i="10"/>
  <c r="Q88" i="10"/>
  <c r="J88" i="10"/>
  <c r="C88" i="10"/>
  <c r="A88" i="10"/>
  <c r="V87" i="10"/>
  <c r="U87" i="10"/>
  <c r="R87" i="10"/>
  <c r="Q87" i="10"/>
  <c r="J87" i="10"/>
  <c r="C87" i="10"/>
  <c r="A87" i="10"/>
  <c r="V86" i="10"/>
  <c r="U86" i="10"/>
  <c r="R86" i="10"/>
  <c r="Q86" i="10"/>
  <c r="J86" i="10"/>
  <c r="C86" i="10"/>
  <c r="A86" i="10"/>
  <c r="V85" i="10"/>
  <c r="U85" i="10"/>
  <c r="R85" i="10"/>
  <c r="Q85" i="10"/>
  <c r="J85" i="10"/>
  <c r="C85" i="10"/>
  <c r="A85" i="10"/>
  <c r="V84" i="10"/>
  <c r="U84" i="10"/>
  <c r="R84" i="10"/>
  <c r="Q84" i="10"/>
  <c r="J84" i="10"/>
  <c r="C84" i="10"/>
  <c r="A84" i="10"/>
  <c r="V83" i="10"/>
  <c r="U83" i="10"/>
  <c r="R83" i="10"/>
  <c r="Q83" i="10"/>
  <c r="J83" i="10"/>
  <c r="C83" i="10"/>
  <c r="A83" i="10"/>
  <c r="V82" i="10"/>
  <c r="U82" i="10"/>
  <c r="R82" i="10"/>
  <c r="Q82" i="10"/>
  <c r="J82" i="10"/>
  <c r="C82" i="10"/>
  <c r="A82" i="10"/>
  <c r="V81" i="10"/>
  <c r="U81" i="10"/>
  <c r="R81" i="10"/>
  <c r="Q81" i="10"/>
  <c r="J81" i="10"/>
  <c r="C81" i="10"/>
  <c r="A81" i="10"/>
  <c r="V80" i="10"/>
  <c r="U80" i="10"/>
  <c r="R80" i="10"/>
  <c r="Q80" i="10"/>
  <c r="J80" i="10"/>
  <c r="C80" i="10"/>
  <c r="A80" i="10"/>
  <c r="V79" i="10"/>
  <c r="U79" i="10"/>
  <c r="R79" i="10"/>
  <c r="Q79" i="10"/>
  <c r="J79" i="10"/>
  <c r="C79" i="10"/>
  <c r="A79" i="10"/>
  <c r="V78" i="10"/>
  <c r="U78" i="10"/>
  <c r="R78" i="10"/>
  <c r="Q78" i="10"/>
  <c r="J78" i="10"/>
  <c r="C78" i="10"/>
  <c r="A78" i="10"/>
  <c r="V77" i="10"/>
  <c r="U77" i="10"/>
  <c r="R77" i="10"/>
  <c r="Q77" i="10"/>
  <c r="J77" i="10"/>
  <c r="C77" i="10"/>
  <c r="A77" i="10"/>
  <c r="V76" i="10"/>
  <c r="U76" i="10"/>
  <c r="R76" i="10"/>
  <c r="Q76" i="10"/>
  <c r="J76" i="10"/>
  <c r="C76" i="10"/>
  <c r="A76" i="10"/>
  <c r="V75" i="10"/>
  <c r="U75" i="10"/>
  <c r="R75" i="10"/>
  <c r="Q75" i="10"/>
  <c r="J75" i="10"/>
  <c r="C75" i="10"/>
  <c r="A75" i="10"/>
  <c r="V74" i="10"/>
  <c r="U74" i="10"/>
  <c r="R74" i="10"/>
  <c r="Q74" i="10"/>
  <c r="J74" i="10"/>
  <c r="C74" i="10"/>
  <c r="A74" i="10"/>
  <c r="V73" i="10"/>
  <c r="U73" i="10"/>
  <c r="R73" i="10"/>
  <c r="Q73" i="10"/>
  <c r="J73" i="10"/>
  <c r="C73" i="10"/>
  <c r="A73" i="10"/>
  <c r="V72" i="10"/>
  <c r="U72" i="10"/>
  <c r="R72" i="10"/>
  <c r="Q72" i="10"/>
  <c r="J72" i="10"/>
  <c r="C72" i="10"/>
  <c r="A72" i="10"/>
  <c r="V71" i="10"/>
  <c r="U71" i="10"/>
  <c r="R71" i="10"/>
  <c r="Q71" i="10"/>
  <c r="J71" i="10"/>
  <c r="C71" i="10"/>
  <c r="A71" i="10"/>
  <c r="V70" i="10"/>
  <c r="U70" i="10"/>
  <c r="R70" i="10"/>
  <c r="Q70" i="10"/>
  <c r="J70" i="10"/>
  <c r="C70" i="10"/>
  <c r="A70" i="10"/>
  <c r="V69" i="10"/>
  <c r="U69" i="10"/>
  <c r="R69" i="10"/>
  <c r="Q69" i="10"/>
  <c r="J69" i="10"/>
  <c r="C69" i="10"/>
  <c r="A69" i="10"/>
  <c r="V68" i="10"/>
  <c r="U68" i="10"/>
  <c r="R68" i="10"/>
  <c r="Q68" i="10"/>
  <c r="J68" i="10"/>
  <c r="C68" i="10"/>
  <c r="A68" i="10"/>
  <c r="V67" i="10"/>
  <c r="U67" i="10"/>
  <c r="R67" i="10"/>
  <c r="Q67" i="10"/>
  <c r="J67" i="10"/>
  <c r="C67" i="10"/>
  <c r="A67" i="10"/>
  <c r="V66" i="10"/>
  <c r="U66" i="10"/>
  <c r="R66" i="10"/>
  <c r="Q66" i="10"/>
  <c r="J66" i="10"/>
  <c r="C66" i="10"/>
  <c r="A66" i="10"/>
  <c r="V65" i="10"/>
  <c r="U65" i="10"/>
  <c r="R65" i="10"/>
  <c r="Q65" i="10"/>
  <c r="J65" i="10"/>
  <c r="C65" i="10"/>
  <c r="A65" i="10"/>
  <c r="V64" i="10"/>
  <c r="U64" i="10"/>
  <c r="R64" i="10"/>
  <c r="Q64" i="10"/>
  <c r="J64" i="10"/>
  <c r="C64" i="10"/>
  <c r="A64" i="10"/>
  <c r="V63" i="10"/>
  <c r="U63" i="10"/>
  <c r="R63" i="10"/>
  <c r="Q63" i="10"/>
  <c r="J63" i="10"/>
  <c r="C63" i="10"/>
  <c r="A63" i="10"/>
  <c r="V62" i="10"/>
  <c r="U62" i="10"/>
  <c r="R62" i="10"/>
  <c r="Q62" i="10"/>
  <c r="J62" i="10"/>
  <c r="C62" i="10"/>
  <c r="A62" i="10"/>
  <c r="V61" i="10"/>
  <c r="U61" i="10"/>
  <c r="R61" i="10"/>
  <c r="Q61" i="10"/>
  <c r="J61" i="10"/>
  <c r="C61" i="10"/>
  <c r="A61" i="10"/>
  <c r="V60" i="10"/>
  <c r="U60" i="10"/>
  <c r="R60" i="10"/>
  <c r="Q60" i="10"/>
  <c r="J60" i="10"/>
  <c r="C60" i="10"/>
  <c r="A60" i="10"/>
  <c r="V59" i="10"/>
  <c r="U59" i="10"/>
  <c r="R59" i="10"/>
  <c r="Q59" i="10"/>
  <c r="J59" i="10"/>
  <c r="C59" i="10"/>
  <c r="A59" i="10"/>
  <c r="V58" i="10"/>
  <c r="U58" i="10"/>
  <c r="R58" i="10"/>
  <c r="Q58" i="10"/>
  <c r="J58" i="10"/>
  <c r="C58" i="10"/>
  <c r="A58" i="10"/>
  <c r="V57" i="10"/>
  <c r="U57" i="10"/>
  <c r="R57" i="10"/>
  <c r="Q57" i="10"/>
  <c r="J57" i="10"/>
  <c r="C57" i="10"/>
  <c r="A57" i="10"/>
  <c r="V56" i="10"/>
  <c r="U56" i="10"/>
  <c r="R56" i="10"/>
  <c r="Q56" i="10"/>
  <c r="J56" i="10"/>
  <c r="C56" i="10"/>
  <c r="A56" i="10"/>
  <c r="V55" i="10"/>
  <c r="U55" i="10"/>
  <c r="R55" i="10"/>
  <c r="Q55" i="10"/>
  <c r="J55" i="10"/>
  <c r="C55" i="10"/>
  <c r="A55" i="10"/>
  <c r="V54" i="10"/>
  <c r="U54" i="10"/>
  <c r="R54" i="10"/>
  <c r="Q54" i="10"/>
  <c r="J54" i="10"/>
  <c r="C54" i="10"/>
  <c r="A54" i="10"/>
  <c r="V53" i="10"/>
  <c r="U53" i="10"/>
  <c r="R53" i="10"/>
  <c r="Q53" i="10"/>
  <c r="J53" i="10"/>
  <c r="C53" i="10"/>
  <c r="A53" i="10"/>
  <c r="V52" i="10"/>
  <c r="U52" i="10"/>
  <c r="R52" i="10"/>
  <c r="Q52" i="10"/>
  <c r="J52" i="10"/>
  <c r="C52" i="10"/>
  <c r="A52" i="10"/>
  <c r="V51" i="10"/>
  <c r="U51" i="10"/>
  <c r="R51" i="10"/>
  <c r="Q51" i="10"/>
  <c r="J51" i="10"/>
  <c r="C51" i="10"/>
  <c r="A51" i="10"/>
  <c r="V50" i="10"/>
  <c r="U50" i="10"/>
  <c r="R50" i="10"/>
  <c r="Q50" i="10"/>
  <c r="J50" i="10"/>
  <c r="C50" i="10"/>
  <c r="A50" i="10"/>
  <c r="V49" i="10"/>
  <c r="U49" i="10"/>
  <c r="R49" i="10"/>
  <c r="Q49" i="10"/>
  <c r="J49" i="10"/>
  <c r="C49" i="10"/>
  <c r="A49" i="10"/>
  <c r="V48" i="10"/>
  <c r="U48" i="10"/>
  <c r="R48" i="10"/>
  <c r="Q48" i="10"/>
  <c r="J48" i="10"/>
  <c r="C48" i="10"/>
  <c r="A48" i="10"/>
  <c r="V47" i="10"/>
  <c r="U47" i="10"/>
  <c r="R47" i="10"/>
  <c r="Q47" i="10"/>
  <c r="J47" i="10"/>
  <c r="C47" i="10"/>
  <c r="A47" i="10"/>
  <c r="V46" i="10"/>
  <c r="U46" i="10"/>
  <c r="R46" i="10"/>
  <c r="Q46" i="10"/>
  <c r="J46" i="10"/>
  <c r="C46" i="10"/>
  <c r="A46" i="10"/>
  <c r="V45" i="10"/>
  <c r="U45" i="10"/>
  <c r="R45" i="10"/>
  <c r="Q45" i="10"/>
  <c r="J45" i="10"/>
  <c r="C45" i="10"/>
  <c r="A45" i="10"/>
  <c r="V44" i="10"/>
  <c r="U44" i="10"/>
  <c r="R44" i="10"/>
  <c r="Q44" i="10"/>
  <c r="J44" i="10"/>
  <c r="C44" i="10"/>
  <c r="A44" i="10"/>
  <c r="V43" i="10"/>
  <c r="U43" i="10"/>
  <c r="R43" i="10"/>
  <c r="Q43" i="10"/>
  <c r="J43" i="10"/>
  <c r="C43" i="10"/>
  <c r="A43" i="10"/>
  <c r="V42" i="10"/>
  <c r="U42" i="10"/>
  <c r="R42" i="10"/>
  <c r="Q42" i="10"/>
  <c r="J42" i="10"/>
  <c r="C42" i="10"/>
  <c r="A42" i="10"/>
  <c r="V41" i="10"/>
  <c r="U41" i="10"/>
  <c r="R41" i="10"/>
  <c r="Q41" i="10"/>
  <c r="J41" i="10"/>
  <c r="C41" i="10"/>
  <c r="A41" i="10"/>
  <c r="V40" i="10"/>
  <c r="U40" i="10"/>
  <c r="R40" i="10"/>
  <c r="Q40" i="10"/>
  <c r="J40" i="10"/>
  <c r="C40" i="10"/>
  <c r="A40" i="10"/>
  <c r="V39" i="10"/>
  <c r="U39" i="10"/>
  <c r="R39" i="10"/>
  <c r="Q39" i="10"/>
  <c r="J39" i="10"/>
  <c r="C39" i="10"/>
  <c r="A39" i="10"/>
  <c r="V38" i="10"/>
  <c r="U38" i="10"/>
  <c r="R38" i="10"/>
  <c r="Q38" i="10"/>
  <c r="J38" i="10"/>
  <c r="C38" i="10"/>
  <c r="A38" i="10"/>
  <c r="V37" i="10"/>
  <c r="U37" i="10"/>
  <c r="R37" i="10"/>
  <c r="Q37" i="10"/>
  <c r="J37" i="10"/>
  <c r="C37" i="10"/>
  <c r="A37" i="10"/>
  <c r="V36" i="10"/>
  <c r="U36" i="10"/>
  <c r="R36" i="10"/>
  <c r="Q36" i="10"/>
  <c r="J36" i="10"/>
  <c r="C36" i="10"/>
  <c r="A36" i="10"/>
  <c r="V35" i="10"/>
  <c r="U35" i="10"/>
  <c r="R35" i="10"/>
  <c r="Q35" i="10"/>
  <c r="J35" i="10"/>
  <c r="C35" i="10"/>
  <c r="A35" i="10"/>
  <c r="V34" i="10"/>
  <c r="U34" i="10"/>
  <c r="R34" i="10"/>
  <c r="Q34" i="10"/>
  <c r="J34" i="10"/>
  <c r="C34" i="10"/>
  <c r="A34" i="10"/>
  <c r="V33" i="10"/>
  <c r="U33" i="10"/>
  <c r="R33" i="10"/>
  <c r="Q33" i="10"/>
  <c r="J33" i="10"/>
  <c r="C33" i="10"/>
  <c r="A33" i="10"/>
  <c r="V32" i="10"/>
  <c r="U32" i="10"/>
  <c r="R32" i="10"/>
  <c r="Q32" i="10"/>
  <c r="J32" i="10"/>
  <c r="C32" i="10"/>
  <c r="A32" i="10"/>
  <c r="V31" i="10"/>
  <c r="U31" i="10"/>
  <c r="R31" i="10"/>
  <c r="Q31" i="10"/>
  <c r="J31" i="10"/>
  <c r="C31" i="10"/>
  <c r="A31" i="10"/>
  <c r="V30" i="10"/>
  <c r="U30" i="10"/>
  <c r="R30" i="10"/>
  <c r="Q30" i="10"/>
  <c r="J30" i="10"/>
  <c r="C30" i="10"/>
  <c r="A30" i="10"/>
  <c r="V29" i="10"/>
  <c r="U29" i="10"/>
  <c r="R29" i="10"/>
  <c r="Q29" i="10"/>
  <c r="J29" i="10"/>
  <c r="C29" i="10"/>
  <c r="A29" i="10"/>
  <c r="V28" i="10"/>
  <c r="U28" i="10"/>
  <c r="R28" i="10"/>
  <c r="Q28" i="10"/>
  <c r="J28" i="10"/>
  <c r="C28" i="10"/>
  <c r="A28" i="10"/>
  <c r="V27" i="10"/>
  <c r="U27" i="10"/>
  <c r="R27" i="10"/>
  <c r="Q27" i="10"/>
  <c r="J27" i="10"/>
  <c r="C27" i="10"/>
  <c r="A27" i="10"/>
  <c r="V26" i="10"/>
  <c r="U26" i="10"/>
  <c r="R26" i="10"/>
  <c r="Q26" i="10"/>
  <c r="J26" i="10"/>
  <c r="C26" i="10"/>
  <c r="A26" i="10"/>
  <c r="V25" i="10"/>
  <c r="U25" i="10"/>
  <c r="R25" i="10"/>
  <c r="Q25" i="10"/>
  <c r="J25" i="10"/>
  <c r="C25" i="10"/>
  <c r="A25" i="10"/>
  <c r="V24" i="10"/>
  <c r="U24" i="10"/>
  <c r="R24" i="10"/>
  <c r="Q24" i="10"/>
  <c r="J24" i="10"/>
  <c r="C24" i="10"/>
  <c r="A24" i="10"/>
  <c r="V23" i="10"/>
  <c r="U23" i="10"/>
  <c r="R23" i="10"/>
  <c r="Q23" i="10"/>
  <c r="J23" i="10"/>
  <c r="C23" i="10"/>
  <c r="A23" i="10"/>
  <c r="V22" i="10"/>
  <c r="U22" i="10"/>
  <c r="R22" i="10"/>
  <c r="Q22" i="10"/>
  <c r="J22" i="10"/>
  <c r="C22" i="10"/>
  <c r="A22" i="10"/>
  <c r="V21" i="10"/>
  <c r="U21" i="10"/>
  <c r="R21" i="10"/>
  <c r="Q21" i="10"/>
  <c r="J21" i="10"/>
  <c r="C21" i="10"/>
  <c r="A21" i="10"/>
  <c r="V20" i="10"/>
  <c r="U20" i="10"/>
  <c r="R20" i="10"/>
  <c r="Q20" i="10"/>
  <c r="J20" i="10"/>
  <c r="C20" i="10"/>
  <c r="A20" i="10"/>
  <c r="V19" i="10"/>
  <c r="U19" i="10"/>
  <c r="R19" i="10"/>
  <c r="Q19" i="10"/>
  <c r="J19" i="10"/>
  <c r="C19" i="10"/>
  <c r="A19" i="10"/>
  <c r="V18" i="10"/>
  <c r="U18" i="10"/>
  <c r="R18" i="10"/>
  <c r="Q18" i="10"/>
  <c r="J18" i="10"/>
  <c r="C18" i="10"/>
  <c r="A18" i="10"/>
  <c r="V17" i="10"/>
  <c r="U17" i="10"/>
  <c r="R17" i="10"/>
  <c r="Q17" i="10"/>
  <c r="J17" i="10"/>
  <c r="C17" i="10"/>
  <c r="A17" i="10"/>
  <c r="V16" i="10"/>
  <c r="U16" i="10"/>
  <c r="R16" i="10"/>
  <c r="Q16" i="10"/>
  <c r="J16" i="10"/>
  <c r="C16" i="10"/>
  <c r="A16" i="10"/>
  <c r="V15" i="10"/>
  <c r="U15" i="10"/>
  <c r="R15" i="10"/>
  <c r="Q15" i="10"/>
  <c r="J15" i="10"/>
  <c r="C15" i="10"/>
  <c r="A15" i="10"/>
  <c r="V14" i="10"/>
  <c r="U14" i="10"/>
  <c r="R14" i="10"/>
  <c r="Q14" i="10"/>
  <c r="J14" i="10"/>
  <c r="C14" i="10"/>
  <c r="A14" i="10"/>
  <c r="V13" i="10"/>
  <c r="U13" i="10"/>
  <c r="R13" i="10"/>
  <c r="Q13" i="10"/>
  <c r="J13" i="10"/>
  <c r="C13" i="10"/>
  <c r="A13" i="10"/>
  <c r="V12" i="10"/>
  <c r="U12" i="10"/>
  <c r="R12" i="10"/>
  <c r="Q12" i="10"/>
  <c r="J12" i="10"/>
  <c r="C12" i="10"/>
  <c r="A12" i="10"/>
  <c r="V11" i="10"/>
  <c r="U11" i="10"/>
  <c r="R11" i="10"/>
  <c r="Q11" i="10"/>
  <c r="J11" i="10"/>
  <c r="C11" i="10"/>
  <c r="A11" i="10"/>
  <c r="V10" i="10"/>
  <c r="U10" i="10"/>
  <c r="R10" i="10"/>
  <c r="Q10" i="10"/>
  <c r="J10" i="10"/>
  <c r="C10" i="10"/>
  <c r="A10" i="10"/>
  <c r="V9" i="10"/>
  <c r="U9" i="10"/>
  <c r="R9" i="10"/>
  <c r="Q9" i="10"/>
  <c r="J9" i="10"/>
  <c r="C9" i="10"/>
  <c r="A9" i="10"/>
  <c r="V8" i="10"/>
  <c r="U8" i="10"/>
  <c r="R8" i="10"/>
  <c r="Q8" i="10"/>
  <c r="J8" i="10"/>
  <c r="C8" i="10"/>
  <c r="A8" i="10"/>
  <c r="V7" i="10"/>
  <c r="U7" i="10"/>
  <c r="Q7" i="10"/>
  <c r="R7" i="10" s="1"/>
  <c r="J7" i="10"/>
  <c r="C7" i="10"/>
  <c r="A7" i="10"/>
  <c r="V6" i="10"/>
  <c r="U6" i="10"/>
  <c r="Q6" i="10"/>
  <c r="R6" i="10" s="1"/>
  <c r="J6" i="10"/>
  <c r="C6" i="10"/>
  <c r="A6" i="10"/>
  <c r="V5" i="10"/>
  <c r="U5" i="10"/>
  <c r="Q5" i="10"/>
  <c r="R5" i="10" s="1"/>
  <c r="J5" i="10"/>
  <c r="C5" i="10"/>
  <c r="A5" i="10"/>
  <c r="S154" i="9"/>
  <c r="P154" i="9"/>
  <c r="C154" i="9"/>
  <c r="I154" i="9" s="1"/>
  <c r="A154" i="9"/>
  <c r="S153" i="9"/>
  <c r="P153" i="9"/>
  <c r="C153" i="9"/>
  <c r="I153" i="9" s="1"/>
  <c r="A153" i="9"/>
  <c r="S152" i="9"/>
  <c r="P152" i="9"/>
  <c r="C152" i="9"/>
  <c r="I152" i="9" s="1"/>
  <c r="A152" i="9"/>
  <c r="S151" i="9"/>
  <c r="P151" i="9"/>
  <c r="C151" i="9"/>
  <c r="I151" i="9" s="1"/>
  <c r="A151" i="9"/>
  <c r="S150" i="9"/>
  <c r="P150" i="9"/>
  <c r="C150" i="9"/>
  <c r="I150" i="9" s="1"/>
  <c r="A150" i="9"/>
  <c r="S149" i="9"/>
  <c r="P149" i="9"/>
  <c r="C149" i="9"/>
  <c r="I149" i="9" s="1"/>
  <c r="A149" i="9"/>
  <c r="S148" i="9"/>
  <c r="P148" i="9"/>
  <c r="C148" i="9"/>
  <c r="I148" i="9" s="1"/>
  <c r="A148" i="9"/>
  <c r="S147" i="9"/>
  <c r="P147" i="9"/>
  <c r="C147" i="9"/>
  <c r="I147" i="9" s="1"/>
  <c r="A147" i="9"/>
  <c r="S146" i="9"/>
  <c r="P146" i="9"/>
  <c r="C146" i="9"/>
  <c r="I146" i="9" s="1"/>
  <c r="A146" i="9"/>
  <c r="S145" i="9"/>
  <c r="P145" i="9"/>
  <c r="C145" i="9"/>
  <c r="I145" i="9" s="1"/>
  <c r="A145" i="9"/>
  <c r="S144" i="9"/>
  <c r="P144" i="9"/>
  <c r="C144" i="9"/>
  <c r="I144" i="9" s="1"/>
  <c r="A144" i="9"/>
  <c r="S143" i="9"/>
  <c r="P143" i="9"/>
  <c r="C143" i="9"/>
  <c r="I143" i="9" s="1"/>
  <c r="A143" i="9"/>
  <c r="S142" i="9"/>
  <c r="P142" i="9"/>
  <c r="C142" i="9"/>
  <c r="I142" i="9" s="1"/>
  <c r="A142" i="9"/>
  <c r="S141" i="9"/>
  <c r="P141" i="9"/>
  <c r="C141" i="9"/>
  <c r="I141" i="9" s="1"/>
  <c r="A141" i="9"/>
  <c r="S140" i="9"/>
  <c r="P140" i="9"/>
  <c r="C140" i="9"/>
  <c r="I140" i="9" s="1"/>
  <c r="A140" i="9"/>
  <c r="S139" i="9"/>
  <c r="P139" i="9"/>
  <c r="C139" i="9"/>
  <c r="I139" i="9" s="1"/>
  <c r="A139" i="9"/>
  <c r="S138" i="9"/>
  <c r="P138" i="9"/>
  <c r="C138" i="9"/>
  <c r="I138" i="9" s="1"/>
  <c r="A138" i="9"/>
  <c r="S137" i="9"/>
  <c r="P137" i="9"/>
  <c r="C137" i="9"/>
  <c r="I137" i="9" s="1"/>
  <c r="A137" i="9"/>
  <c r="S136" i="9"/>
  <c r="P136" i="9"/>
  <c r="C136" i="9"/>
  <c r="I136" i="9" s="1"/>
  <c r="A136" i="9"/>
  <c r="S135" i="9"/>
  <c r="P135" i="9"/>
  <c r="C135" i="9"/>
  <c r="I135" i="9" s="1"/>
  <c r="A135" i="9"/>
  <c r="S134" i="9"/>
  <c r="P134" i="9"/>
  <c r="C134" i="9"/>
  <c r="I134" i="9" s="1"/>
  <c r="A134" i="9"/>
  <c r="S133" i="9"/>
  <c r="P133" i="9"/>
  <c r="C133" i="9"/>
  <c r="I133" i="9" s="1"/>
  <c r="A133" i="9"/>
  <c r="S132" i="9"/>
  <c r="P132" i="9"/>
  <c r="C132" i="9"/>
  <c r="I132" i="9" s="1"/>
  <c r="A132" i="9"/>
  <c r="S131" i="9"/>
  <c r="P131" i="9"/>
  <c r="C131" i="9"/>
  <c r="I131" i="9" s="1"/>
  <c r="A131" i="9"/>
  <c r="S130" i="9"/>
  <c r="P130" i="9"/>
  <c r="C130" i="9"/>
  <c r="I130" i="9" s="1"/>
  <c r="A130" i="9"/>
  <c r="S129" i="9"/>
  <c r="P129" i="9"/>
  <c r="C129" i="9"/>
  <c r="I129" i="9" s="1"/>
  <c r="A129" i="9"/>
  <c r="S128" i="9"/>
  <c r="P128" i="9"/>
  <c r="C128" i="9"/>
  <c r="I128" i="9" s="1"/>
  <c r="A128" i="9"/>
  <c r="S127" i="9"/>
  <c r="P127" i="9"/>
  <c r="C127" i="9"/>
  <c r="I127" i="9" s="1"/>
  <c r="A127" i="9"/>
  <c r="S126" i="9"/>
  <c r="P126" i="9"/>
  <c r="C126" i="9"/>
  <c r="I126" i="9" s="1"/>
  <c r="A126" i="9"/>
  <c r="S125" i="9"/>
  <c r="P125" i="9"/>
  <c r="C125" i="9"/>
  <c r="I125" i="9" s="1"/>
  <c r="A125" i="9"/>
  <c r="S124" i="9"/>
  <c r="P124" i="9"/>
  <c r="C124" i="9"/>
  <c r="I124" i="9" s="1"/>
  <c r="A124" i="9"/>
  <c r="S123" i="9"/>
  <c r="P123" i="9"/>
  <c r="C123" i="9"/>
  <c r="I123" i="9" s="1"/>
  <c r="A123" i="9"/>
  <c r="S122" i="9"/>
  <c r="P122" i="9"/>
  <c r="C122" i="9"/>
  <c r="I122" i="9" s="1"/>
  <c r="A122" i="9"/>
  <c r="S121" i="9"/>
  <c r="P121" i="9"/>
  <c r="C121" i="9"/>
  <c r="I121" i="9" s="1"/>
  <c r="A121" i="9"/>
  <c r="S120" i="9"/>
  <c r="P120" i="9"/>
  <c r="C120" i="9"/>
  <c r="I120" i="9" s="1"/>
  <c r="A120" i="9"/>
  <c r="S119" i="9"/>
  <c r="P119" i="9"/>
  <c r="C119" i="9"/>
  <c r="I119" i="9" s="1"/>
  <c r="A119" i="9"/>
  <c r="S118" i="9"/>
  <c r="P118" i="9"/>
  <c r="C118" i="9"/>
  <c r="I118" i="9" s="1"/>
  <c r="A118" i="9"/>
  <c r="S117" i="9"/>
  <c r="P117" i="9"/>
  <c r="C117" i="9"/>
  <c r="I117" i="9" s="1"/>
  <c r="A117" i="9"/>
  <c r="S116" i="9"/>
  <c r="P116" i="9"/>
  <c r="C116" i="9"/>
  <c r="I116" i="9" s="1"/>
  <c r="A116" i="9"/>
  <c r="S115" i="9"/>
  <c r="P115" i="9"/>
  <c r="C115" i="9"/>
  <c r="I115" i="9" s="1"/>
  <c r="A115" i="9"/>
  <c r="S114" i="9"/>
  <c r="P114" i="9"/>
  <c r="C114" i="9"/>
  <c r="I114" i="9" s="1"/>
  <c r="A114" i="9"/>
  <c r="S113" i="9"/>
  <c r="P113" i="9"/>
  <c r="C113" i="9"/>
  <c r="I113" i="9" s="1"/>
  <c r="A113" i="9"/>
  <c r="S112" i="9"/>
  <c r="P112" i="9"/>
  <c r="C112" i="9"/>
  <c r="I112" i="9" s="1"/>
  <c r="A112" i="9"/>
  <c r="S111" i="9"/>
  <c r="P111" i="9"/>
  <c r="C111" i="9"/>
  <c r="I111" i="9" s="1"/>
  <c r="A111" i="9"/>
  <c r="S110" i="9"/>
  <c r="P110" i="9"/>
  <c r="C110" i="9"/>
  <c r="I110" i="9" s="1"/>
  <c r="A110" i="9"/>
  <c r="S109" i="9"/>
  <c r="P109" i="9"/>
  <c r="C109" i="9"/>
  <c r="I109" i="9" s="1"/>
  <c r="A109" i="9"/>
  <c r="S108" i="9"/>
  <c r="P108" i="9"/>
  <c r="C108" i="9"/>
  <c r="I108" i="9" s="1"/>
  <c r="A108" i="9"/>
  <c r="S107" i="9"/>
  <c r="P107" i="9"/>
  <c r="C107" i="9"/>
  <c r="I107" i="9" s="1"/>
  <c r="A107" i="9"/>
  <c r="S106" i="9"/>
  <c r="P106" i="9"/>
  <c r="C106" i="9"/>
  <c r="I106" i="9" s="1"/>
  <c r="A106" i="9"/>
  <c r="S105" i="9"/>
  <c r="P105" i="9"/>
  <c r="C105" i="9"/>
  <c r="I105" i="9" s="1"/>
  <c r="A105" i="9"/>
  <c r="S104" i="9"/>
  <c r="P104" i="9"/>
  <c r="C104" i="9"/>
  <c r="I104" i="9" s="1"/>
  <c r="A104" i="9"/>
  <c r="S103" i="9"/>
  <c r="P103" i="9"/>
  <c r="C103" i="9"/>
  <c r="I103" i="9" s="1"/>
  <c r="A103" i="9"/>
  <c r="S102" i="9"/>
  <c r="P102" i="9"/>
  <c r="C102" i="9"/>
  <c r="I102" i="9" s="1"/>
  <c r="A102" i="9"/>
  <c r="S101" i="9"/>
  <c r="P101" i="9"/>
  <c r="C101" i="9"/>
  <c r="I101" i="9" s="1"/>
  <c r="A101" i="9"/>
  <c r="S100" i="9"/>
  <c r="P100" i="9"/>
  <c r="C100" i="9"/>
  <c r="I100" i="9" s="1"/>
  <c r="A100" i="9"/>
  <c r="S99" i="9"/>
  <c r="P99" i="9"/>
  <c r="C99" i="9"/>
  <c r="I99" i="9" s="1"/>
  <c r="A99" i="9"/>
  <c r="S98" i="9"/>
  <c r="P98" i="9"/>
  <c r="C98" i="9"/>
  <c r="I98" i="9" s="1"/>
  <c r="A98" i="9"/>
  <c r="S97" i="9"/>
  <c r="P97" i="9"/>
  <c r="C97" i="9"/>
  <c r="I97" i="9" s="1"/>
  <c r="A97" i="9"/>
  <c r="S96" i="9"/>
  <c r="P96" i="9"/>
  <c r="C96" i="9"/>
  <c r="I96" i="9" s="1"/>
  <c r="A96" i="9"/>
  <c r="S95" i="9"/>
  <c r="P95" i="9"/>
  <c r="C95" i="9"/>
  <c r="I95" i="9" s="1"/>
  <c r="A95" i="9"/>
  <c r="S94" i="9"/>
  <c r="P94" i="9"/>
  <c r="C94" i="9"/>
  <c r="I94" i="9" s="1"/>
  <c r="A94" i="9"/>
  <c r="S93" i="9"/>
  <c r="P93" i="9"/>
  <c r="C93" i="9"/>
  <c r="I93" i="9" s="1"/>
  <c r="A93" i="9"/>
  <c r="S92" i="9"/>
  <c r="P92" i="9"/>
  <c r="C92" i="9"/>
  <c r="I92" i="9" s="1"/>
  <c r="A92" i="9"/>
  <c r="S91" i="9"/>
  <c r="P91" i="9"/>
  <c r="C91" i="9"/>
  <c r="I91" i="9" s="1"/>
  <c r="A91" i="9"/>
  <c r="S90" i="9"/>
  <c r="P90" i="9"/>
  <c r="C90" i="9"/>
  <c r="I90" i="9" s="1"/>
  <c r="A90" i="9"/>
  <c r="S89" i="9"/>
  <c r="P89" i="9"/>
  <c r="C89" i="9"/>
  <c r="I89" i="9" s="1"/>
  <c r="A89" i="9"/>
  <c r="S88" i="9"/>
  <c r="P88" i="9"/>
  <c r="C88" i="9"/>
  <c r="I88" i="9" s="1"/>
  <c r="A88" i="9"/>
  <c r="S87" i="9"/>
  <c r="P87" i="9"/>
  <c r="C87" i="9"/>
  <c r="I87" i="9" s="1"/>
  <c r="A87" i="9"/>
  <c r="S86" i="9"/>
  <c r="P86" i="9"/>
  <c r="C86" i="9"/>
  <c r="I86" i="9" s="1"/>
  <c r="A86" i="9"/>
  <c r="S85" i="9"/>
  <c r="P85" i="9"/>
  <c r="C85" i="9"/>
  <c r="I85" i="9" s="1"/>
  <c r="A85" i="9"/>
  <c r="S84" i="9"/>
  <c r="P84" i="9"/>
  <c r="C84" i="9"/>
  <c r="I84" i="9" s="1"/>
  <c r="A84" i="9"/>
  <c r="S83" i="9"/>
  <c r="P83" i="9"/>
  <c r="C83" i="9"/>
  <c r="I83" i="9" s="1"/>
  <c r="A83" i="9"/>
  <c r="S82" i="9"/>
  <c r="P82" i="9"/>
  <c r="C82" i="9"/>
  <c r="I82" i="9" s="1"/>
  <c r="A82" i="9"/>
  <c r="S81" i="9"/>
  <c r="P81" i="9"/>
  <c r="C81" i="9"/>
  <c r="I81" i="9" s="1"/>
  <c r="A81" i="9"/>
  <c r="S80" i="9"/>
  <c r="P80" i="9"/>
  <c r="C80" i="9"/>
  <c r="I80" i="9" s="1"/>
  <c r="A80" i="9"/>
  <c r="S79" i="9"/>
  <c r="P79" i="9"/>
  <c r="C79" i="9"/>
  <c r="I79" i="9" s="1"/>
  <c r="A79" i="9"/>
  <c r="S78" i="9"/>
  <c r="P78" i="9"/>
  <c r="C78" i="9"/>
  <c r="I78" i="9" s="1"/>
  <c r="A78" i="9"/>
  <c r="S77" i="9"/>
  <c r="P77" i="9"/>
  <c r="C77" i="9"/>
  <c r="I77" i="9" s="1"/>
  <c r="A77" i="9"/>
  <c r="S76" i="9"/>
  <c r="P76" i="9"/>
  <c r="C76" i="9"/>
  <c r="I76" i="9" s="1"/>
  <c r="A76" i="9"/>
  <c r="S75" i="9"/>
  <c r="P75" i="9"/>
  <c r="C75" i="9"/>
  <c r="I75" i="9" s="1"/>
  <c r="A75" i="9"/>
  <c r="S74" i="9"/>
  <c r="P74" i="9"/>
  <c r="C74" i="9"/>
  <c r="I74" i="9" s="1"/>
  <c r="A74" i="9"/>
  <c r="S73" i="9"/>
  <c r="P73" i="9"/>
  <c r="C73" i="9"/>
  <c r="I73" i="9" s="1"/>
  <c r="A73" i="9"/>
  <c r="S72" i="9"/>
  <c r="P72" i="9"/>
  <c r="C72" i="9"/>
  <c r="I72" i="9" s="1"/>
  <c r="A72" i="9"/>
  <c r="S71" i="9"/>
  <c r="P71" i="9"/>
  <c r="C71" i="9"/>
  <c r="I71" i="9" s="1"/>
  <c r="A71" i="9"/>
  <c r="S70" i="9"/>
  <c r="P70" i="9"/>
  <c r="C70" i="9"/>
  <c r="I70" i="9" s="1"/>
  <c r="A70" i="9"/>
  <c r="S69" i="9"/>
  <c r="P69" i="9"/>
  <c r="C69" i="9"/>
  <c r="I69" i="9" s="1"/>
  <c r="A69" i="9"/>
  <c r="S68" i="9"/>
  <c r="P68" i="9"/>
  <c r="C68" i="9"/>
  <c r="I68" i="9" s="1"/>
  <c r="A68" i="9"/>
  <c r="S67" i="9"/>
  <c r="P67" i="9"/>
  <c r="C67" i="9"/>
  <c r="I67" i="9" s="1"/>
  <c r="A67" i="9"/>
  <c r="S66" i="9"/>
  <c r="P66" i="9"/>
  <c r="C66" i="9"/>
  <c r="I66" i="9" s="1"/>
  <c r="A66" i="9"/>
  <c r="S65" i="9"/>
  <c r="P65" i="9"/>
  <c r="C65" i="9"/>
  <c r="I65" i="9" s="1"/>
  <c r="A65" i="9"/>
  <c r="S64" i="9"/>
  <c r="P64" i="9"/>
  <c r="C64" i="9"/>
  <c r="I64" i="9" s="1"/>
  <c r="A64" i="9"/>
  <c r="S63" i="9"/>
  <c r="P63" i="9"/>
  <c r="C63" i="9"/>
  <c r="I63" i="9" s="1"/>
  <c r="A63" i="9"/>
  <c r="S62" i="9"/>
  <c r="P62" i="9"/>
  <c r="C62" i="9"/>
  <c r="I62" i="9" s="1"/>
  <c r="A62" i="9"/>
  <c r="S61" i="9"/>
  <c r="P61" i="9"/>
  <c r="C61" i="9"/>
  <c r="I61" i="9" s="1"/>
  <c r="A61" i="9"/>
  <c r="S60" i="9"/>
  <c r="P60" i="9"/>
  <c r="C60" i="9"/>
  <c r="I60" i="9" s="1"/>
  <c r="A60" i="9"/>
  <c r="S59" i="9"/>
  <c r="P59" i="9"/>
  <c r="C59" i="9"/>
  <c r="I59" i="9" s="1"/>
  <c r="A59" i="9"/>
  <c r="S58" i="9"/>
  <c r="P58" i="9"/>
  <c r="C58" i="9"/>
  <c r="I58" i="9" s="1"/>
  <c r="A58" i="9"/>
  <c r="S57" i="9"/>
  <c r="P57" i="9"/>
  <c r="C57" i="9"/>
  <c r="I57" i="9" s="1"/>
  <c r="A57" i="9"/>
  <c r="S56" i="9"/>
  <c r="P56" i="9"/>
  <c r="C56" i="9"/>
  <c r="I56" i="9" s="1"/>
  <c r="A56" i="9"/>
  <c r="S55" i="9"/>
  <c r="P55" i="9"/>
  <c r="C55" i="9"/>
  <c r="I55" i="9" s="1"/>
  <c r="A55" i="9"/>
  <c r="S54" i="9"/>
  <c r="P54" i="9"/>
  <c r="C54" i="9"/>
  <c r="I54" i="9" s="1"/>
  <c r="A54" i="9"/>
  <c r="S53" i="9"/>
  <c r="P53" i="9"/>
  <c r="C53" i="9"/>
  <c r="I53" i="9" s="1"/>
  <c r="A53" i="9"/>
  <c r="S52" i="9"/>
  <c r="P52" i="9"/>
  <c r="C52" i="9"/>
  <c r="I52" i="9" s="1"/>
  <c r="A52" i="9"/>
  <c r="S51" i="9"/>
  <c r="P51" i="9"/>
  <c r="C51" i="9"/>
  <c r="I51" i="9" s="1"/>
  <c r="A51" i="9"/>
  <c r="S50" i="9"/>
  <c r="P50" i="9"/>
  <c r="C50" i="9"/>
  <c r="I50" i="9" s="1"/>
  <c r="A50" i="9"/>
  <c r="S49" i="9"/>
  <c r="P49" i="9"/>
  <c r="C49" i="9"/>
  <c r="I49" i="9" s="1"/>
  <c r="A49" i="9"/>
  <c r="S48" i="9"/>
  <c r="P48" i="9"/>
  <c r="C48" i="9"/>
  <c r="I48" i="9" s="1"/>
  <c r="A48" i="9"/>
  <c r="S47" i="9"/>
  <c r="P47" i="9"/>
  <c r="C47" i="9"/>
  <c r="I47" i="9" s="1"/>
  <c r="A47" i="9"/>
  <c r="S46" i="9"/>
  <c r="P46" i="9"/>
  <c r="C46" i="9"/>
  <c r="I46" i="9" s="1"/>
  <c r="A46" i="9"/>
  <c r="S45" i="9"/>
  <c r="P45" i="9"/>
  <c r="C45" i="9"/>
  <c r="I45" i="9" s="1"/>
  <c r="A45" i="9"/>
  <c r="S44" i="9"/>
  <c r="P44" i="9"/>
  <c r="C44" i="9"/>
  <c r="I44" i="9" s="1"/>
  <c r="A44" i="9"/>
  <c r="S43" i="9"/>
  <c r="P43" i="9"/>
  <c r="C43" i="9"/>
  <c r="I43" i="9" s="1"/>
  <c r="A43" i="9"/>
  <c r="S42" i="9"/>
  <c r="P42" i="9"/>
  <c r="C42" i="9"/>
  <c r="I42" i="9" s="1"/>
  <c r="A42" i="9"/>
  <c r="S41" i="9"/>
  <c r="P41" i="9"/>
  <c r="C41" i="9"/>
  <c r="I41" i="9" s="1"/>
  <c r="A41" i="9"/>
  <c r="S40" i="9"/>
  <c r="P40" i="9"/>
  <c r="C40" i="9"/>
  <c r="I40" i="9" s="1"/>
  <c r="A40" i="9"/>
  <c r="S39" i="9"/>
  <c r="P39" i="9"/>
  <c r="C39" i="9"/>
  <c r="I39" i="9" s="1"/>
  <c r="A39" i="9"/>
  <c r="S38" i="9"/>
  <c r="P38" i="9"/>
  <c r="C38" i="9"/>
  <c r="I38" i="9" s="1"/>
  <c r="A38" i="9"/>
  <c r="S37" i="9"/>
  <c r="P37" i="9"/>
  <c r="C37" i="9"/>
  <c r="I37" i="9" s="1"/>
  <c r="A37" i="9"/>
  <c r="S36" i="9"/>
  <c r="P36" i="9"/>
  <c r="C36" i="9"/>
  <c r="I36" i="9" s="1"/>
  <c r="A36" i="9"/>
  <c r="S35" i="9"/>
  <c r="P35" i="9"/>
  <c r="C35" i="9"/>
  <c r="I35" i="9" s="1"/>
  <c r="A35" i="9"/>
  <c r="S34" i="9"/>
  <c r="P34" i="9"/>
  <c r="C34" i="9"/>
  <c r="I34" i="9" s="1"/>
  <c r="A34" i="9"/>
  <c r="S33" i="9"/>
  <c r="P33" i="9"/>
  <c r="C33" i="9"/>
  <c r="I33" i="9" s="1"/>
  <c r="A33" i="9"/>
  <c r="S32" i="9"/>
  <c r="P32" i="9"/>
  <c r="C32" i="9"/>
  <c r="I32" i="9" s="1"/>
  <c r="A32" i="9"/>
  <c r="S31" i="9"/>
  <c r="P31" i="9"/>
  <c r="C31" i="9"/>
  <c r="I31" i="9" s="1"/>
  <c r="A31" i="9"/>
  <c r="S30" i="9"/>
  <c r="P30" i="9"/>
  <c r="C30" i="9"/>
  <c r="I30" i="9" s="1"/>
  <c r="A30" i="9"/>
  <c r="S29" i="9"/>
  <c r="P29" i="9"/>
  <c r="C29" i="9"/>
  <c r="I29" i="9" s="1"/>
  <c r="A29" i="9"/>
  <c r="S28" i="9"/>
  <c r="P28" i="9"/>
  <c r="C28" i="9"/>
  <c r="I28" i="9" s="1"/>
  <c r="A28" i="9"/>
  <c r="S27" i="9"/>
  <c r="P27" i="9"/>
  <c r="C27" i="9"/>
  <c r="I27" i="9" s="1"/>
  <c r="A27" i="9"/>
  <c r="S26" i="9"/>
  <c r="P26" i="9"/>
  <c r="C26" i="9"/>
  <c r="I26" i="9" s="1"/>
  <c r="A26" i="9"/>
  <c r="S25" i="9"/>
  <c r="P25" i="9"/>
  <c r="C25" i="9"/>
  <c r="I25" i="9" s="1"/>
  <c r="A25" i="9"/>
  <c r="S24" i="9"/>
  <c r="P24" i="9"/>
  <c r="C24" i="9"/>
  <c r="I24" i="9" s="1"/>
  <c r="A24" i="9"/>
  <c r="S23" i="9"/>
  <c r="P23" i="9"/>
  <c r="C23" i="9"/>
  <c r="I23" i="9" s="1"/>
  <c r="A23" i="9"/>
  <c r="S22" i="9"/>
  <c r="P22" i="9"/>
  <c r="C22" i="9"/>
  <c r="I22" i="9" s="1"/>
  <c r="A22" i="9"/>
  <c r="S21" i="9"/>
  <c r="P21" i="9"/>
  <c r="C21" i="9"/>
  <c r="I21" i="9" s="1"/>
  <c r="A21" i="9"/>
  <c r="S20" i="9"/>
  <c r="P20" i="9"/>
  <c r="C20" i="9"/>
  <c r="I20" i="9" s="1"/>
  <c r="A20" i="9"/>
  <c r="S19" i="9"/>
  <c r="P19" i="9"/>
  <c r="C19" i="9"/>
  <c r="I19" i="9" s="1"/>
  <c r="A19" i="9"/>
  <c r="S18" i="9"/>
  <c r="P18" i="9"/>
  <c r="C18" i="9"/>
  <c r="I18" i="9" s="1"/>
  <c r="A18" i="9"/>
  <c r="S17" i="9"/>
  <c r="P17" i="9"/>
  <c r="C17" i="9"/>
  <c r="I17" i="9" s="1"/>
  <c r="A17" i="9"/>
  <c r="S16" i="9"/>
  <c r="P16" i="9"/>
  <c r="C16" i="9"/>
  <c r="I16" i="9" s="1"/>
  <c r="A16" i="9"/>
  <c r="S15" i="9"/>
  <c r="P15" i="9"/>
  <c r="C15" i="9"/>
  <c r="I15" i="9" s="1"/>
  <c r="A15" i="9"/>
  <c r="S14" i="9"/>
  <c r="P14" i="9"/>
  <c r="C14" i="9"/>
  <c r="I14" i="9" s="1"/>
  <c r="A14" i="9"/>
  <c r="S13" i="9"/>
  <c r="P13" i="9"/>
  <c r="C13" i="9"/>
  <c r="I13" i="9" s="1"/>
  <c r="A13" i="9"/>
  <c r="S12" i="9"/>
  <c r="P12" i="9"/>
  <c r="C12" i="9"/>
  <c r="I12" i="9" s="1"/>
  <c r="A12" i="9"/>
  <c r="S11" i="9"/>
  <c r="P11" i="9"/>
  <c r="C11" i="9"/>
  <c r="I11" i="9" s="1"/>
  <c r="A11" i="9"/>
  <c r="S10" i="9"/>
  <c r="P10" i="9"/>
  <c r="C10" i="9"/>
  <c r="I10" i="9" s="1"/>
  <c r="A10" i="9"/>
  <c r="S9" i="9"/>
  <c r="P9" i="9"/>
  <c r="C9" i="9"/>
  <c r="I9" i="9" s="1"/>
  <c r="A9" i="9"/>
  <c r="S8" i="9"/>
  <c r="P8" i="9"/>
  <c r="C8" i="9"/>
  <c r="I8" i="9" s="1"/>
  <c r="A8" i="9"/>
  <c r="S7" i="9"/>
  <c r="P7" i="9"/>
  <c r="C7" i="9"/>
  <c r="I7" i="9" s="1"/>
  <c r="A7" i="9"/>
  <c r="S6" i="9"/>
  <c r="P6" i="9"/>
  <c r="C6" i="9"/>
  <c r="I6" i="9" s="1"/>
  <c r="A6" i="9"/>
  <c r="S5" i="9"/>
  <c r="F14" i="25" s="1"/>
  <c r="P5" i="9"/>
  <c r="C5" i="9"/>
  <c r="I5" i="9" s="1"/>
  <c r="B12" i="17" s="1"/>
  <c r="A5" i="9"/>
  <c r="T10" i="8"/>
  <c r="S10" i="8"/>
  <c r="R10" i="8"/>
  <c r="N10" i="8"/>
  <c r="K10" i="8"/>
  <c r="J10" i="8"/>
  <c r="I10" i="8"/>
  <c r="H10" i="8"/>
  <c r="G10" i="8"/>
  <c r="F10" i="8"/>
  <c r="E10" i="8"/>
  <c r="D10" i="8"/>
  <c r="C10" i="8"/>
  <c r="B10" i="8"/>
  <c r="R9" i="8"/>
  <c r="N9" i="8"/>
  <c r="K9" i="8"/>
  <c r="J9" i="8"/>
  <c r="I9" i="8"/>
  <c r="H9" i="8"/>
  <c r="G9" i="8"/>
  <c r="F9" i="8"/>
  <c r="E9" i="8"/>
  <c r="D9" i="8"/>
  <c r="C9" i="8"/>
  <c r="B9" i="8"/>
  <c r="R8" i="8"/>
  <c r="N8" i="8"/>
  <c r="K8" i="8"/>
  <c r="J8" i="8"/>
  <c r="I8" i="8"/>
  <c r="H8" i="8"/>
  <c r="G8" i="8"/>
  <c r="F8" i="8"/>
  <c r="E8" i="8"/>
  <c r="D8" i="8"/>
  <c r="C8" i="8"/>
  <c r="B8" i="8"/>
  <c r="R7" i="8"/>
  <c r="N7" i="8"/>
  <c r="K7" i="8"/>
  <c r="J7" i="8"/>
  <c r="I7" i="8"/>
  <c r="H7" i="8"/>
  <c r="G7" i="8"/>
  <c r="F7" i="8"/>
  <c r="D7" i="8"/>
  <c r="C7" i="8"/>
  <c r="B7" i="8"/>
  <c r="T6" i="8"/>
  <c r="R6" i="8"/>
  <c r="N6" i="8"/>
  <c r="K6" i="8"/>
  <c r="J6" i="8"/>
  <c r="I6" i="8"/>
  <c r="H6" i="8"/>
  <c r="G6" i="8"/>
  <c r="F6" i="8"/>
  <c r="E6" i="8"/>
  <c r="D6" i="8"/>
  <c r="C6" i="8"/>
  <c r="B6" i="8"/>
  <c r="T5" i="8"/>
  <c r="R5" i="8"/>
  <c r="N5" i="8"/>
  <c r="K5" i="8"/>
  <c r="J5" i="8"/>
  <c r="I5" i="8"/>
  <c r="H5" i="8"/>
  <c r="G5" i="8"/>
  <c r="F5" i="8"/>
  <c r="E5" i="8"/>
  <c r="D5" i="8"/>
  <c r="C5" i="8"/>
  <c r="B5" i="8"/>
  <c r="AC151" i="7"/>
  <c r="Q151" i="7"/>
  <c r="O151" i="7"/>
  <c r="E151" i="7"/>
  <c r="C151" i="7"/>
  <c r="A151" i="7"/>
  <c r="AC150" i="7"/>
  <c r="Q150" i="7"/>
  <c r="O150" i="7"/>
  <c r="E150" i="7"/>
  <c r="C150" i="7"/>
  <c r="A150" i="7"/>
  <c r="AC149" i="7"/>
  <c r="Q149" i="7"/>
  <c r="O149" i="7"/>
  <c r="E149" i="7"/>
  <c r="C149" i="7"/>
  <c r="A149" i="7"/>
  <c r="AC148" i="7"/>
  <c r="Q148" i="7"/>
  <c r="O148" i="7"/>
  <c r="E148" i="7"/>
  <c r="C148" i="7"/>
  <c r="A148" i="7"/>
  <c r="AC147" i="7"/>
  <c r="Q147" i="7"/>
  <c r="O147" i="7"/>
  <c r="E147" i="7"/>
  <c r="C147" i="7"/>
  <c r="A147" i="7"/>
  <c r="AC146" i="7"/>
  <c r="Q146" i="7"/>
  <c r="O146" i="7"/>
  <c r="E146" i="7"/>
  <c r="C146" i="7"/>
  <c r="A146" i="7"/>
  <c r="AC145" i="7"/>
  <c r="Q145" i="7"/>
  <c r="O145" i="7"/>
  <c r="E145" i="7"/>
  <c r="C145" i="7"/>
  <c r="A145" i="7"/>
  <c r="AC144" i="7"/>
  <c r="Q144" i="7"/>
  <c r="O144" i="7"/>
  <c r="E144" i="7"/>
  <c r="C144" i="7"/>
  <c r="A144" i="7"/>
  <c r="AC143" i="7"/>
  <c r="Q143" i="7"/>
  <c r="O143" i="7"/>
  <c r="E143" i="7"/>
  <c r="C143" i="7"/>
  <c r="A143" i="7"/>
  <c r="AC142" i="7"/>
  <c r="Q142" i="7"/>
  <c r="O142" i="7"/>
  <c r="E142" i="7"/>
  <c r="C142" i="7"/>
  <c r="A142" i="7"/>
  <c r="AC141" i="7"/>
  <c r="Q141" i="7"/>
  <c r="O141" i="7"/>
  <c r="E141" i="7"/>
  <c r="C141" i="7"/>
  <c r="A141" i="7"/>
  <c r="AC140" i="7"/>
  <c r="Q140" i="7"/>
  <c r="O140" i="7"/>
  <c r="E140" i="7"/>
  <c r="C140" i="7"/>
  <c r="A140" i="7"/>
  <c r="AC139" i="7"/>
  <c r="Q139" i="7"/>
  <c r="O139" i="7"/>
  <c r="E139" i="7"/>
  <c r="C139" i="7"/>
  <c r="A139" i="7"/>
  <c r="AC138" i="7"/>
  <c r="Q138" i="7"/>
  <c r="O138" i="7"/>
  <c r="E138" i="7"/>
  <c r="C138" i="7"/>
  <c r="A138" i="7"/>
  <c r="AC137" i="7"/>
  <c r="Q137" i="7"/>
  <c r="O137" i="7"/>
  <c r="E137" i="7"/>
  <c r="C137" i="7"/>
  <c r="A137" i="7"/>
  <c r="AC136" i="7"/>
  <c r="Q136" i="7"/>
  <c r="O136" i="7"/>
  <c r="E136" i="7"/>
  <c r="C136" i="7"/>
  <c r="A136" i="7"/>
  <c r="AC135" i="7"/>
  <c r="Q135" i="7"/>
  <c r="O135" i="7"/>
  <c r="E135" i="7"/>
  <c r="C135" i="7"/>
  <c r="A135" i="7"/>
  <c r="AC134" i="7"/>
  <c r="Q134" i="7"/>
  <c r="O134" i="7"/>
  <c r="E134" i="7"/>
  <c r="C134" i="7"/>
  <c r="A134" i="7"/>
  <c r="AC133" i="7"/>
  <c r="Q133" i="7"/>
  <c r="O133" i="7"/>
  <c r="E133" i="7"/>
  <c r="C133" i="7"/>
  <c r="A133" i="7"/>
  <c r="AC132" i="7"/>
  <c r="Q132" i="7"/>
  <c r="O132" i="7"/>
  <c r="E132" i="7"/>
  <c r="C132" i="7"/>
  <c r="A132" i="7"/>
  <c r="AC131" i="7"/>
  <c r="Q131" i="7"/>
  <c r="O131" i="7"/>
  <c r="E131" i="7"/>
  <c r="C131" i="7"/>
  <c r="A131" i="7"/>
  <c r="AC130" i="7"/>
  <c r="Q130" i="7"/>
  <c r="O130" i="7"/>
  <c r="E130" i="7"/>
  <c r="C130" i="7"/>
  <c r="A130" i="7"/>
  <c r="AC129" i="7"/>
  <c r="Q129" i="7"/>
  <c r="O129" i="7"/>
  <c r="E129" i="7"/>
  <c r="C129" i="7"/>
  <c r="A129" i="7"/>
  <c r="AC128" i="7"/>
  <c r="Q128" i="7"/>
  <c r="O128" i="7"/>
  <c r="E128" i="7"/>
  <c r="C128" i="7"/>
  <c r="A128" i="7"/>
  <c r="AC127" i="7"/>
  <c r="Q127" i="7"/>
  <c r="O127" i="7"/>
  <c r="E127" i="7"/>
  <c r="C127" i="7"/>
  <c r="A127" i="7"/>
  <c r="AC126" i="7"/>
  <c r="Q126" i="7"/>
  <c r="O126" i="7"/>
  <c r="E126" i="7"/>
  <c r="C126" i="7"/>
  <c r="A126" i="7"/>
  <c r="AC125" i="7"/>
  <c r="Q125" i="7"/>
  <c r="O125" i="7"/>
  <c r="E125" i="7"/>
  <c r="C125" i="7"/>
  <c r="A125" i="7"/>
  <c r="AC124" i="7"/>
  <c r="Q124" i="7"/>
  <c r="O124" i="7"/>
  <c r="E124" i="7"/>
  <c r="C124" i="7"/>
  <c r="A124" i="7"/>
  <c r="AC123" i="7"/>
  <c r="Q123" i="7"/>
  <c r="O123" i="7"/>
  <c r="E123" i="7"/>
  <c r="C123" i="7"/>
  <c r="A123" i="7"/>
  <c r="AC122" i="7"/>
  <c r="Q122" i="7"/>
  <c r="O122" i="7"/>
  <c r="E122" i="7"/>
  <c r="C122" i="7"/>
  <c r="A122" i="7"/>
  <c r="AC121" i="7"/>
  <c r="Q121" i="7"/>
  <c r="O121" i="7"/>
  <c r="E121" i="7"/>
  <c r="C121" i="7"/>
  <c r="A121" i="7"/>
  <c r="AC120" i="7"/>
  <c r="Q120" i="7"/>
  <c r="O120" i="7"/>
  <c r="E120" i="7"/>
  <c r="C120" i="7"/>
  <c r="A120" i="7"/>
  <c r="AC119" i="7"/>
  <c r="Q119" i="7"/>
  <c r="O119" i="7"/>
  <c r="E119" i="7"/>
  <c r="C119" i="7"/>
  <c r="A119" i="7"/>
  <c r="AC118" i="7"/>
  <c r="Q118" i="7"/>
  <c r="O118" i="7"/>
  <c r="E118" i="7"/>
  <c r="C118" i="7"/>
  <c r="A118" i="7"/>
  <c r="AC117" i="7"/>
  <c r="Q117" i="7"/>
  <c r="O117" i="7"/>
  <c r="E117" i="7"/>
  <c r="C117" i="7"/>
  <c r="A117" i="7"/>
  <c r="AC116" i="7"/>
  <c r="Q116" i="7"/>
  <c r="O116" i="7"/>
  <c r="E116" i="7"/>
  <c r="C116" i="7"/>
  <c r="A116" i="7"/>
  <c r="AC115" i="7"/>
  <c r="Q115" i="7"/>
  <c r="O115" i="7"/>
  <c r="E115" i="7"/>
  <c r="C115" i="7"/>
  <c r="A115" i="7"/>
  <c r="AC114" i="7"/>
  <c r="Q114" i="7"/>
  <c r="O114" i="7"/>
  <c r="E114" i="7"/>
  <c r="C114" i="7"/>
  <c r="A114" i="7"/>
  <c r="AC113" i="7"/>
  <c r="Q113" i="7"/>
  <c r="O113" i="7"/>
  <c r="E113" i="7"/>
  <c r="C113" i="7"/>
  <c r="A113" i="7"/>
  <c r="AC112" i="7"/>
  <c r="Q112" i="7"/>
  <c r="O112" i="7"/>
  <c r="E112" i="7"/>
  <c r="C112" i="7"/>
  <c r="A112" i="7"/>
  <c r="AC111" i="7"/>
  <c r="Q111" i="7"/>
  <c r="O111" i="7"/>
  <c r="E111" i="7"/>
  <c r="C111" i="7"/>
  <c r="A111" i="7"/>
  <c r="AC110" i="7"/>
  <c r="Q110" i="7"/>
  <c r="O110" i="7"/>
  <c r="E110" i="7"/>
  <c r="C110" i="7"/>
  <c r="A110" i="7"/>
  <c r="AC109" i="7"/>
  <c r="Q109" i="7"/>
  <c r="O109" i="7"/>
  <c r="E109" i="7"/>
  <c r="C109" i="7"/>
  <c r="A109" i="7"/>
  <c r="AC108" i="7"/>
  <c r="Q108" i="7"/>
  <c r="O108" i="7"/>
  <c r="E108" i="7"/>
  <c r="C108" i="7"/>
  <c r="A108" i="7"/>
  <c r="AC107" i="7"/>
  <c r="Q107" i="7"/>
  <c r="O107" i="7"/>
  <c r="E107" i="7"/>
  <c r="C107" i="7"/>
  <c r="A107" i="7"/>
  <c r="AC106" i="7"/>
  <c r="Q106" i="7"/>
  <c r="O106" i="7"/>
  <c r="E106" i="7"/>
  <c r="C106" i="7"/>
  <c r="A106" i="7"/>
  <c r="AC105" i="7"/>
  <c r="Q105" i="7"/>
  <c r="O105" i="7"/>
  <c r="E105" i="7"/>
  <c r="C105" i="7"/>
  <c r="A105" i="7"/>
  <c r="AC104" i="7"/>
  <c r="Q104" i="7"/>
  <c r="O104" i="7"/>
  <c r="E104" i="7"/>
  <c r="C104" i="7"/>
  <c r="A104" i="7"/>
  <c r="AC103" i="7"/>
  <c r="Q103" i="7"/>
  <c r="O103" i="7"/>
  <c r="E103" i="7"/>
  <c r="C103" i="7"/>
  <c r="A103" i="7"/>
  <c r="AC102" i="7"/>
  <c r="Q102" i="7"/>
  <c r="O102" i="7"/>
  <c r="E102" i="7"/>
  <c r="C102" i="7"/>
  <c r="A102" i="7"/>
  <c r="AC101" i="7"/>
  <c r="Q101" i="7"/>
  <c r="O101" i="7"/>
  <c r="E101" i="7"/>
  <c r="C101" i="7"/>
  <c r="A101" i="7"/>
  <c r="AC100" i="7"/>
  <c r="Q100" i="7"/>
  <c r="O100" i="7"/>
  <c r="E100" i="7"/>
  <c r="C100" i="7"/>
  <c r="A100" i="7"/>
  <c r="AC99" i="7"/>
  <c r="Q99" i="7"/>
  <c r="O99" i="7"/>
  <c r="E99" i="7"/>
  <c r="C99" i="7"/>
  <c r="A99" i="7"/>
  <c r="AC98" i="7"/>
  <c r="Q98" i="7"/>
  <c r="O98" i="7"/>
  <c r="E98" i="7"/>
  <c r="C98" i="7"/>
  <c r="A98" i="7"/>
  <c r="AC97" i="7"/>
  <c r="Q97" i="7"/>
  <c r="O97" i="7"/>
  <c r="E97" i="7"/>
  <c r="C97" i="7"/>
  <c r="A97" i="7"/>
  <c r="AC96" i="7"/>
  <c r="Q96" i="7"/>
  <c r="O96" i="7"/>
  <c r="E96" i="7"/>
  <c r="C96" i="7"/>
  <c r="A96" i="7"/>
  <c r="AC95" i="7"/>
  <c r="Q95" i="7"/>
  <c r="O95" i="7"/>
  <c r="E95" i="7"/>
  <c r="C95" i="7"/>
  <c r="A95" i="7"/>
  <c r="AC94" i="7"/>
  <c r="Q94" i="7"/>
  <c r="O94" i="7"/>
  <c r="E94" i="7"/>
  <c r="C94" i="7"/>
  <c r="A94" i="7"/>
  <c r="AC93" i="7"/>
  <c r="Q93" i="7"/>
  <c r="O93" i="7"/>
  <c r="E93" i="7"/>
  <c r="C93" i="7"/>
  <c r="A93" i="7"/>
  <c r="AC92" i="7"/>
  <c r="Q92" i="7"/>
  <c r="O92" i="7"/>
  <c r="E92" i="7"/>
  <c r="C92" i="7"/>
  <c r="A92" i="7"/>
  <c r="AC91" i="7"/>
  <c r="Q91" i="7"/>
  <c r="O91" i="7"/>
  <c r="E91" i="7"/>
  <c r="C91" i="7"/>
  <c r="A91" i="7"/>
  <c r="AC90" i="7"/>
  <c r="Q90" i="7"/>
  <c r="O90" i="7"/>
  <c r="E90" i="7"/>
  <c r="C90" i="7"/>
  <c r="A90" i="7"/>
  <c r="AC89" i="7"/>
  <c r="Q89" i="7"/>
  <c r="O89" i="7"/>
  <c r="E89" i="7"/>
  <c r="C89" i="7"/>
  <c r="A89" i="7"/>
  <c r="AC88" i="7"/>
  <c r="Q88" i="7"/>
  <c r="O88" i="7"/>
  <c r="E88" i="7"/>
  <c r="C88" i="7"/>
  <c r="A88" i="7"/>
  <c r="AC87" i="7"/>
  <c r="Q87" i="7"/>
  <c r="O87" i="7"/>
  <c r="E87" i="7"/>
  <c r="C87" i="7"/>
  <c r="A87" i="7"/>
  <c r="AC86" i="7"/>
  <c r="Q86" i="7"/>
  <c r="O86" i="7"/>
  <c r="E86" i="7"/>
  <c r="C86" i="7"/>
  <c r="A86" i="7"/>
  <c r="AC85" i="7"/>
  <c r="Q85" i="7"/>
  <c r="O85" i="7"/>
  <c r="E85" i="7"/>
  <c r="C85" i="7"/>
  <c r="A85" i="7"/>
  <c r="AC84" i="7"/>
  <c r="Q84" i="7"/>
  <c r="O84" i="7"/>
  <c r="E84" i="7"/>
  <c r="C84" i="7"/>
  <c r="A84" i="7"/>
  <c r="AC83" i="7"/>
  <c r="Q83" i="7"/>
  <c r="O83" i="7"/>
  <c r="E83" i="7"/>
  <c r="C83" i="7"/>
  <c r="A83" i="7"/>
  <c r="AC82" i="7"/>
  <c r="Q82" i="7"/>
  <c r="O82" i="7"/>
  <c r="E82" i="7"/>
  <c r="C82" i="7"/>
  <c r="A82" i="7"/>
  <c r="AC81" i="7"/>
  <c r="Q81" i="7"/>
  <c r="O81" i="7"/>
  <c r="E81" i="7"/>
  <c r="C81" i="7"/>
  <c r="A81" i="7"/>
  <c r="AC80" i="7"/>
  <c r="Q80" i="7"/>
  <c r="O80" i="7"/>
  <c r="E80" i="7"/>
  <c r="C80" i="7"/>
  <c r="A80" i="7"/>
  <c r="AC79" i="7"/>
  <c r="Q79" i="7"/>
  <c r="O79" i="7"/>
  <c r="E79" i="7"/>
  <c r="C79" i="7"/>
  <c r="A79" i="7"/>
  <c r="AC78" i="7"/>
  <c r="Q78" i="7"/>
  <c r="O78" i="7"/>
  <c r="E78" i="7"/>
  <c r="C78" i="7"/>
  <c r="A78" i="7"/>
  <c r="AC77" i="7"/>
  <c r="Q77" i="7"/>
  <c r="O77" i="7"/>
  <c r="E77" i="7"/>
  <c r="C77" i="7"/>
  <c r="A77" i="7"/>
  <c r="AC76" i="7"/>
  <c r="Q76" i="7"/>
  <c r="O76" i="7"/>
  <c r="E76" i="7"/>
  <c r="C76" i="7"/>
  <c r="A76" i="7"/>
  <c r="AC75" i="7"/>
  <c r="Q75" i="7"/>
  <c r="O75" i="7"/>
  <c r="E75" i="7"/>
  <c r="C75" i="7"/>
  <c r="A75" i="7"/>
  <c r="AC74" i="7"/>
  <c r="Q74" i="7"/>
  <c r="O74" i="7"/>
  <c r="E74" i="7"/>
  <c r="C74" i="7"/>
  <c r="A74" i="7"/>
  <c r="AC73" i="7"/>
  <c r="Q73" i="7"/>
  <c r="O73" i="7"/>
  <c r="E73" i="7"/>
  <c r="C73" i="7"/>
  <c r="A73" i="7"/>
  <c r="AC72" i="7"/>
  <c r="Q72" i="7"/>
  <c r="O72" i="7"/>
  <c r="E72" i="7"/>
  <c r="C72" i="7"/>
  <c r="A72" i="7"/>
  <c r="AC71" i="7"/>
  <c r="Q71" i="7"/>
  <c r="O71" i="7"/>
  <c r="E71" i="7"/>
  <c r="C71" i="7"/>
  <c r="A71" i="7"/>
  <c r="AC70" i="7"/>
  <c r="Q70" i="7"/>
  <c r="O70" i="7"/>
  <c r="E70" i="7"/>
  <c r="C70" i="7"/>
  <c r="A70" i="7"/>
  <c r="AC69" i="7"/>
  <c r="Q69" i="7"/>
  <c r="O69" i="7"/>
  <c r="E69" i="7"/>
  <c r="C69" i="7"/>
  <c r="A69" i="7"/>
  <c r="AC68" i="7"/>
  <c r="Q68" i="7"/>
  <c r="O68" i="7"/>
  <c r="E68" i="7"/>
  <c r="C68" i="7"/>
  <c r="A68" i="7"/>
  <c r="AC67" i="7"/>
  <c r="Q67" i="7"/>
  <c r="O67" i="7"/>
  <c r="E67" i="7"/>
  <c r="C67" i="7"/>
  <c r="A67" i="7"/>
  <c r="AC66" i="7"/>
  <c r="Q66" i="7"/>
  <c r="O66" i="7"/>
  <c r="E66" i="7"/>
  <c r="C66" i="7"/>
  <c r="A66" i="7"/>
  <c r="AC65" i="7"/>
  <c r="Q65" i="7"/>
  <c r="O65" i="7"/>
  <c r="E65" i="7"/>
  <c r="C65" i="7"/>
  <c r="A65" i="7"/>
  <c r="AC64" i="7"/>
  <c r="Q64" i="7"/>
  <c r="O64" i="7"/>
  <c r="E64" i="7"/>
  <c r="C64" i="7"/>
  <c r="A64" i="7"/>
  <c r="AC63" i="7"/>
  <c r="Q63" i="7"/>
  <c r="O63" i="7"/>
  <c r="E63" i="7"/>
  <c r="C63" i="7"/>
  <c r="A63" i="7"/>
  <c r="AC62" i="7"/>
  <c r="Q62" i="7"/>
  <c r="O62" i="7"/>
  <c r="E62" i="7"/>
  <c r="C62" i="7"/>
  <c r="A62" i="7"/>
  <c r="AC61" i="7"/>
  <c r="Q61" i="7"/>
  <c r="O61" i="7"/>
  <c r="E61" i="7"/>
  <c r="C61" i="7"/>
  <c r="A61" i="7"/>
  <c r="AC60" i="7"/>
  <c r="Q60" i="7"/>
  <c r="O60" i="7"/>
  <c r="E60" i="7"/>
  <c r="C60" i="7"/>
  <c r="A60" i="7"/>
  <c r="AC59" i="7"/>
  <c r="Q59" i="7"/>
  <c r="O59" i="7"/>
  <c r="E59" i="7"/>
  <c r="C59" i="7"/>
  <c r="A59" i="7"/>
  <c r="AC58" i="7"/>
  <c r="Q58" i="7"/>
  <c r="O58" i="7"/>
  <c r="E58" i="7"/>
  <c r="C58" i="7"/>
  <c r="A58" i="7"/>
  <c r="AC57" i="7"/>
  <c r="Q57" i="7"/>
  <c r="O57" i="7"/>
  <c r="E57" i="7"/>
  <c r="C57" i="7"/>
  <c r="A57" i="7"/>
  <c r="AC56" i="7"/>
  <c r="Q56" i="7"/>
  <c r="O56" i="7"/>
  <c r="E56" i="7"/>
  <c r="C56" i="7"/>
  <c r="A56" i="7"/>
  <c r="AC55" i="7"/>
  <c r="Q55" i="7"/>
  <c r="O55" i="7"/>
  <c r="E55" i="7"/>
  <c r="C55" i="7"/>
  <c r="A55" i="7"/>
  <c r="AC54" i="7"/>
  <c r="Q54" i="7"/>
  <c r="O54" i="7"/>
  <c r="E54" i="7"/>
  <c r="C54" i="7"/>
  <c r="A54" i="7"/>
  <c r="AC53" i="7"/>
  <c r="Q53" i="7"/>
  <c r="O53" i="7"/>
  <c r="E53" i="7"/>
  <c r="C53" i="7"/>
  <c r="A53" i="7"/>
  <c r="AC52" i="7"/>
  <c r="Q52" i="7"/>
  <c r="O52" i="7"/>
  <c r="E52" i="7"/>
  <c r="C52" i="7"/>
  <c r="A52" i="7"/>
  <c r="AC51" i="7"/>
  <c r="Q51" i="7"/>
  <c r="O51" i="7"/>
  <c r="E51" i="7"/>
  <c r="C51" i="7"/>
  <c r="A51" i="7"/>
  <c r="AC50" i="7"/>
  <c r="Q50" i="7"/>
  <c r="O50" i="7"/>
  <c r="E50" i="7"/>
  <c r="C50" i="7"/>
  <c r="A50" i="7"/>
  <c r="AC49" i="7"/>
  <c r="Q49" i="7"/>
  <c r="O49" i="7"/>
  <c r="E49" i="7"/>
  <c r="C49" i="7"/>
  <c r="A49" i="7"/>
  <c r="AC48" i="7"/>
  <c r="Q48" i="7"/>
  <c r="O48" i="7"/>
  <c r="E48" i="7"/>
  <c r="C48" i="7"/>
  <c r="A48" i="7"/>
  <c r="AC47" i="7"/>
  <c r="Q47" i="7"/>
  <c r="O47" i="7"/>
  <c r="E47" i="7"/>
  <c r="C47" i="7"/>
  <c r="A47" i="7"/>
  <c r="AC46" i="7"/>
  <c r="Q46" i="7"/>
  <c r="O46" i="7"/>
  <c r="E46" i="7"/>
  <c r="C46" i="7"/>
  <c r="A46" i="7"/>
  <c r="AC45" i="7"/>
  <c r="Q45" i="7"/>
  <c r="O45" i="7"/>
  <c r="E45" i="7"/>
  <c r="C45" i="7"/>
  <c r="A45" i="7"/>
  <c r="AC44" i="7"/>
  <c r="Q44" i="7"/>
  <c r="O44" i="7"/>
  <c r="E44" i="7"/>
  <c r="C44" i="7"/>
  <c r="A44" i="7"/>
  <c r="AC43" i="7"/>
  <c r="Q43" i="7"/>
  <c r="O43" i="7"/>
  <c r="E43" i="7"/>
  <c r="C43" i="7"/>
  <c r="A43" i="7"/>
  <c r="AC42" i="7"/>
  <c r="Q42" i="7"/>
  <c r="O42" i="7"/>
  <c r="E42" i="7"/>
  <c r="C42" i="7"/>
  <c r="A42" i="7"/>
  <c r="AC41" i="7"/>
  <c r="Q41" i="7"/>
  <c r="O41" i="7"/>
  <c r="E41" i="7"/>
  <c r="C41" i="7"/>
  <c r="A41" i="7"/>
  <c r="AC40" i="7"/>
  <c r="Q40" i="7"/>
  <c r="O40" i="7"/>
  <c r="E40" i="7"/>
  <c r="C40" i="7"/>
  <c r="A40" i="7"/>
  <c r="AC39" i="7"/>
  <c r="Q39" i="7"/>
  <c r="O39" i="7"/>
  <c r="E39" i="7"/>
  <c r="C39" i="7"/>
  <c r="A39" i="7"/>
  <c r="AC38" i="7"/>
  <c r="Q38" i="7"/>
  <c r="O38" i="7"/>
  <c r="E38" i="7"/>
  <c r="C38" i="7"/>
  <c r="A38" i="7"/>
  <c r="AC37" i="7"/>
  <c r="Q37" i="7"/>
  <c r="O37" i="7"/>
  <c r="E37" i="7"/>
  <c r="C37" i="7"/>
  <c r="A37" i="7"/>
  <c r="AC36" i="7"/>
  <c r="Q36" i="7"/>
  <c r="O36" i="7"/>
  <c r="E36" i="7"/>
  <c r="C36" i="7"/>
  <c r="A36" i="7"/>
  <c r="AC35" i="7"/>
  <c r="Q35" i="7"/>
  <c r="O35" i="7"/>
  <c r="E35" i="7"/>
  <c r="C35" i="7"/>
  <c r="A35" i="7"/>
  <c r="AC34" i="7"/>
  <c r="Q34" i="7"/>
  <c r="O34" i="7"/>
  <c r="E34" i="7"/>
  <c r="C34" i="7"/>
  <c r="A34" i="7"/>
  <c r="AC33" i="7"/>
  <c r="Q33" i="7"/>
  <c r="O33" i="7"/>
  <c r="E33" i="7"/>
  <c r="C33" i="7"/>
  <c r="A33" i="7"/>
  <c r="AC32" i="7"/>
  <c r="Q32" i="7"/>
  <c r="O32" i="7"/>
  <c r="E32" i="7"/>
  <c r="C32" i="7"/>
  <c r="A32" i="7"/>
  <c r="AC31" i="7"/>
  <c r="Q31" i="7"/>
  <c r="O31" i="7"/>
  <c r="E31" i="7"/>
  <c r="C31" i="7"/>
  <c r="A31" i="7"/>
  <c r="AC30" i="7"/>
  <c r="Q30" i="7"/>
  <c r="O30" i="7"/>
  <c r="E30" i="7"/>
  <c r="C30" i="7"/>
  <c r="A30" i="7"/>
  <c r="AC29" i="7"/>
  <c r="Q29" i="7"/>
  <c r="O29" i="7"/>
  <c r="E29" i="7"/>
  <c r="C29" i="7"/>
  <c r="A29" i="7"/>
  <c r="AC28" i="7"/>
  <c r="Q28" i="7"/>
  <c r="O28" i="7"/>
  <c r="E28" i="7"/>
  <c r="C28" i="7"/>
  <c r="A28" i="7"/>
  <c r="AC27" i="7"/>
  <c r="Q27" i="7"/>
  <c r="O27" i="7"/>
  <c r="E27" i="7"/>
  <c r="C27" i="7"/>
  <c r="A27" i="7"/>
  <c r="AC26" i="7"/>
  <c r="Q26" i="7"/>
  <c r="O26" i="7"/>
  <c r="E26" i="7"/>
  <c r="C26" i="7"/>
  <c r="A26" i="7"/>
  <c r="AC25" i="7"/>
  <c r="Q25" i="7"/>
  <c r="O25" i="7"/>
  <c r="E25" i="7"/>
  <c r="C25" i="7"/>
  <c r="A25" i="7"/>
  <c r="AC24" i="7"/>
  <c r="Q24" i="7"/>
  <c r="O24" i="7"/>
  <c r="E24" i="7"/>
  <c r="C24" i="7"/>
  <c r="A24" i="7"/>
  <c r="AC23" i="7"/>
  <c r="Q23" i="7"/>
  <c r="O23" i="7"/>
  <c r="E23" i="7"/>
  <c r="C23" i="7"/>
  <c r="A23" i="7"/>
  <c r="AC22" i="7"/>
  <c r="Q22" i="7"/>
  <c r="O22" i="7"/>
  <c r="E22" i="7"/>
  <c r="C22" i="7"/>
  <c r="A22" i="7"/>
  <c r="AC21" i="7"/>
  <c r="Q21" i="7"/>
  <c r="O21" i="7"/>
  <c r="E21" i="7"/>
  <c r="C21" i="7"/>
  <c r="A21" i="7"/>
  <c r="AC20" i="7"/>
  <c r="Q20" i="7"/>
  <c r="O20" i="7"/>
  <c r="E20" i="7"/>
  <c r="C20" i="7"/>
  <c r="A20" i="7"/>
  <c r="AC19" i="7"/>
  <c r="Q19" i="7"/>
  <c r="O19" i="7"/>
  <c r="E19" i="7"/>
  <c r="C19" i="7"/>
  <c r="A19" i="7"/>
  <c r="AC18" i="7"/>
  <c r="Q18" i="7"/>
  <c r="O18" i="7"/>
  <c r="E18" i="7"/>
  <c r="C18" i="7"/>
  <c r="A18" i="7"/>
  <c r="AC17" i="7"/>
  <c r="Q17" i="7"/>
  <c r="O17" i="7"/>
  <c r="E17" i="7"/>
  <c r="C17" i="7"/>
  <c r="A17" i="7"/>
  <c r="AC16" i="7"/>
  <c r="Q16" i="7"/>
  <c r="O16" i="7"/>
  <c r="E16" i="7"/>
  <c r="C16" i="7"/>
  <c r="A16" i="7"/>
  <c r="AC15" i="7"/>
  <c r="Q15" i="7"/>
  <c r="O15" i="7"/>
  <c r="E15" i="7"/>
  <c r="C15" i="7"/>
  <c r="A15" i="7"/>
  <c r="AC14" i="7"/>
  <c r="Q14" i="7"/>
  <c r="O14" i="7"/>
  <c r="E14" i="7"/>
  <c r="C14" i="7"/>
  <c r="A14" i="7"/>
  <c r="AC13" i="7"/>
  <c r="Q13" i="7"/>
  <c r="O13" i="7"/>
  <c r="E13" i="7"/>
  <c r="C13" i="7"/>
  <c r="A13" i="7"/>
  <c r="AC12" i="7"/>
  <c r="Q12" i="7"/>
  <c r="O12" i="7"/>
  <c r="E12" i="7"/>
  <c r="C12" i="7"/>
  <c r="A12" i="7"/>
  <c r="AC11" i="7"/>
  <c r="Q11" i="7"/>
  <c r="O11" i="7"/>
  <c r="E11" i="7"/>
  <c r="C11" i="7"/>
  <c r="A11" i="7"/>
  <c r="AC10" i="7"/>
  <c r="Q10" i="7"/>
  <c r="O10" i="7"/>
  <c r="E10" i="7"/>
  <c r="C10" i="7"/>
  <c r="A10" i="7"/>
  <c r="AC9" i="7"/>
  <c r="Q9" i="7"/>
  <c r="O9" i="7"/>
  <c r="E9" i="7"/>
  <c r="C9" i="7"/>
  <c r="A9" i="7"/>
  <c r="AC8" i="7"/>
  <c r="Q8" i="7"/>
  <c r="O8" i="7"/>
  <c r="E8" i="7"/>
  <c r="C8" i="7"/>
  <c r="A8" i="7"/>
  <c r="AC7" i="7"/>
  <c r="Q7" i="7"/>
  <c r="O7" i="7"/>
  <c r="E7" i="7"/>
  <c r="A7" i="7"/>
  <c r="AC6" i="7"/>
  <c r="Q6" i="7"/>
  <c r="O6" i="7"/>
  <c r="E6" i="7"/>
  <c r="C6" i="7"/>
  <c r="A6" i="7"/>
  <c r="AC5" i="7"/>
  <c r="Q5" i="7"/>
  <c r="O5" i="7"/>
  <c r="E5" i="7"/>
  <c r="A5" i="7"/>
  <c r="F13" i="25"/>
  <c r="W124" i="6"/>
  <c r="S124" i="6"/>
  <c r="A124" i="6"/>
  <c r="W123" i="6"/>
  <c r="S123" i="6"/>
  <c r="A123" i="6"/>
  <c r="W122" i="6"/>
  <c r="S122" i="6"/>
  <c r="A122" i="6"/>
  <c r="W121" i="6"/>
  <c r="S121" i="6"/>
  <c r="A121" i="6"/>
  <c r="W120" i="6"/>
  <c r="S120" i="6"/>
  <c r="A120" i="6"/>
  <c r="W119" i="6"/>
  <c r="S119" i="6"/>
  <c r="A119" i="6"/>
  <c r="W118" i="6"/>
  <c r="S118" i="6"/>
  <c r="A118" i="6"/>
  <c r="W117" i="6"/>
  <c r="S117" i="6"/>
  <c r="A117" i="6"/>
  <c r="W116" i="6"/>
  <c r="S116" i="6"/>
  <c r="A116" i="6"/>
  <c r="W115" i="6"/>
  <c r="S115" i="6"/>
  <c r="A115" i="6"/>
  <c r="W114" i="6"/>
  <c r="S114" i="6"/>
  <c r="A114" i="6"/>
  <c r="W113" i="6"/>
  <c r="S113" i="6"/>
  <c r="A113" i="6"/>
  <c r="W112" i="6"/>
  <c r="S112" i="6"/>
  <c r="A112" i="6"/>
  <c r="W111" i="6"/>
  <c r="S111" i="6"/>
  <c r="A111" i="6"/>
  <c r="W110" i="6"/>
  <c r="S110" i="6"/>
  <c r="A110" i="6"/>
  <c r="W109" i="6"/>
  <c r="S109" i="6"/>
  <c r="A109" i="6"/>
  <c r="W108" i="6"/>
  <c r="S108" i="6"/>
  <c r="A108" i="6"/>
  <c r="W107" i="6"/>
  <c r="S107" i="6"/>
  <c r="A107" i="6"/>
  <c r="W106" i="6"/>
  <c r="S106" i="6"/>
  <c r="A106" i="6"/>
  <c r="W105" i="6"/>
  <c r="S105" i="6"/>
  <c r="A105" i="6"/>
  <c r="W104" i="6"/>
  <c r="S104" i="6"/>
  <c r="A104" i="6"/>
  <c r="W103" i="6"/>
  <c r="S103" i="6"/>
  <c r="A103" i="6"/>
  <c r="W102" i="6"/>
  <c r="S102" i="6"/>
  <c r="A102" i="6"/>
  <c r="W101" i="6"/>
  <c r="S101" i="6"/>
  <c r="A101" i="6"/>
  <c r="W100" i="6"/>
  <c r="S100" i="6"/>
  <c r="A100" i="6"/>
  <c r="W99" i="6"/>
  <c r="S99" i="6"/>
  <c r="A99" i="6"/>
  <c r="W98" i="6"/>
  <c r="S98" i="6"/>
  <c r="A98" i="6"/>
  <c r="W97" i="6"/>
  <c r="S97" i="6"/>
  <c r="A97" i="6"/>
  <c r="W96" i="6"/>
  <c r="S96" i="6"/>
  <c r="A96" i="6"/>
  <c r="W95" i="6"/>
  <c r="S95" i="6"/>
  <c r="A95" i="6"/>
  <c r="W94" i="6"/>
  <c r="S94" i="6"/>
  <c r="A94" i="6"/>
  <c r="W93" i="6"/>
  <c r="S93" i="6"/>
  <c r="A93" i="6"/>
  <c r="W92" i="6"/>
  <c r="S92" i="6"/>
  <c r="A92" i="6"/>
  <c r="W91" i="6"/>
  <c r="S91" i="6"/>
  <c r="A91" i="6"/>
  <c r="W90" i="6"/>
  <c r="S90" i="6"/>
  <c r="A90" i="6"/>
  <c r="W89" i="6"/>
  <c r="S89" i="6"/>
  <c r="A89" i="6"/>
  <c r="W88" i="6"/>
  <c r="S88" i="6"/>
  <c r="A88" i="6"/>
  <c r="W87" i="6"/>
  <c r="S87" i="6"/>
  <c r="A87" i="6"/>
  <c r="W86" i="6"/>
  <c r="S86" i="6"/>
  <c r="A86" i="6"/>
  <c r="W85" i="6"/>
  <c r="S85" i="6"/>
  <c r="A85" i="6"/>
  <c r="W84" i="6"/>
  <c r="S84" i="6"/>
  <c r="A84" i="6"/>
  <c r="W83" i="6"/>
  <c r="S83" i="6"/>
  <c r="A83" i="6"/>
  <c r="W82" i="6"/>
  <c r="S82" i="6"/>
  <c r="A82" i="6"/>
  <c r="W81" i="6"/>
  <c r="S81" i="6"/>
  <c r="A81" i="6"/>
  <c r="W80" i="6"/>
  <c r="S80" i="6"/>
  <c r="A80" i="6"/>
  <c r="W79" i="6"/>
  <c r="S79" i="6"/>
  <c r="A79" i="6"/>
  <c r="W78" i="6"/>
  <c r="S78" i="6"/>
  <c r="A78" i="6"/>
  <c r="W77" i="6"/>
  <c r="F11" i="25" s="1"/>
  <c r="S77" i="6"/>
  <c r="L77" i="6"/>
  <c r="K77" i="6"/>
  <c r="J77" i="6"/>
  <c r="I77" i="6"/>
  <c r="H77" i="6"/>
  <c r="A77" i="6"/>
  <c r="F77" i="6" s="1"/>
  <c r="G77" i="6" s="1"/>
  <c r="W76" i="6"/>
  <c r="S76" i="6"/>
  <c r="A76" i="6"/>
  <c r="W75" i="6"/>
  <c r="S75" i="6"/>
  <c r="A75" i="6"/>
  <c r="W74" i="6"/>
  <c r="S74" i="6"/>
  <c r="A74" i="6"/>
  <c r="W73" i="6"/>
  <c r="S73" i="6"/>
  <c r="A73" i="6"/>
  <c r="W72" i="6"/>
  <c r="S72" i="6"/>
  <c r="A72" i="6"/>
  <c r="W71" i="6"/>
  <c r="S71" i="6"/>
  <c r="A71" i="6"/>
  <c r="W70" i="6"/>
  <c r="S70" i="6"/>
  <c r="A70" i="6"/>
  <c r="W69" i="6"/>
  <c r="S69" i="6"/>
  <c r="A69" i="6"/>
  <c r="W68" i="6"/>
  <c r="S68" i="6"/>
  <c r="A68" i="6"/>
  <c r="W67" i="6"/>
  <c r="S67" i="6"/>
  <c r="A67" i="6"/>
  <c r="W66" i="6"/>
  <c r="S66" i="6"/>
  <c r="A66" i="6"/>
  <c r="W65" i="6"/>
  <c r="S65" i="6"/>
  <c r="A65" i="6"/>
  <c r="W64" i="6"/>
  <c r="S64" i="6"/>
  <c r="A64" i="6"/>
  <c r="W63" i="6"/>
  <c r="S63" i="6"/>
  <c r="A63" i="6"/>
  <c r="W62" i="6"/>
  <c r="S62" i="6"/>
  <c r="A62" i="6"/>
  <c r="W61" i="6"/>
  <c r="S61" i="6"/>
  <c r="A61" i="6"/>
  <c r="W60" i="6"/>
  <c r="S60" i="6"/>
  <c r="A60" i="6"/>
  <c r="W59" i="6"/>
  <c r="S59" i="6"/>
  <c r="A59" i="6"/>
  <c r="W58" i="6"/>
  <c r="S58" i="6"/>
  <c r="A58" i="6"/>
  <c r="W57" i="6"/>
  <c r="S57" i="6"/>
  <c r="A57" i="6"/>
  <c r="W56" i="6"/>
  <c r="S56" i="6"/>
  <c r="A56" i="6"/>
  <c r="W55" i="6"/>
  <c r="S55" i="6"/>
  <c r="A55" i="6"/>
  <c r="W54" i="6"/>
  <c r="S54" i="6"/>
  <c r="A54" i="6"/>
  <c r="W53" i="6"/>
  <c r="S53" i="6"/>
  <c r="A53" i="6"/>
  <c r="W52" i="6"/>
  <c r="S52" i="6"/>
  <c r="A52" i="6"/>
  <c r="W51" i="6"/>
  <c r="S51" i="6"/>
  <c r="A51" i="6"/>
  <c r="W50" i="6"/>
  <c r="S50" i="6"/>
  <c r="A50" i="6"/>
  <c r="W49" i="6"/>
  <c r="S49" i="6"/>
  <c r="A49" i="6"/>
  <c r="W48" i="6"/>
  <c r="S48" i="6"/>
  <c r="A48" i="6"/>
  <c r="W47" i="6"/>
  <c r="S47" i="6"/>
  <c r="A47" i="6"/>
  <c r="W46" i="6"/>
  <c r="S46" i="6"/>
  <c r="A46" i="6"/>
  <c r="W45" i="6"/>
  <c r="S45" i="6"/>
  <c r="A45" i="6"/>
  <c r="W44" i="6"/>
  <c r="S44" i="6"/>
  <c r="A44" i="6"/>
  <c r="W43" i="6"/>
  <c r="S43" i="6"/>
  <c r="A43" i="6"/>
  <c r="W42" i="6"/>
  <c r="S42" i="6"/>
  <c r="A42" i="6"/>
  <c r="W41" i="6"/>
  <c r="S41" i="6"/>
  <c r="A41" i="6"/>
  <c r="W40" i="6"/>
  <c r="S40" i="6"/>
  <c r="A40" i="6"/>
  <c r="W39" i="6"/>
  <c r="S39" i="6"/>
  <c r="A39" i="6"/>
  <c r="W38" i="6"/>
  <c r="S38" i="6"/>
  <c r="A38" i="6"/>
  <c r="W37" i="6"/>
  <c r="S37" i="6"/>
  <c r="A37" i="6"/>
  <c r="W36" i="6"/>
  <c r="S36" i="6"/>
  <c r="A36" i="6"/>
  <c r="W35" i="6"/>
  <c r="S35" i="6"/>
  <c r="A35" i="6"/>
  <c r="W34" i="6"/>
  <c r="S34" i="6"/>
  <c r="A34" i="6"/>
  <c r="W33" i="6"/>
  <c r="S33" i="6"/>
  <c r="A33" i="6"/>
  <c r="W32" i="6"/>
  <c r="S32" i="6"/>
  <c r="A32" i="6"/>
  <c r="W31" i="6"/>
  <c r="S31" i="6"/>
  <c r="A31" i="6"/>
  <c r="W30" i="6"/>
  <c r="S30" i="6"/>
  <c r="A30" i="6"/>
  <c r="W29" i="6"/>
  <c r="S29" i="6"/>
  <c r="A29" i="6"/>
  <c r="W28" i="6"/>
  <c r="S28" i="6"/>
  <c r="A28" i="6"/>
  <c r="W27" i="6"/>
  <c r="S27" i="6"/>
  <c r="A27" i="6"/>
  <c r="W26" i="6"/>
  <c r="S26" i="6"/>
  <c r="A26" i="6"/>
  <c r="W25" i="6"/>
  <c r="S25" i="6"/>
  <c r="A25" i="6"/>
  <c r="W24" i="6"/>
  <c r="S24" i="6"/>
  <c r="A24" i="6"/>
  <c r="W23" i="6"/>
  <c r="S23" i="6"/>
  <c r="A23" i="6"/>
  <c r="W22" i="6"/>
  <c r="S22" i="6"/>
  <c r="A22" i="6"/>
  <c r="W21" i="6"/>
  <c r="S21" i="6"/>
  <c r="A21" i="6"/>
  <c r="W20" i="6"/>
  <c r="S20" i="6"/>
  <c r="A20" i="6"/>
  <c r="W19" i="6"/>
  <c r="S19" i="6"/>
  <c r="A19" i="6"/>
  <c r="W18" i="6"/>
  <c r="S18" i="6"/>
  <c r="A18" i="6"/>
  <c r="W17" i="6"/>
  <c r="S17" i="6"/>
  <c r="A17" i="6"/>
  <c r="W16" i="6"/>
  <c r="S16" i="6"/>
  <c r="A16" i="6"/>
  <c r="W15" i="6"/>
  <c r="S15" i="6"/>
  <c r="A15" i="6"/>
  <c r="W14" i="6"/>
  <c r="S14" i="6"/>
  <c r="A14" i="6"/>
  <c r="W13" i="6"/>
  <c r="S13" i="6"/>
  <c r="A13" i="6"/>
  <c r="W12" i="6"/>
  <c r="S12" i="6"/>
  <c r="A12" i="6"/>
  <c r="W11" i="6"/>
  <c r="S11" i="6"/>
  <c r="A11" i="6"/>
  <c r="W10" i="6"/>
  <c r="S10" i="6"/>
  <c r="A10" i="6"/>
  <c r="W9" i="6"/>
  <c r="S9" i="6"/>
  <c r="A9" i="6"/>
  <c r="W8" i="6"/>
  <c r="S8" i="6"/>
  <c r="A8" i="6"/>
  <c r="W7" i="6"/>
  <c r="S7" i="6"/>
  <c r="A7" i="6"/>
  <c r="W6" i="6"/>
  <c r="S6" i="6"/>
  <c r="A6" i="6"/>
  <c r="W5" i="6"/>
  <c r="S5" i="6"/>
  <c r="A5" i="6"/>
  <c r="AD124" i="5"/>
  <c r="Z124" i="5"/>
  <c r="Y124" i="5"/>
  <c r="Q124" i="5"/>
  <c r="P124" i="5"/>
  <c r="K124" i="5"/>
  <c r="A124" i="5"/>
  <c r="AD123" i="5"/>
  <c r="Z123" i="5"/>
  <c r="Y123" i="5"/>
  <c r="Q123" i="5"/>
  <c r="P123" i="5"/>
  <c r="K123" i="5"/>
  <c r="A123" i="5"/>
  <c r="AD122" i="5"/>
  <c r="Z122" i="5"/>
  <c r="Y122" i="5"/>
  <c r="Q122" i="5"/>
  <c r="P122" i="5"/>
  <c r="K122" i="5"/>
  <c r="A122" i="5"/>
  <c r="AD121" i="5"/>
  <c r="Z121" i="5"/>
  <c r="Y121" i="5"/>
  <c r="Q121" i="5"/>
  <c r="P121" i="5"/>
  <c r="K121" i="5"/>
  <c r="A121" i="5"/>
  <c r="AD120" i="5"/>
  <c r="Z120" i="5"/>
  <c r="Y120" i="5"/>
  <c r="Q120" i="5"/>
  <c r="P120" i="5"/>
  <c r="K120" i="5"/>
  <c r="A120" i="5"/>
  <c r="AD119" i="5"/>
  <c r="Z119" i="5"/>
  <c r="Y119" i="5"/>
  <c r="Q119" i="5"/>
  <c r="P119" i="5"/>
  <c r="K119" i="5"/>
  <c r="A119" i="5"/>
  <c r="AD118" i="5"/>
  <c r="Z118" i="5"/>
  <c r="Y118" i="5"/>
  <c r="Q118" i="5"/>
  <c r="P118" i="5"/>
  <c r="K118" i="5"/>
  <c r="A118" i="5"/>
  <c r="AD117" i="5"/>
  <c r="Z117" i="5"/>
  <c r="Y117" i="5"/>
  <c r="Q117" i="5"/>
  <c r="P117" i="5"/>
  <c r="K117" i="5"/>
  <c r="A117" i="5"/>
  <c r="AD116" i="5"/>
  <c r="Z116" i="5"/>
  <c r="Y116" i="5"/>
  <c r="Q116" i="5"/>
  <c r="P116" i="5"/>
  <c r="K116" i="5"/>
  <c r="A116" i="5"/>
  <c r="AD115" i="5"/>
  <c r="Z115" i="5"/>
  <c r="Y115" i="5"/>
  <c r="Q115" i="5"/>
  <c r="P115" i="5"/>
  <c r="K115" i="5"/>
  <c r="A115" i="5"/>
  <c r="AD114" i="5"/>
  <c r="Z114" i="5"/>
  <c r="Y114" i="5"/>
  <c r="Q114" i="5"/>
  <c r="P114" i="5"/>
  <c r="K114" i="5"/>
  <c r="A114" i="5"/>
  <c r="AD113" i="5"/>
  <c r="Z113" i="5"/>
  <c r="Y113" i="5"/>
  <c r="Q113" i="5"/>
  <c r="P113" i="5"/>
  <c r="K113" i="5"/>
  <c r="A113" i="5"/>
  <c r="AD112" i="5"/>
  <c r="Z112" i="5"/>
  <c r="Y112" i="5"/>
  <c r="Q112" i="5"/>
  <c r="P112" i="5"/>
  <c r="K112" i="5"/>
  <c r="A112" i="5"/>
  <c r="AD111" i="5"/>
  <c r="Z111" i="5"/>
  <c r="Y111" i="5"/>
  <c r="Q111" i="5"/>
  <c r="P111" i="5"/>
  <c r="K111" i="5"/>
  <c r="A111" i="5"/>
  <c r="AD110" i="5"/>
  <c r="Z110" i="5"/>
  <c r="Y110" i="5"/>
  <c r="Q110" i="5"/>
  <c r="P110" i="5"/>
  <c r="K110" i="5"/>
  <c r="A110" i="5"/>
  <c r="AD109" i="5"/>
  <c r="Z109" i="5"/>
  <c r="Y109" i="5"/>
  <c r="Q109" i="5"/>
  <c r="P109" i="5"/>
  <c r="K109" i="5"/>
  <c r="A109" i="5"/>
  <c r="AD108" i="5"/>
  <c r="Z108" i="5"/>
  <c r="Y108" i="5"/>
  <c r="Q108" i="5"/>
  <c r="P108" i="5"/>
  <c r="K108" i="5"/>
  <c r="A108" i="5"/>
  <c r="AD107" i="5"/>
  <c r="Z107" i="5"/>
  <c r="Y107" i="5"/>
  <c r="Q107" i="5"/>
  <c r="P107" i="5"/>
  <c r="K107" i="5"/>
  <c r="A107" i="5"/>
  <c r="AD106" i="5"/>
  <c r="Z106" i="5"/>
  <c r="Y106" i="5"/>
  <c r="Q106" i="5"/>
  <c r="P106" i="5"/>
  <c r="K106" i="5"/>
  <c r="A106" i="5"/>
  <c r="AD105" i="5"/>
  <c r="Z105" i="5"/>
  <c r="Y105" i="5"/>
  <c r="Q105" i="5"/>
  <c r="P105" i="5"/>
  <c r="K105" i="5"/>
  <c r="A105" i="5"/>
  <c r="AD104" i="5"/>
  <c r="Z104" i="5"/>
  <c r="Y104" i="5"/>
  <c r="Q104" i="5"/>
  <c r="P104" i="5"/>
  <c r="K104" i="5"/>
  <c r="A104" i="5"/>
  <c r="AD103" i="5"/>
  <c r="Z103" i="5"/>
  <c r="Y103" i="5"/>
  <c r="Q103" i="5"/>
  <c r="P103" i="5"/>
  <c r="K103" i="5"/>
  <c r="A103" i="5"/>
  <c r="AD102" i="5"/>
  <c r="Z102" i="5"/>
  <c r="Y102" i="5"/>
  <c r="Q102" i="5"/>
  <c r="P102" i="5"/>
  <c r="K102" i="5"/>
  <c r="A102" i="5"/>
  <c r="AD101" i="5"/>
  <c r="Z101" i="5"/>
  <c r="Y101" i="5"/>
  <c r="Q101" i="5"/>
  <c r="P101" i="5"/>
  <c r="K101" i="5"/>
  <c r="A101" i="5"/>
  <c r="AD100" i="5"/>
  <c r="Z100" i="5"/>
  <c r="Y100" i="5"/>
  <c r="Q100" i="5"/>
  <c r="P100" i="5"/>
  <c r="K100" i="5"/>
  <c r="A100" i="5"/>
  <c r="AD99" i="5"/>
  <c r="Z99" i="5"/>
  <c r="Y99" i="5"/>
  <c r="Q99" i="5"/>
  <c r="P99" i="5"/>
  <c r="K99" i="5"/>
  <c r="A99" i="5"/>
  <c r="AD98" i="5"/>
  <c r="Z98" i="5"/>
  <c r="Y98" i="5"/>
  <c r="Q98" i="5"/>
  <c r="P98" i="5"/>
  <c r="K98" i="5"/>
  <c r="A98" i="5"/>
  <c r="AD97" i="5"/>
  <c r="Z97" i="5"/>
  <c r="Y97" i="5"/>
  <c r="Q97" i="5"/>
  <c r="P97" i="5"/>
  <c r="K97" i="5"/>
  <c r="A97" i="5"/>
  <c r="AD96" i="5"/>
  <c r="Z96" i="5"/>
  <c r="Y96" i="5"/>
  <c r="Q96" i="5"/>
  <c r="P96" i="5"/>
  <c r="K96" i="5"/>
  <c r="A96" i="5"/>
  <c r="AD95" i="5"/>
  <c r="Z95" i="5"/>
  <c r="Y95" i="5"/>
  <c r="Q95" i="5"/>
  <c r="P95" i="5"/>
  <c r="K95" i="5"/>
  <c r="A95" i="5"/>
  <c r="AD94" i="5"/>
  <c r="Z94" i="5"/>
  <c r="Y94" i="5"/>
  <c r="Q94" i="5"/>
  <c r="P94" i="5"/>
  <c r="K94" i="5"/>
  <c r="A94" i="5"/>
  <c r="AD93" i="5"/>
  <c r="Z93" i="5"/>
  <c r="Y93" i="5"/>
  <c r="Q93" i="5"/>
  <c r="P93" i="5"/>
  <c r="K93" i="5"/>
  <c r="A93" i="5"/>
  <c r="AD92" i="5"/>
  <c r="Z92" i="5"/>
  <c r="Y92" i="5"/>
  <c r="Q92" i="5"/>
  <c r="P92" i="5"/>
  <c r="K92" i="5"/>
  <c r="A92" i="5"/>
  <c r="AD91" i="5"/>
  <c r="Z91" i="5"/>
  <c r="Y91" i="5"/>
  <c r="Q91" i="5"/>
  <c r="P91" i="5"/>
  <c r="K91" i="5"/>
  <c r="A91" i="5"/>
  <c r="AD90" i="5"/>
  <c r="Z90" i="5"/>
  <c r="Y90" i="5"/>
  <c r="Q90" i="5"/>
  <c r="P90" i="5"/>
  <c r="K90" i="5"/>
  <c r="A90" i="5"/>
  <c r="AD89" i="5"/>
  <c r="Z89" i="5"/>
  <c r="Y89" i="5"/>
  <c r="Q89" i="5"/>
  <c r="P89" i="5"/>
  <c r="K89" i="5"/>
  <c r="A89" i="5"/>
  <c r="AD88" i="5"/>
  <c r="Z88" i="5"/>
  <c r="Y88" i="5"/>
  <c r="Q88" i="5"/>
  <c r="P88" i="5"/>
  <c r="K88" i="5"/>
  <c r="A88" i="5"/>
  <c r="AD87" i="5"/>
  <c r="Z87" i="5"/>
  <c r="Y87" i="5"/>
  <c r="Q87" i="5"/>
  <c r="P87" i="5"/>
  <c r="K87" i="5"/>
  <c r="A87" i="5"/>
  <c r="AD86" i="5"/>
  <c r="Z86" i="5"/>
  <c r="Y86" i="5"/>
  <c r="Q86" i="5"/>
  <c r="P86" i="5"/>
  <c r="K86" i="5"/>
  <c r="A86" i="5"/>
  <c r="AD85" i="5"/>
  <c r="Z85" i="5"/>
  <c r="Y85" i="5"/>
  <c r="Q85" i="5"/>
  <c r="P85" i="5"/>
  <c r="K85" i="5"/>
  <c r="A85" i="5"/>
  <c r="AD84" i="5"/>
  <c r="Z84" i="5"/>
  <c r="Y84" i="5"/>
  <c r="Q84" i="5"/>
  <c r="P84" i="5"/>
  <c r="K84" i="5"/>
  <c r="A84" i="5"/>
  <c r="AD83" i="5"/>
  <c r="Z83" i="5"/>
  <c r="Y83" i="5"/>
  <c r="Q83" i="5"/>
  <c r="P83" i="5"/>
  <c r="K83" i="5"/>
  <c r="A83" i="5"/>
  <c r="AD82" i="5"/>
  <c r="Z82" i="5"/>
  <c r="Y82" i="5"/>
  <c r="Q82" i="5"/>
  <c r="P82" i="5"/>
  <c r="K82" i="5"/>
  <c r="A82" i="5"/>
  <c r="AD81" i="5"/>
  <c r="Z81" i="5"/>
  <c r="Y81" i="5"/>
  <c r="Q81" i="5"/>
  <c r="P81" i="5"/>
  <c r="K81" i="5"/>
  <c r="A81" i="5"/>
  <c r="AD80" i="5"/>
  <c r="Z80" i="5"/>
  <c r="Y80" i="5"/>
  <c r="Q80" i="5"/>
  <c r="P80" i="5"/>
  <c r="K80" i="5"/>
  <c r="A80" i="5"/>
  <c r="AD79" i="5"/>
  <c r="Z79" i="5"/>
  <c r="Y79" i="5"/>
  <c r="Q79" i="5"/>
  <c r="P79" i="5"/>
  <c r="K79" i="5"/>
  <c r="A79" i="5"/>
  <c r="AD78" i="5"/>
  <c r="Z78" i="5"/>
  <c r="Y78" i="5"/>
  <c r="Q78" i="5"/>
  <c r="P78" i="5"/>
  <c r="K78" i="5"/>
  <c r="A78" i="5"/>
  <c r="AD77" i="5"/>
  <c r="Z77" i="5"/>
  <c r="Y77" i="5"/>
  <c r="Q77" i="5"/>
  <c r="P77" i="5"/>
  <c r="K77" i="5"/>
  <c r="A77" i="5"/>
  <c r="AD76" i="5"/>
  <c r="Z76" i="5"/>
  <c r="Y76" i="5"/>
  <c r="Q76" i="5"/>
  <c r="P76" i="5"/>
  <c r="K76" i="5"/>
  <c r="A76" i="5"/>
  <c r="AD75" i="5"/>
  <c r="Z75" i="5"/>
  <c r="Y75" i="5"/>
  <c r="Q75" i="5"/>
  <c r="P75" i="5"/>
  <c r="K75" i="5"/>
  <c r="A75" i="5"/>
  <c r="AD74" i="5"/>
  <c r="Z74" i="5"/>
  <c r="Y74" i="5"/>
  <c r="Q74" i="5"/>
  <c r="P74" i="5"/>
  <c r="K74" i="5"/>
  <c r="A74" i="5"/>
  <c r="AD73" i="5"/>
  <c r="Z73" i="5"/>
  <c r="Y73" i="5"/>
  <c r="Q73" i="5"/>
  <c r="P73" i="5"/>
  <c r="K73" i="5"/>
  <c r="A73" i="5"/>
  <c r="AD72" i="5"/>
  <c r="Z72" i="5"/>
  <c r="Y72" i="5"/>
  <c r="Q72" i="5"/>
  <c r="P72" i="5"/>
  <c r="K72" i="5"/>
  <c r="A72" i="5"/>
  <c r="AD71" i="5"/>
  <c r="Z71" i="5"/>
  <c r="Y71" i="5"/>
  <c r="Q71" i="5"/>
  <c r="P71" i="5"/>
  <c r="K71" i="5"/>
  <c r="A71" i="5"/>
  <c r="AD70" i="5"/>
  <c r="Z70" i="5"/>
  <c r="Y70" i="5"/>
  <c r="Q70" i="5"/>
  <c r="P70" i="5"/>
  <c r="K70" i="5"/>
  <c r="A70" i="5"/>
  <c r="AD69" i="5"/>
  <c r="Z69" i="5"/>
  <c r="Y69" i="5"/>
  <c r="Q69" i="5"/>
  <c r="P69" i="5"/>
  <c r="K69" i="5"/>
  <c r="A69" i="5"/>
  <c r="AD68" i="5"/>
  <c r="Z68" i="5"/>
  <c r="Y68" i="5"/>
  <c r="Q68" i="5"/>
  <c r="P68" i="5"/>
  <c r="K68" i="5"/>
  <c r="A68" i="5"/>
  <c r="AD67" i="5"/>
  <c r="Z67" i="5"/>
  <c r="Y67" i="5"/>
  <c r="Q67" i="5"/>
  <c r="P67" i="5"/>
  <c r="K67" i="5"/>
  <c r="A67" i="5"/>
  <c r="AD66" i="5"/>
  <c r="Z66" i="5"/>
  <c r="Y66" i="5"/>
  <c r="Q66" i="5"/>
  <c r="P66" i="5"/>
  <c r="K66" i="5"/>
  <c r="A66" i="5"/>
  <c r="AD65" i="5"/>
  <c r="Z65" i="5"/>
  <c r="Y65" i="5"/>
  <c r="Q65" i="5"/>
  <c r="P65" i="5"/>
  <c r="K65" i="5"/>
  <c r="A65" i="5"/>
  <c r="AD64" i="5"/>
  <c r="Z64" i="5"/>
  <c r="Y64" i="5"/>
  <c r="Q64" i="5"/>
  <c r="P64" i="5"/>
  <c r="K64" i="5"/>
  <c r="A64" i="5"/>
  <c r="AD63" i="5"/>
  <c r="Z63" i="5"/>
  <c r="Y63" i="5"/>
  <c r="Q63" i="5"/>
  <c r="P63" i="5"/>
  <c r="K63" i="5"/>
  <c r="A63" i="5"/>
  <c r="AD62" i="5"/>
  <c r="Z62" i="5"/>
  <c r="Y62" i="5"/>
  <c r="Q62" i="5"/>
  <c r="P62" i="5"/>
  <c r="K62" i="5"/>
  <c r="A62" i="5"/>
  <c r="AD61" i="5"/>
  <c r="Z61" i="5"/>
  <c r="Y61" i="5"/>
  <c r="Q61" i="5"/>
  <c r="P61" i="5"/>
  <c r="K61" i="5"/>
  <c r="A61" i="5"/>
  <c r="AD60" i="5"/>
  <c r="Z60" i="5"/>
  <c r="Y60" i="5"/>
  <c r="Q60" i="5"/>
  <c r="P60" i="5"/>
  <c r="K60" i="5"/>
  <c r="A60" i="5"/>
  <c r="AD59" i="5"/>
  <c r="Z59" i="5"/>
  <c r="Y59" i="5"/>
  <c r="Q59" i="5"/>
  <c r="P59" i="5"/>
  <c r="K59" i="5"/>
  <c r="A59" i="5"/>
  <c r="AD58" i="5"/>
  <c r="Z58" i="5"/>
  <c r="Y58" i="5"/>
  <c r="Q58" i="5"/>
  <c r="P58" i="5"/>
  <c r="K58" i="5"/>
  <c r="A58" i="5"/>
  <c r="AD57" i="5"/>
  <c r="Z57" i="5"/>
  <c r="Y57" i="5"/>
  <c r="Q57" i="5"/>
  <c r="P57" i="5"/>
  <c r="K57" i="5"/>
  <c r="A57" i="5"/>
  <c r="AD56" i="5"/>
  <c r="Z56" i="5"/>
  <c r="Y56" i="5"/>
  <c r="Q56" i="5"/>
  <c r="P56" i="5"/>
  <c r="K56" i="5"/>
  <c r="A56" i="5"/>
  <c r="AD55" i="5"/>
  <c r="Z55" i="5"/>
  <c r="Y55" i="5"/>
  <c r="Q55" i="5"/>
  <c r="P55" i="5"/>
  <c r="K55" i="5"/>
  <c r="A55" i="5"/>
  <c r="AD54" i="5"/>
  <c r="Z54" i="5"/>
  <c r="Y54" i="5"/>
  <c r="Q54" i="5"/>
  <c r="P54" i="5"/>
  <c r="K54" i="5"/>
  <c r="A54" i="5"/>
  <c r="AD53" i="5"/>
  <c r="Z53" i="5"/>
  <c r="Y53" i="5"/>
  <c r="Q53" i="5"/>
  <c r="P53" i="5"/>
  <c r="K53" i="5"/>
  <c r="A53" i="5"/>
  <c r="AD52" i="5"/>
  <c r="Z52" i="5"/>
  <c r="Y52" i="5"/>
  <c r="Q52" i="5"/>
  <c r="P52" i="5"/>
  <c r="K52" i="5"/>
  <c r="A52" i="5"/>
  <c r="AD51" i="5"/>
  <c r="Z51" i="5"/>
  <c r="Y51" i="5"/>
  <c r="Q51" i="5"/>
  <c r="P51" i="5"/>
  <c r="K51" i="5"/>
  <c r="A51" i="5"/>
  <c r="AD50" i="5"/>
  <c r="Z50" i="5"/>
  <c r="Y50" i="5"/>
  <c r="Q50" i="5"/>
  <c r="P50" i="5"/>
  <c r="K50" i="5"/>
  <c r="A50" i="5"/>
  <c r="AD49" i="5"/>
  <c r="Z49" i="5"/>
  <c r="Y49" i="5"/>
  <c r="Q49" i="5"/>
  <c r="P49" i="5"/>
  <c r="K49" i="5"/>
  <c r="A49" i="5"/>
  <c r="AD48" i="5"/>
  <c r="Z48" i="5"/>
  <c r="Y48" i="5"/>
  <c r="Q48" i="5"/>
  <c r="P48" i="5"/>
  <c r="K48" i="5"/>
  <c r="A48" i="5"/>
  <c r="AD47" i="5"/>
  <c r="Z47" i="5"/>
  <c r="Y47" i="5"/>
  <c r="Q47" i="5"/>
  <c r="P47" i="5"/>
  <c r="K47" i="5"/>
  <c r="A47" i="5"/>
  <c r="AD46" i="5"/>
  <c r="Z46" i="5"/>
  <c r="Y46" i="5"/>
  <c r="Q46" i="5"/>
  <c r="P46" i="5"/>
  <c r="K46" i="5"/>
  <c r="A46" i="5"/>
  <c r="AD45" i="5"/>
  <c r="Z45" i="5"/>
  <c r="Y45" i="5"/>
  <c r="Q45" i="5"/>
  <c r="P45" i="5"/>
  <c r="K45" i="5"/>
  <c r="A45" i="5"/>
  <c r="AD44" i="5"/>
  <c r="Z44" i="5"/>
  <c r="Y44" i="5"/>
  <c r="Q44" i="5"/>
  <c r="P44" i="5"/>
  <c r="K44" i="5"/>
  <c r="A44" i="5"/>
  <c r="AD43" i="5"/>
  <c r="Z43" i="5"/>
  <c r="Y43" i="5"/>
  <c r="Q43" i="5"/>
  <c r="P43" i="5"/>
  <c r="K43" i="5"/>
  <c r="A43" i="5"/>
  <c r="AD42" i="5"/>
  <c r="Z42" i="5"/>
  <c r="Y42" i="5"/>
  <c r="Q42" i="5"/>
  <c r="P42" i="5"/>
  <c r="K42" i="5"/>
  <c r="A42" i="5"/>
  <c r="AD41" i="5"/>
  <c r="Z41" i="5"/>
  <c r="Y41" i="5"/>
  <c r="Q41" i="5"/>
  <c r="P41" i="5"/>
  <c r="K41" i="5"/>
  <c r="A41" i="5"/>
  <c r="AD40" i="5"/>
  <c r="Z40" i="5"/>
  <c r="Y40" i="5"/>
  <c r="Q40" i="5"/>
  <c r="P40" i="5"/>
  <c r="K40" i="5"/>
  <c r="A40" i="5"/>
  <c r="AD39" i="5"/>
  <c r="Z39" i="5"/>
  <c r="Y39" i="5"/>
  <c r="Q39" i="5"/>
  <c r="P39" i="5"/>
  <c r="K39" i="5"/>
  <c r="A39" i="5"/>
  <c r="AD38" i="5"/>
  <c r="Z38" i="5"/>
  <c r="Y38" i="5"/>
  <c r="Q38" i="5"/>
  <c r="P38" i="5"/>
  <c r="K38" i="5"/>
  <c r="A38" i="5"/>
  <c r="AD37" i="5"/>
  <c r="Z37" i="5"/>
  <c r="Y37" i="5"/>
  <c r="Q37" i="5"/>
  <c r="P37" i="5"/>
  <c r="K37" i="5"/>
  <c r="A37" i="5"/>
  <c r="AD36" i="5"/>
  <c r="Z36" i="5"/>
  <c r="Y36" i="5"/>
  <c r="Q36" i="5"/>
  <c r="P36" i="5"/>
  <c r="K36" i="5"/>
  <c r="A36" i="5"/>
  <c r="AD35" i="5"/>
  <c r="Z35" i="5"/>
  <c r="Y35" i="5"/>
  <c r="Q35" i="5"/>
  <c r="P35" i="5"/>
  <c r="K35" i="5"/>
  <c r="A35" i="5"/>
  <c r="AD34" i="5"/>
  <c r="Z34" i="5"/>
  <c r="Y34" i="5"/>
  <c r="Q34" i="5"/>
  <c r="P34" i="5"/>
  <c r="K34" i="5"/>
  <c r="A34" i="5"/>
  <c r="AD33" i="5"/>
  <c r="Z33" i="5"/>
  <c r="Y33" i="5"/>
  <c r="Q33" i="5"/>
  <c r="P33" i="5"/>
  <c r="K33" i="5"/>
  <c r="A33" i="5"/>
  <c r="AD32" i="5"/>
  <c r="Z32" i="5"/>
  <c r="Y32" i="5"/>
  <c r="Q32" i="5"/>
  <c r="P32" i="5"/>
  <c r="K32" i="5"/>
  <c r="A32" i="5"/>
  <c r="AD31" i="5"/>
  <c r="Z31" i="5"/>
  <c r="Y31" i="5"/>
  <c r="Q31" i="5"/>
  <c r="P31" i="5"/>
  <c r="K31" i="5"/>
  <c r="A31" i="5"/>
  <c r="AD30" i="5"/>
  <c r="Z30" i="5"/>
  <c r="Y30" i="5"/>
  <c r="Q30" i="5"/>
  <c r="P30" i="5"/>
  <c r="K30" i="5"/>
  <c r="A30" i="5"/>
  <c r="AD29" i="5"/>
  <c r="Z29" i="5"/>
  <c r="Y29" i="5"/>
  <c r="Q29" i="5"/>
  <c r="P29" i="5"/>
  <c r="K29" i="5"/>
  <c r="A29" i="5"/>
  <c r="AD28" i="5"/>
  <c r="Z28" i="5"/>
  <c r="Y28" i="5"/>
  <c r="Q28" i="5"/>
  <c r="P28" i="5"/>
  <c r="K28" i="5"/>
  <c r="A28" i="5"/>
  <c r="AD27" i="5"/>
  <c r="Z27" i="5"/>
  <c r="Y27" i="5"/>
  <c r="Q27" i="5"/>
  <c r="P27" i="5"/>
  <c r="K27" i="5"/>
  <c r="A27" i="5"/>
  <c r="AD26" i="5"/>
  <c r="Z26" i="5"/>
  <c r="Y26" i="5"/>
  <c r="Q26" i="5"/>
  <c r="P26" i="5"/>
  <c r="K26" i="5"/>
  <c r="A26" i="5"/>
  <c r="AD25" i="5"/>
  <c r="Z25" i="5"/>
  <c r="Y25" i="5"/>
  <c r="Q25" i="5"/>
  <c r="P25" i="5"/>
  <c r="K25" i="5"/>
  <c r="A25" i="5"/>
  <c r="AD24" i="5"/>
  <c r="Z24" i="5"/>
  <c r="Y24" i="5"/>
  <c r="Q24" i="5"/>
  <c r="P24" i="5"/>
  <c r="K24" i="5"/>
  <c r="A24" i="5"/>
  <c r="AD23" i="5"/>
  <c r="Z23" i="5"/>
  <c r="Y23" i="5"/>
  <c r="Q23" i="5"/>
  <c r="P23" i="5"/>
  <c r="K23" i="5"/>
  <c r="A23" i="5"/>
  <c r="AD22" i="5"/>
  <c r="Z22" i="5"/>
  <c r="Y22" i="5"/>
  <c r="Q22" i="5"/>
  <c r="P22" i="5"/>
  <c r="K22" i="5"/>
  <c r="A22" i="5"/>
  <c r="AD21" i="5"/>
  <c r="Z21" i="5"/>
  <c r="Y21" i="5"/>
  <c r="Q21" i="5"/>
  <c r="P21" i="5"/>
  <c r="K21" i="5"/>
  <c r="A21" i="5"/>
  <c r="AD20" i="5"/>
  <c r="Z20" i="5"/>
  <c r="Y20" i="5"/>
  <c r="Q20" i="5"/>
  <c r="P20" i="5"/>
  <c r="K20" i="5"/>
  <c r="A20" i="5"/>
  <c r="AD19" i="5"/>
  <c r="Z19" i="5"/>
  <c r="Y19" i="5"/>
  <c r="Q19" i="5"/>
  <c r="P19" i="5"/>
  <c r="K19" i="5"/>
  <c r="A19" i="5"/>
  <c r="AD18" i="5"/>
  <c r="Z18" i="5"/>
  <c r="Y18" i="5"/>
  <c r="Q18" i="5"/>
  <c r="P18" i="5"/>
  <c r="K18" i="5"/>
  <c r="A18" i="5"/>
  <c r="AD17" i="5"/>
  <c r="Z17" i="5"/>
  <c r="Y17" i="5"/>
  <c r="Q17" i="5"/>
  <c r="P17" i="5"/>
  <c r="K17" i="5"/>
  <c r="A17" i="5"/>
  <c r="AD16" i="5"/>
  <c r="Z16" i="5"/>
  <c r="Y16" i="5"/>
  <c r="Q16" i="5"/>
  <c r="P16" i="5"/>
  <c r="K16" i="5"/>
  <c r="A16" i="5"/>
  <c r="AD15" i="5"/>
  <c r="Z15" i="5"/>
  <c r="Y15" i="5"/>
  <c r="Q15" i="5"/>
  <c r="P15" i="5"/>
  <c r="K15" i="5"/>
  <c r="A15" i="5"/>
  <c r="AD14" i="5"/>
  <c r="Z14" i="5"/>
  <c r="Y14" i="5"/>
  <c r="Q14" i="5"/>
  <c r="P14" i="5"/>
  <c r="K14" i="5"/>
  <c r="A14" i="5"/>
  <c r="AD13" i="5"/>
  <c r="Z13" i="5"/>
  <c r="Y13" i="5"/>
  <c r="Q13" i="5"/>
  <c r="P13" i="5"/>
  <c r="K13" i="5"/>
  <c r="A13" i="5"/>
  <c r="AD12" i="5"/>
  <c r="Z12" i="5"/>
  <c r="Y12" i="5"/>
  <c r="Q12" i="5"/>
  <c r="P12" i="5"/>
  <c r="K12" i="5"/>
  <c r="A12" i="5"/>
  <c r="AD11" i="5"/>
  <c r="Z11" i="5"/>
  <c r="Y11" i="5"/>
  <c r="Q11" i="5"/>
  <c r="P11" i="5"/>
  <c r="K11" i="5"/>
  <c r="A11" i="5"/>
  <c r="AD10" i="5"/>
  <c r="Z10" i="5"/>
  <c r="Y10" i="5"/>
  <c r="Q10" i="5"/>
  <c r="P10" i="5"/>
  <c r="K10" i="5"/>
  <c r="A10" i="5"/>
  <c r="AD9" i="5"/>
  <c r="Z9" i="5"/>
  <c r="Y9" i="5"/>
  <c r="A9" i="5"/>
  <c r="AD8" i="5"/>
  <c r="Y8" i="5"/>
  <c r="A8" i="5"/>
  <c r="Z8" i="5" s="1"/>
  <c r="AD7" i="5"/>
  <c r="Y7" i="5"/>
  <c r="A7" i="5"/>
  <c r="Z7" i="5" s="1"/>
  <c r="AD6" i="5"/>
  <c r="Y6" i="5"/>
  <c r="A6" i="5"/>
  <c r="Z6" i="5" s="1"/>
  <c r="AD5" i="5"/>
  <c r="Y5" i="5"/>
  <c r="A5" i="5"/>
  <c r="AC204" i="4"/>
  <c r="Y204" i="4"/>
  <c r="V204" i="4"/>
  <c r="T204" i="4"/>
  <c r="E204" i="4"/>
  <c r="C204" i="4"/>
  <c r="A204" i="4"/>
  <c r="AC203" i="4"/>
  <c r="Y203" i="4"/>
  <c r="V203" i="4"/>
  <c r="T203" i="4"/>
  <c r="E203" i="4"/>
  <c r="C203" i="4"/>
  <c r="A203" i="4"/>
  <c r="AC202" i="4"/>
  <c r="Y202" i="4"/>
  <c r="V202" i="4"/>
  <c r="T202" i="4"/>
  <c r="E202" i="4"/>
  <c r="C202" i="4"/>
  <c r="A202" i="4"/>
  <c r="AC201" i="4"/>
  <c r="Y201" i="4"/>
  <c r="V201" i="4"/>
  <c r="T201" i="4"/>
  <c r="E201" i="4"/>
  <c r="C201" i="4"/>
  <c r="A201" i="4"/>
  <c r="AC200" i="4"/>
  <c r="Y200" i="4"/>
  <c r="V200" i="4"/>
  <c r="T200" i="4"/>
  <c r="E200" i="4"/>
  <c r="C200" i="4"/>
  <c r="A200" i="4"/>
  <c r="AC199" i="4"/>
  <c r="Y199" i="4"/>
  <c r="V199" i="4"/>
  <c r="T199" i="4"/>
  <c r="E199" i="4"/>
  <c r="C199" i="4"/>
  <c r="A199" i="4"/>
  <c r="AC198" i="4"/>
  <c r="Y198" i="4"/>
  <c r="V198" i="4"/>
  <c r="T198" i="4"/>
  <c r="E198" i="4"/>
  <c r="C198" i="4"/>
  <c r="A198" i="4"/>
  <c r="AC197" i="4"/>
  <c r="Y197" i="4"/>
  <c r="V197" i="4"/>
  <c r="T197" i="4"/>
  <c r="E197" i="4"/>
  <c r="C197" i="4"/>
  <c r="A197" i="4"/>
  <c r="AC196" i="4"/>
  <c r="Y196" i="4"/>
  <c r="V196" i="4"/>
  <c r="T196" i="4"/>
  <c r="E196" i="4"/>
  <c r="C196" i="4"/>
  <c r="A196" i="4"/>
  <c r="AC195" i="4"/>
  <c r="Y195" i="4"/>
  <c r="V195" i="4"/>
  <c r="T195" i="4"/>
  <c r="E195" i="4"/>
  <c r="C195" i="4"/>
  <c r="A195" i="4"/>
  <c r="AC194" i="4"/>
  <c r="Y194" i="4"/>
  <c r="V194" i="4"/>
  <c r="T194" i="4"/>
  <c r="E194" i="4"/>
  <c r="C194" i="4"/>
  <c r="A194" i="4"/>
  <c r="AC193" i="4"/>
  <c r="Y193" i="4"/>
  <c r="V193" i="4"/>
  <c r="T193" i="4"/>
  <c r="E193" i="4"/>
  <c r="C193" i="4"/>
  <c r="A193" i="4"/>
  <c r="AC192" i="4"/>
  <c r="Y192" i="4"/>
  <c r="V192" i="4"/>
  <c r="T192" i="4"/>
  <c r="E192" i="4"/>
  <c r="C192" i="4"/>
  <c r="A192" i="4"/>
  <c r="AC191" i="4"/>
  <c r="Y191" i="4"/>
  <c r="V191" i="4"/>
  <c r="T191" i="4"/>
  <c r="E191" i="4"/>
  <c r="C191" i="4"/>
  <c r="A191" i="4"/>
  <c r="AC190" i="4"/>
  <c r="Y190" i="4"/>
  <c r="V190" i="4"/>
  <c r="T190" i="4"/>
  <c r="E190" i="4"/>
  <c r="C190" i="4"/>
  <c r="A190" i="4"/>
  <c r="AC189" i="4"/>
  <c r="Y189" i="4"/>
  <c r="V189" i="4"/>
  <c r="T189" i="4"/>
  <c r="E189" i="4"/>
  <c r="C189" i="4"/>
  <c r="A189" i="4"/>
  <c r="AC188" i="4"/>
  <c r="Y188" i="4"/>
  <c r="V188" i="4"/>
  <c r="T188" i="4"/>
  <c r="E188" i="4"/>
  <c r="C188" i="4"/>
  <c r="A188" i="4"/>
  <c r="AC187" i="4"/>
  <c r="Y187" i="4"/>
  <c r="V187" i="4"/>
  <c r="T187" i="4"/>
  <c r="E187" i="4"/>
  <c r="C187" i="4"/>
  <c r="A187" i="4"/>
  <c r="AC186" i="4"/>
  <c r="Y186" i="4"/>
  <c r="V186" i="4"/>
  <c r="T186" i="4"/>
  <c r="E186" i="4"/>
  <c r="C186" i="4"/>
  <c r="A186" i="4"/>
  <c r="AC185" i="4"/>
  <c r="Y185" i="4"/>
  <c r="V185" i="4"/>
  <c r="T185" i="4"/>
  <c r="E185" i="4"/>
  <c r="C185" i="4"/>
  <c r="A185" i="4"/>
  <c r="AC184" i="4"/>
  <c r="Y184" i="4"/>
  <c r="V184" i="4"/>
  <c r="T184" i="4"/>
  <c r="E184" i="4"/>
  <c r="C184" i="4"/>
  <c r="A184" i="4"/>
  <c r="AC183" i="4"/>
  <c r="Y183" i="4"/>
  <c r="V183" i="4"/>
  <c r="T183" i="4"/>
  <c r="E183" i="4"/>
  <c r="C183" i="4"/>
  <c r="A183" i="4"/>
  <c r="AC182" i="4"/>
  <c r="Y182" i="4"/>
  <c r="V182" i="4"/>
  <c r="T182" i="4"/>
  <c r="E182" i="4"/>
  <c r="C182" i="4"/>
  <c r="A182" i="4"/>
  <c r="AC181" i="4"/>
  <c r="Y181" i="4"/>
  <c r="V181" i="4"/>
  <c r="T181" i="4"/>
  <c r="E181" i="4"/>
  <c r="C181" i="4"/>
  <c r="A181" i="4"/>
  <c r="AC180" i="4"/>
  <c r="Y180" i="4"/>
  <c r="V180" i="4"/>
  <c r="T180" i="4"/>
  <c r="E180" i="4"/>
  <c r="C180" i="4"/>
  <c r="A180" i="4"/>
  <c r="AC179" i="4"/>
  <c r="Y179" i="4"/>
  <c r="V179" i="4"/>
  <c r="T179" i="4"/>
  <c r="E179" i="4"/>
  <c r="C179" i="4"/>
  <c r="A179" i="4"/>
  <c r="AC178" i="4"/>
  <c r="Y178" i="4"/>
  <c r="V178" i="4"/>
  <c r="T178" i="4"/>
  <c r="E178" i="4"/>
  <c r="C178" i="4"/>
  <c r="A178" i="4"/>
  <c r="AC177" i="4"/>
  <c r="Y177" i="4"/>
  <c r="V177" i="4"/>
  <c r="T177" i="4"/>
  <c r="E177" i="4"/>
  <c r="C177" i="4"/>
  <c r="A177" i="4"/>
  <c r="AC176" i="4"/>
  <c r="Y176" i="4"/>
  <c r="V176" i="4"/>
  <c r="T176" i="4"/>
  <c r="E176" i="4"/>
  <c r="C176" i="4"/>
  <c r="A176" i="4"/>
  <c r="AC175" i="4"/>
  <c r="Y175" i="4"/>
  <c r="V175" i="4"/>
  <c r="T175" i="4"/>
  <c r="E175" i="4"/>
  <c r="C175" i="4"/>
  <c r="A175" i="4"/>
  <c r="AC174" i="4"/>
  <c r="Y174" i="4"/>
  <c r="V174" i="4"/>
  <c r="T174" i="4"/>
  <c r="E174" i="4"/>
  <c r="C174" i="4"/>
  <c r="A174" i="4"/>
  <c r="AC173" i="4"/>
  <c r="Y173" i="4"/>
  <c r="V173" i="4"/>
  <c r="T173" i="4"/>
  <c r="E173" i="4"/>
  <c r="C173" i="4"/>
  <c r="A173" i="4"/>
  <c r="AC172" i="4"/>
  <c r="Y172" i="4"/>
  <c r="V172" i="4"/>
  <c r="T172" i="4"/>
  <c r="E172" i="4"/>
  <c r="C172" i="4"/>
  <c r="A172" i="4"/>
  <c r="AC171" i="4"/>
  <c r="Y171" i="4"/>
  <c r="V171" i="4"/>
  <c r="T171" i="4"/>
  <c r="E171" i="4"/>
  <c r="C171" i="4"/>
  <c r="A171" i="4"/>
  <c r="AC170" i="4"/>
  <c r="Y170" i="4"/>
  <c r="V170" i="4"/>
  <c r="T170" i="4"/>
  <c r="E170" i="4"/>
  <c r="C170" i="4"/>
  <c r="A170" i="4"/>
  <c r="AC169" i="4"/>
  <c r="Y169" i="4"/>
  <c r="V169" i="4"/>
  <c r="T169" i="4"/>
  <c r="E169" i="4"/>
  <c r="C169" i="4"/>
  <c r="A169" i="4"/>
  <c r="AC168" i="4"/>
  <c r="Y168" i="4"/>
  <c r="V168" i="4"/>
  <c r="T168" i="4"/>
  <c r="E168" i="4"/>
  <c r="C168" i="4"/>
  <c r="A168" i="4"/>
  <c r="AC167" i="4"/>
  <c r="Y167" i="4"/>
  <c r="V167" i="4"/>
  <c r="T167" i="4"/>
  <c r="E167" i="4"/>
  <c r="C167" i="4"/>
  <c r="A167" i="4"/>
  <c r="AC166" i="4"/>
  <c r="Y166" i="4"/>
  <c r="V166" i="4"/>
  <c r="T166" i="4"/>
  <c r="E166" i="4"/>
  <c r="C166" i="4"/>
  <c r="A166" i="4"/>
  <c r="AC165" i="4"/>
  <c r="Y165" i="4"/>
  <c r="V165" i="4"/>
  <c r="T165" i="4"/>
  <c r="E165" i="4"/>
  <c r="C165" i="4"/>
  <c r="A165" i="4"/>
  <c r="AC164" i="4"/>
  <c r="Y164" i="4"/>
  <c r="V164" i="4"/>
  <c r="T164" i="4"/>
  <c r="E164" i="4"/>
  <c r="C164" i="4"/>
  <c r="A164" i="4"/>
  <c r="AC163" i="4"/>
  <c r="Y163" i="4"/>
  <c r="V163" i="4"/>
  <c r="T163" i="4"/>
  <c r="E163" i="4"/>
  <c r="C163" i="4"/>
  <c r="A163" i="4"/>
  <c r="AC162" i="4"/>
  <c r="Y162" i="4"/>
  <c r="V162" i="4"/>
  <c r="T162" i="4"/>
  <c r="E162" i="4"/>
  <c r="C162" i="4"/>
  <c r="A162" i="4"/>
  <c r="AC161" i="4"/>
  <c r="Y161" i="4"/>
  <c r="V161" i="4"/>
  <c r="T161" i="4"/>
  <c r="E161" i="4"/>
  <c r="C161" i="4"/>
  <c r="A161" i="4"/>
  <c r="AC160" i="4"/>
  <c r="Y160" i="4"/>
  <c r="V160" i="4"/>
  <c r="T160" i="4"/>
  <c r="E160" i="4"/>
  <c r="C160" i="4"/>
  <c r="A160" i="4"/>
  <c r="AC159" i="4"/>
  <c r="Y159" i="4"/>
  <c r="V159" i="4"/>
  <c r="T159" i="4"/>
  <c r="E159" i="4"/>
  <c r="C159" i="4"/>
  <c r="A159" i="4"/>
  <c r="AC158" i="4"/>
  <c r="Y158" i="4"/>
  <c r="V158" i="4"/>
  <c r="T158" i="4"/>
  <c r="E158" i="4"/>
  <c r="C158" i="4"/>
  <c r="A158" i="4"/>
  <c r="AC157" i="4"/>
  <c r="Y157" i="4"/>
  <c r="V157" i="4"/>
  <c r="T157" i="4"/>
  <c r="E157" i="4"/>
  <c r="C157" i="4"/>
  <c r="A157" i="4"/>
  <c r="AC156" i="4"/>
  <c r="Y156" i="4"/>
  <c r="V156" i="4"/>
  <c r="T156" i="4"/>
  <c r="E156" i="4"/>
  <c r="C156" i="4"/>
  <c r="A156" i="4"/>
  <c r="AC155" i="4"/>
  <c r="Y155" i="4"/>
  <c r="V155" i="4"/>
  <c r="T155" i="4"/>
  <c r="E155" i="4"/>
  <c r="C155" i="4"/>
  <c r="A155" i="4"/>
  <c r="AC154" i="4"/>
  <c r="Y154" i="4"/>
  <c r="V154" i="4"/>
  <c r="T154" i="4"/>
  <c r="E154" i="4"/>
  <c r="C154" i="4"/>
  <c r="A154" i="4"/>
  <c r="AC153" i="4"/>
  <c r="Y153" i="4"/>
  <c r="V153" i="4"/>
  <c r="T153" i="4"/>
  <c r="E153" i="4"/>
  <c r="C153" i="4"/>
  <c r="A153" i="4"/>
  <c r="AC152" i="4"/>
  <c r="Y152" i="4"/>
  <c r="V152" i="4"/>
  <c r="T152" i="4"/>
  <c r="E152" i="4"/>
  <c r="C152" i="4"/>
  <c r="A152" i="4"/>
  <c r="AC151" i="4"/>
  <c r="Y151" i="4"/>
  <c r="V151" i="4"/>
  <c r="T151" i="4"/>
  <c r="E151" i="4"/>
  <c r="C151" i="4"/>
  <c r="A151" i="4"/>
  <c r="AC150" i="4"/>
  <c r="Y150" i="4"/>
  <c r="V150" i="4"/>
  <c r="T150" i="4"/>
  <c r="E150" i="4"/>
  <c r="C150" i="4"/>
  <c r="A150" i="4"/>
  <c r="AC149" i="4"/>
  <c r="Y149" i="4"/>
  <c r="V149" i="4"/>
  <c r="T149" i="4"/>
  <c r="E149" i="4"/>
  <c r="C149" i="4"/>
  <c r="A149" i="4"/>
  <c r="AC148" i="4"/>
  <c r="Y148" i="4"/>
  <c r="V148" i="4"/>
  <c r="T148" i="4"/>
  <c r="E148" i="4"/>
  <c r="C148" i="4"/>
  <c r="A148" i="4"/>
  <c r="AC147" i="4"/>
  <c r="Y147" i="4"/>
  <c r="V147" i="4"/>
  <c r="T147" i="4"/>
  <c r="E147" i="4"/>
  <c r="C147" i="4"/>
  <c r="A147" i="4"/>
  <c r="AC146" i="4"/>
  <c r="Y146" i="4"/>
  <c r="V146" i="4"/>
  <c r="T146" i="4"/>
  <c r="E146" i="4"/>
  <c r="C146" i="4"/>
  <c r="A146" i="4"/>
  <c r="AC145" i="4"/>
  <c r="Y145" i="4"/>
  <c r="V145" i="4"/>
  <c r="T145" i="4"/>
  <c r="E145" i="4"/>
  <c r="C145" i="4"/>
  <c r="A145" i="4"/>
  <c r="AC144" i="4"/>
  <c r="Y144" i="4"/>
  <c r="V144" i="4"/>
  <c r="T144" i="4"/>
  <c r="E144" i="4"/>
  <c r="C144" i="4"/>
  <c r="A144" i="4"/>
  <c r="AC143" i="4"/>
  <c r="Y143" i="4"/>
  <c r="V143" i="4"/>
  <c r="T143" i="4"/>
  <c r="E143" i="4"/>
  <c r="C143" i="4"/>
  <c r="A143" i="4"/>
  <c r="AC142" i="4"/>
  <c r="Y142" i="4"/>
  <c r="V142" i="4"/>
  <c r="T142" i="4"/>
  <c r="E142" i="4"/>
  <c r="C142" i="4"/>
  <c r="A142" i="4"/>
  <c r="AC141" i="4"/>
  <c r="Y141" i="4"/>
  <c r="V141" i="4"/>
  <c r="T141" i="4"/>
  <c r="E141" i="4"/>
  <c r="C141" i="4"/>
  <c r="A141" i="4"/>
  <c r="AC140" i="4"/>
  <c r="Y140" i="4"/>
  <c r="V140" i="4"/>
  <c r="T140" i="4"/>
  <c r="E140" i="4"/>
  <c r="C140" i="4"/>
  <c r="A140" i="4"/>
  <c r="AC139" i="4"/>
  <c r="Y139" i="4"/>
  <c r="V139" i="4"/>
  <c r="T139" i="4"/>
  <c r="E139" i="4"/>
  <c r="C139" i="4"/>
  <c r="A139" i="4"/>
  <c r="AC138" i="4"/>
  <c r="Y138" i="4"/>
  <c r="V138" i="4"/>
  <c r="T138" i="4"/>
  <c r="E138" i="4"/>
  <c r="C138" i="4"/>
  <c r="A138" i="4"/>
  <c r="AC137" i="4"/>
  <c r="Y137" i="4"/>
  <c r="V137" i="4"/>
  <c r="T137" i="4"/>
  <c r="E137" i="4"/>
  <c r="C137" i="4"/>
  <c r="A137" i="4"/>
  <c r="AC136" i="4"/>
  <c r="Y136" i="4"/>
  <c r="V136" i="4"/>
  <c r="T136" i="4"/>
  <c r="E136" i="4"/>
  <c r="C136" i="4"/>
  <c r="A136" i="4"/>
  <c r="AC135" i="4"/>
  <c r="Y135" i="4"/>
  <c r="V135" i="4"/>
  <c r="T135" i="4"/>
  <c r="E135" i="4"/>
  <c r="C135" i="4"/>
  <c r="A135" i="4"/>
  <c r="AC134" i="4"/>
  <c r="Y134" i="4"/>
  <c r="V134" i="4"/>
  <c r="T134" i="4"/>
  <c r="E134" i="4"/>
  <c r="C134" i="4"/>
  <c r="A134" i="4"/>
  <c r="AC133" i="4"/>
  <c r="Y133" i="4"/>
  <c r="V133" i="4"/>
  <c r="T133" i="4"/>
  <c r="E133" i="4"/>
  <c r="C133" i="4"/>
  <c r="A133" i="4"/>
  <c r="AC132" i="4"/>
  <c r="Y132" i="4"/>
  <c r="V132" i="4"/>
  <c r="T132" i="4"/>
  <c r="E132" i="4"/>
  <c r="C132" i="4"/>
  <c r="A132" i="4"/>
  <c r="AC131" i="4"/>
  <c r="Y131" i="4"/>
  <c r="V131" i="4"/>
  <c r="T131" i="4"/>
  <c r="E131" i="4"/>
  <c r="C131" i="4"/>
  <c r="A131" i="4"/>
  <c r="AC130" i="4"/>
  <c r="Y130" i="4"/>
  <c r="V130" i="4"/>
  <c r="T130" i="4"/>
  <c r="E130" i="4"/>
  <c r="C130" i="4"/>
  <c r="A130" i="4"/>
  <c r="AC129" i="4"/>
  <c r="Y129" i="4"/>
  <c r="V129" i="4"/>
  <c r="T129" i="4"/>
  <c r="E129" i="4"/>
  <c r="C129" i="4"/>
  <c r="A129" i="4"/>
  <c r="AC128" i="4"/>
  <c r="Y128" i="4"/>
  <c r="V128" i="4"/>
  <c r="T128" i="4"/>
  <c r="E128" i="4"/>
  <c r="C128" i="4"/>
  <c r="A128" i="4"/>
  <c r="AC127" i="4"/>
  <c r="Y127" i="4"/>
  <c r="V127" i="4"/>
  <c r="T127" i="4"/>
  <c r="E127" i="4"/>
  <c r="C127" i="4"/>
  <c r="A127" i="4"/>
  <c r="AC126" i="4"/>
  <c r="Y126" i="4"/>
  <c r="V126" i="4"/>
  <c r="T126" i="4"/>
  <c r="E126" i="4"/>
  <c r="C126" i="4"/>
  <c r="A126" i="4"/>
  <c r="AC125" i="4"/>
  <c r="Y125" i="4"/>
  <c r="V125" i="4"/>
  <c r="T125" i="4"/>
  <c r="E125" i="4"/>
  <c r="C125" i="4"/>
  <c r="A125" i="4"/>
  <c r="AC124" i="4"/>
  <c r="Y124" i="4"/>
  <c r="V124" i="4"/>
  <c r="T124" i="4"/>
  <c r="E124" i="4"/>
  <c r="C124" i="4"/>
  <c r="A124" i="4"/>
  <c r="AC123" i="4"/>
  <c r="Y123" i="4"/>
  <c r="V123" i="4"/>
  <c r="T123" i="4"/>
  <c r="E123" i="4"/>
  <c r="C123" i="4"/>
  <c r="A123" i="4"/>
  <c r="AC122" i="4"/>
  <c r="Y122" i="4"/>
  <c r="V122" i="4"/>
  <c r="T122" i="4"/>
  <c r="E122" i="4"/>
  <c r="C122" i="4"/>
  <c r="A122" i="4"/>
  <c r="AC121" i="4"/>
  <c r="Y121" i="4"/>
  <c r="V121" i="4"/>
  <c r="T121" i="4"/>
  <c r="E121" i="4"/>
  <c r="C121" i="4"/>
  <c r="A121" i="4"/>
  <c r="AC120" i="4"/>
  <c r="Y120" i="4"/>
  <c r="V120" i="4"/>
  <c r="T120" i="4"/>
  <c r="E120" i="4"/>
  <c r="C120" i="4"/>
  <c r="A120" i="4"/>
  <c r="AC119" i="4"/>
  <c r="Y119" i="4"/>
  <c r="V119" i="4"/>
  <c r="T119" i="4"/>
  <c r="E119" i="4"/>
  <c r="C119" i="4"/>
  <c r="A119" i="4"/>
  <c r="AC118" i="4"/>
  <c r="Y118" i="4"/>
  <c r="V118" i="4"/>
  <c r="T118" i="4"/>
  <c r="E118" i="4"/>
  <c r="C118" i="4"/>
  <c r="A118" i="4"/>
  <c r="AC117" i="4"/>
  <c r="Y117" i="4"/>
  <c r="V117" i="4"/>
  <c r="T117" i="4"/>
  <c r="E117" i="4"/>
  <c r="C117" i="4"/>
  <c r="A117" i="4"/>
  <c r="AC116" i="4"/>
  <c r="Y116" i="4"/>
  <c r="V116" i="4"/>
  <c r="T116" i="4"/>
  <c r="E116" i="4"/>
  <c r="C116" i="4"/>
  <c r="A116" i="4"/>
  <c r="AC115" i="4"/>
  <c r="Y115" i="4"/>
  <c r="V115" i="4"/>
  <c r="T115" i="4"/>
  <c r="E115" i="4"/>
  <c r="C115" i="4"/>
  <c r="A115" i="4"/>
  <c r="AC114" i="4"/>
  <c r="Y114" i="4"/>
  <c r="V114" i="4"/>
  <c r="T114" i="4"/>
  <c r="E114" i="4"/>
  <c r="C114" i="4"/>
  <c r="A114" i="4"/>
  <c r="AC113" i="4"/>
  <c r="Y113" i="4"/>
  <c r="V113" i="4"/>
  <c r="T113" i="4"/>
  <c r="E113" i="4"/>
  <c r="C113" i="4"/>
  <c r="A113" i="4"/>
  <c r="AC112" i="4"/>
  <c r="Y112" i="4"/>
  <c r="V112" i="4"/>
  <c r="T112" i="4"/>
  <c r="E112" i="4"/>
  <c r="C112" i="4"/>
  <c r="A112" i="4"/>
  <c r="AC111" i="4"/>
  <c r="Y111" i="4"/>
  <c r="V111" i="4"/>
  <c r="T111" i="4"/>
  <c r="E111" i="4"/>
  <c r="C111" i="4"/>
  <c r="A111" i="4"/>
  <c r="AC110" i="4"/>
  <c r="Y110" i="4"/>
  <c r="V110" i="4"/>
  <c r="T110" i="4"/>
  <c r="E110" i="4"/>
  <c r="C110" i="4"/>
  <c r="A110" i="4"/>
  <c r="AC109" i="4"/>
  <c r="Y109" i="4"/>
  <c r="V109" i="4"/>
  <c r="T109" i="4"/>
  <c r="E109" i="4"/>
  <c r="C109" i="4"/>
  <c r="A109" i="4"/>
  <c r="AC108" i="4"/>
  <c r="Y108" i="4"/>
  <c r="V108" i="4"/>
  <c r="T108" i="4"/>
  <c r="E108" i="4"/>
  <c r="C108" i="4"/>
  <c r="A108" i="4"/>
  <c r="AC107" i="4"/>
  <c r="Y107" i="4"/>
  <c r="V107" i="4"/>
  <c r="T107" i="4"/>
  <c r="E107" i="4"/>
  <c r="C107" i="4"/>
  <c r="A107" i="4"/>
  <c r="AC106" i="4"/>
  <c r="Y106" i="4"/>
  <c r="V106" i="4"/>
  <c r="T106" i="4"/>
  <c r="E106" i="4"/>
  <c r="C106" i="4"/>
  <c r="A106" i="4"/>
  <c r="AC105" i="4"/>
  <c r="Y105" i="4"/>
  <c r="V105" i="4"/>
  <c r="T105" i="4"/>
  <c r="E105" i="4"/>
  <c r="C105" i="4"/>
  <c r="A105" i="4"/>
  <c r="AC104" i="4"/>
  <c r="Y104" i="4"/>
  <c r="V104" i="4"/>
  <c r="T104" i="4"/>
  <c r="E104" i="4"/>
  <c r="C104" i="4"/>
  <c r="A104" i="4"/>
  <c r="AC103" i="4"/>
  <c r="Y103" i="4"/>
  <c r="V103" i="4"/>
  <c r="T103" i="4"/>
  <c r="E103" i="4"/>
  <c r="C103" i="4"/>
  <c r="A103" i="4"/>
  <c r="AC102" i="4"/>
  <c r="Y102" i="4"/>
  <c r="V102" i="4"/>
  <c r="T102" i="4"/>
  <c r="E102" i="4"/>
  <c r="C102" i="4"/>
  <c r="A102" i="4"/>
  <c r="AC101" i="4"/>
  <c r="Y101" i="4"/>
  <c r="V101" i="4"/>
  <c r="T101" i="4"/>
  <c r="E101" i="4"/>
  <c r="C101" i="4"/>
  <c r="A101" i="4"/>
  <c r="AC100" i="4"/>
  <c r="Y100" i="4"/>
  <c r="V100" i="4"/>
  <c r="T100" i="4"/>
  <c r="E100" i="4"/>
  <c r="C100" i="4"/>
  <c r="A100" i="4"/>
  <c r="AC99" i="4"/>
  <c r="Y99" i="4"/>
  <c r="V99" i="4"/>
  <c r="T99" i="4"/>
  <c r="E99" i="4"/>
  <c r="C99" i="4"/>
  <c r="A99" i="4"/>
  <c r="AC98" i="4"/>
  <c r="Y98" i="4"/>
  <c r="V98" i="4"/>
  <c r="T98" i="4"/>
  <c r="E98" i="4"/>
  <c r="C98" i="4"/>
  <c r="A98" i="4"/>
  <c r="AC97" i="4"/>
  <c r="Y97" i="4"/>
  <c r="V97" i="4"/>
  <c r="T97" i="4"/>
  <c r="E97" i="4"/>
  <c r="C97" i="4"/>
  <c r="A97" i="4"/>
  <c r="AC96" i="4"/>
  <c r="Y96" i="4"/>
  <c r="V96" i="4"/>
  <c r="T96" i="4"/>
  <c r="E96" i="4"/>
  <c r="C96" i="4"/>
  <c r="A96" i="4"/>
  <c r="AC95" i="4"/>
  <c r="Y95" i="4"/>
  <c r="V95" i="4"/>
  <c r="T95" i="4"/>
  <c r="E95" i="4"/>
  <c r="C95" i="4"/>
  <c r="A95" i="4"/>
  <c r="AC94" i="4"/>
  <c r="Y94" i="4"/>
  <c r="V94" i="4"/>
  <c r="T94" i="4"/>
  <c r="E94" i="4"/>
  <c r="C94" i="4"/>
  <c r="A94" i="4"/>
  <c r="AC93" i="4"/>
  <c r="Y93" i="4"/>
  <c r="V93" i="4"/>
  <c r="T93" i="4"/>
  <c r="E93" i="4"/>
  <c r="C93" i="4"/>
  <c r="A93" i="4"/>
  <c r="AC92" i="4"/>
  <c r="Y92" i="4"/>
  <c r="V92" i="4"/>
  <c r="T92" i="4"/>
  <c r="E92" i="4"/>
  <c r="C92" i="4"/>
  <c r="A92" i="4"/>
  <c r="AC91" i="4"/>
  <c r="Y91" i="4"/>
  <c r="V91" i="4"/>
  <c r="T91" i="4"/>
  <c r="E91" i="4"/>
  <c r="C91" i="4"/>
  <c r="A91" i="4"/>
  <c r="AC90" i="4"/>
  <c r="Y90" i="4"/>
  <c r="V90" i="4"/>
  <c r="T90" i="4"/>
  <c r="E90" i="4"/>
  <c r="C90" i="4"/>
  <c r="A90" i="4"/>
  <c r="AC89" i="4"/>
  <c r="Y89" i="4"/>
  <c r="V89" i="4"/>
  <c r="T89" i="4"/>
  <c r="E89" i="4"/>
  <c r="C89" i="4"/>
  <c r="A89" i="4"/>
  <c r="AC88" i="4"/>
  <c r="Y88" i="4"/>
  <c r="V88" i="4"/>
  <c r="T88" i="4"/>
  <c r="E88" i="4"/>
  <c r="C88" i="4"/>
  <c r="A88" i="4"/>
  <c r="AC87" i="4"/>
  <c r="Y87" i="4"/>
  <c r="V87" i="4"/>
  <c r="T87" i="4"/>
  <c r="E87" i="4"/>
  <c r="C87" i="4"/>
  <c r="A87" i="4"/>
  <c r="AC86" i="4"/>
  <c r="Y86" i="4"/>
  <c r="V86" i="4"/>
  <c r="T86" i="4"/>
  <c r="E86" i="4"/>
  <c r="C86" i="4"/>
  <c r="A86" i="4"/>
  <c r="AC85" i="4"/>
  <c r="Y85" i="4"/>
  <c r="V85" i="4"/>
  <c r="T85" i="4"/>
  <c r="E85" i="4"/>
  <c r="C85" i="4"/>
  <c r="A85" i="4"/>
  <c r="AC84" i="4"/>
  <c r="Y84" i="4"/>
  <c r="V84" i="4"/>
  <c r="T84" i="4"/>
  <c r="E84" i="4"/>
  <c r="C84" i="4"/>
  <c r="A84" i="4"/>
  <c r="AC83" i="4"/>
  <c r="Y83" i="4"/>
  <c r="V83" i="4"/>
  <c r="T83" i="4"/>
  <c r="E83" i="4"/>
  <c r="C83" i="4"/>
  <c r="A83" i="4"/>
  <c r="AC82" i="4"/>
  <c r="Y82" i="4"/>
  <c r="V82" i="4"/>
  <c r="T82" i="4"/>
  <c r="E82" i="4"/>
  <c r="C82" i="4"/>
  <c r="A82" i="4"/>
  <c r="AC81" i="4"/>
  <c r="Y81" i="4"/>
  <c r="V81" i="4"/>
  <c r="T81" i="4"/>
  <c r="E81" i="4"/>
  <c r="C81" i="4"/>
  <c r="A81" i="4"/>
  <c r="AC80" i="4"/>
  <c r="Y80" i="4"/>
  <c r="V80" i="4"/>
  <c r="T80" i="4"/>
  <c r="E80" i="4"/>
  <c r="C80" i="4"/>
  <c r="A80" i="4"/>
  <c r="AC79" i="4"/>
  <c r="Y79" i="4"/>
  <c r="V79" i="4"/>
  <c r="T79" i="4"/>
  <c r="E79" i="4"/>
  <c r="C79" i="4"/>
  <c r="A79" i="4"/>
  <c r="AC78" i="4"/>
  <c r="Y78" i="4"/>
  <c r="V78" i="4"/>
  <c r="T78" i="4"/>
  <c r="E78" i="4"/>
  <c r="C78" i="4"/>
  <c r="A78" i="4"/>
  <c r="AC77" i="4"/>
  <c r="Y77" i="4"/>
  <c r="V77" i="4"/>
  <c r="T77" i="4"/>
  <c r="E77" i="4"/>
  <c r="C77" i="4"/>
  <c r="A77" i="4"/>
  <c r="AC76" i="4"/>
  <c r="Y76" i="4"/>
  <c r="V76" i="4"/>
  <c r="T76" i="4"/>
  <c r="E76" i="4"/>
  <c r="C76" i="4"/>
  <c r="A76" i="4"/>
  <c r="AC75" i="4"/>
  <c r="Y75" i="4"/>
  <c r="V75" i="4"/>
  <c r="T75" i="4"/>
  <c r="E75" i="4"/>
  <c r="C75" i="4"/>
  <c r="A75" i="4"/>
  <c r="AC74" i="4"/>
  <c r="Y74" i="4"/>
  <c r="V74" i="4"/>
  <c r="T74" i="4"/>
  <c r="E74" i="4"/>
  <c r="C74" i="4"/>
  <c r="A74" i="4"/>
  <c r="AC73" i="4"/>
  <c r="Y73" i="4"/>
  <c r="V73" i="4"/>
  <c r="T73" i="4"/>
  <c r="E73" i="4"/>
  <c r="C73" i="4"/>
  <c r="A73" i="4"/>
  <c r="AC72" i="4"/>
  <c r="Y72" i="4"/>
  <c r="V72" i="4"/>
  <c r="T72" i="4"/>
  <c r="E72" i="4"/>
  <c r="C72" i="4"/>
  <c r="A72" i="4"/>
  <c r="AC71" i="4"/>
  <c r="Y71" i="4"/>
  <c r="V71" i="4"/>
  <c r="T71" i="4"/>
  <c r="E71" i="4"/>
  <c r="C71" i="4"/>
  <c r="A71" i="4"/>
  <c r="AC70" i="4"/>
  <c r="Y70" i="4"/>
  <c r="V70" i="4"/>
  <c r="T70" i="4"/>
  <c r="E70" i="4"/>
  <c r="C70" i="4"/>
  <c r="A70" i="4"/>
  <c r="AC69" i="4"/>
  <c r="Y69" i="4"/>
  <c r="V69" i="4"/>
  <c r="T69" i="4"/>
  <c r="E69" i="4"/>
  <c r="C69" i="4"/>
  <c r="A69" i="4"/>
  <c r="AC68" i="4"/>
  <c r="Y68" i="4"/>
  <c r="V68" i="4"/>
  <c r="T68" i="4"/>
  <c r="E68" i="4"/>
  <c r="C68" i="4"/>
  <c r="A68" i="4"/>
  <c r="AC67" i="4"/>
  <c r="Y67" i="4"/>
  <c r="V67" i="4"/>
  <c r="T67" i="4"/>
  <c r="E67" i="4"/>
  <c r="C67" i="4"/>
  <c r="A67" i="4"/>
  <c r="AC66" i="4"/>
  <c r="Y66" i="4"/>
  <c r="V66" i="4"/>
  <c r="T66" i="4"/>
  <c r="E66" i="4"/>
  <c r="C66" i="4"/>
  <c r="A66" i="4"/>
  <c r="AC65" i="4"/>
  <c r="Y65" i="4"/>
  <c r="V65" i="4"/>
  <c r="T65" i="4"/>
  <c r="E65" i="4"/>
  <c r="C65" i="4"/>
  <c r="A65" i="4"/>
  <c r="AC64" i="4"/>
  <c r="Y64" i="4"/>
  <c r="V64" i="4"/>
  <c r="T64" i="4"/>
  <c r="E64" i="4"/>
  <c r="C64" i="4"/>
  <c r="A64" i="4"/>
  <c r="AC63" i="4"/>
  <c r="Y63" i="4"/>
  <c r="V63" i="4"/>
  <c r="T63" i="4"/>
  <c r="E63" i="4"/>
  <c r="C63" i="4"/>
  <c r="A63" i="4"/>
  <c r="AC62" i="4"/>
  <c r="Y62" i="4"/>
  <c r="V62" i="4"/>
  <c r="T62" i="4"/>
  <c r="E62" i="4"/>
  <c r="C62" i="4"/>
  <c r="A62" i="4"/>
  <c r="AC61" i="4"/>
  <c r="Y61" i="4"/>
  <c r="V61" i="4"/>
  <c r="T61" i="4"/>
  <c r="E61" i="4"/>
  <c r="C61" i="4"/>
  <c r="A61" i="4"/>
  <c r="AC60" i="4"/>
  <c r="Y60" i="4"/>
  <c r="V60" i="4"/>
  <c r="T60" i="4"/>
  <c r="E60" i="4"/>
  <c r="C60" i="4"/>
  <c r="A60" i="4"/>
  <c r="AC59" i="4"/>
  <c r="Y59" i="4"/>
  <c r="V59" i="4"/>
  <c r="T59" i="4"/>
  <c r="E59" i="4"/>
  <c r="C59" i="4"/>
  <c r="A59" i="4"/>
  <c r="AC58" i="4"/>
  <c r="Y58" i="4"/>
  <c r="V58" i="4"/>
  <c r="T58" i="4"/>
  <c r="E58" i="4"/>
  <c r="C58" i="4"/>
  <c r="A58" i="4"/>
  <c r="AC57" i="4"/>
  <c r="Y57" i="4"/>
  <c r="V57" i="4"/>
  <c r="T57" i="4"/>
  <c r="E57" i="4"/>
  <c r="C57" i="4"/>
  <c r="A57" i="4"/>
  <c r="AC56" i="4"/>
  <c r="Y56" i="4"/>
  <c r="V56" i="4"/>
  <c r="T56" i="4"/>
  <c r="E56" i="4"/>
  <c r="C56" i="4"/>
  <c r="A56" i="4"/>
  <c r="AC55" i="4"/>
  <c r="Y55" i="4"/>
  <c r="V55" i="4"/>
  <c r="T55" i="4"/>
  <c r="E55" i="4"/>
  <c r="C55" i="4"/>
  <c r="A55" i="4"/>
  <c r="AC54" i="4"/>
  <c r="Y54" i="4"/>
  <c r="V54" i="4"/>
  <c r="T54" i="4"/>
  <c r="E54" i="4"/>
  <c r="C54" i="4"/>
  <c r="A54" i="4"/>
  <c r="AC53" i="4"/>
  <c r="Y53" i="4"/>
  <c r="V53" i="4"/>
  <c r="T53" i="4"/>
  <c r="E53" i="4"/>
  <c r="C53" i="4"/>
  <c r="A53" i="4"/>
  <c r="AC52" i="4"/>
  <c r="Y52" i="4"/>
  <c r="V52" i="4"/>
  <c r="T52" i="4"/>
  <c r="E52" i="4"/>
  <c r="C52" i="4"/>
  <c r="A52" i="4"/>
  <c r="AC51" i="4"/>
  <c r="Y51" i="4"/>
  <c r="V51" i="4"/>
  <c r="T51" i="4"/>
  <c r="E51" i="4"/>
  <c r="C51" i="4"/>
  <c r="A51" i="4"/>
  <c r="AC50" i="4"/>
  <c r="Y50" i="4"/>
  <c r="V50" i="4"/>
  <c r="T50" i="4"/>
  <c r="E50" i="4"/>
  <c r="C50" i="4"/>
  <c r="A50" i="4"/>
  <c r="AC49" i="4"/>
  <c r="Y49" i="4"/>
  <c r="V49" i="4"/>
  <c r="T49" i="4"/>
  <c r="E49" i="4"/>
  <c r="C49" i="4"/>
  <c r="A49" i="4"/>
  <c r="AC48" i="4"/>
  <c r="Y48" i="4"/>
  <c r="V48" i="4"/>
  <c r="T48" i="4"/>
  <c r="E48" i="4"/>
  <c r="C48" i="4"/>
  <c r="A48" i="4"/>
  <c r="AC47" i="4"/>
  <c r="Y47" i="4"/>
  <c r="V47" i="4"/>
  <c r="T47" i="4"/>
  <c r="E47" i="4"/>
  <c r="C47" i="4"/>
  <c r="A47" i="4"/>
  <c r="AC46" i="4"/>
  <c r="Y46" i="4"/>
  <c r="V46" i="4"/>
  <c r="T46" i="4"/>
  <c r="E46" i="4"/>
  <c r="C46" i="4"/>
  <c r="A46" i="4"/>
  <c r="AC45" i="4"/>
  <c r="Y45" i="4"/>
  <c r="V45" i="4"/>
  <c r="T45" i="4"/>
  <c r="E45" i="4"/>
  <c r="C45" i="4"/>
  <c r="A45" i="4"/>
  <c r="AC44" i="4"/>
  <c r="Y44" i="4"/>
  <c r="V44" i="4"/>
  <c r="T44" i="4"/>
  <c r="E44" i="4"/>
  <c r="C44" i="4"/>
  <c r="A44" i="4"/>
  <c r="AC43" i="4"/>
  <c r="Y43" i="4"/>
  <c r="V43" i="4"/>
  <c r="T43" i="4"/>
  <c r="E43" i="4"/>
  <c r="C43" i="4"/>
  <c r="A43" i="4"/>
  <c r="AC42" i="4"/>
  <c r="Y42" i="4"/>
  <c r="V42" i="4"/>
  <c r="T42" i="4"/>
  <c r="E42" i="4"/>
  <c r="C42" i="4"/>
  <c r="A42" i="4"/>
  <c r="AC41" i="4"/>
  <c r="Y41" i="4"/>
  <c r="V41" i="4"/>
  <c r="T41" i="4"/>
  <c r="E41" i="4"/>
  <c r="C41" i="4"/>
  <c r="A41" i="4"/>
  <c r="AC40" i="4"/>
  <c r="Y40" i="4"/>
  <c r="V40" i="4"/>
  <c r="T40" i="4"/>
  <c r="E40" i="4"/>
  <c r="C40" i="4"/>
  <c r="A40" i="4"/>
  <c r="AC39" i="4"/>
  <c r="Y39" i="4"/>
  <c r="V39" i="4"/>
  <c r="T39" i="4"/>
  <c r="E39" i="4"/>
  <c r="C39" i="4"/>
  <c r="A39" i="4"/>
  <c r="AC38" i="4"/>
  <c r="Y38" i="4"/>
  <c r="V38" i="4"/>
  <c r="T38" i="4"/>
  <c r="E38" i="4"/>
  <c r="C38" i="4"/>
  <c r="A38" i="4"/>
  <c r="AC37" i="4"/>
  <c r="Y37" i="4"/>
  <c r="V37" i="4"/>
  <c r="T37" i="4"/>
  <c r="E37" i="4"/>
  <c r="C37" i="4"/>
  <c r="A37" i="4"/>
  <c r="AC36" i="4"/>
  <c r="Y36" i="4"/>
  <c r="V36" i="4"/>
  <c r="T36" i="4"/>
  <c r="E36" i="4"/>
  <c r="C36" i="4"/>
  <c r="A36" i="4"/>
  <c r="AC35" i="4"/>
  <c r="Y35" i="4"/>
  <c r="V35" i="4"/>
  <c r="T35" i="4"/>
  <c r="E35" i="4"/>
  <c r="C35" i="4"/>
  <c r="A35" i="4"/>
  <c r="AC34" i="4"/>
  <c r="Y34" i="4"/>
  <c r="V34" i="4"/>
  <c r="T34" i="4"/>
  <c r="E34" i="4"/>
  <c r="C34" i="4"/>
  <c r="A34" i="4"/>
  <c r="AC33" i="4"/>
  <c r="Y33" i="4"/>
  <c r="V33" i="4"/>
  <c r="T33" i="4"/>
  <c r="E33" i="4"/>
  <c r="C33" i="4"/>
  <c r="A33" i="4"/>
  <c r="AC32" i="4"/>
  <c r="Y32" i="4"/>
  <c r="V32" i="4"/>
  <c r="T32" i="4"/>
  <c r="E32" i="4"/>
  <c r="C32" i="4"/>
  <c r="A32" i="4"/>
  <c r="AC31" i="4"/>
  <c r="Y31" i="4"/>
  <c r="V31" i="4"/>
  <c r="T31" i="4"/>
  <c r="E31" i="4"/>
  <c r="C31" i="4"/>
  <c r="A31" i="4"/>
  <c r="AC30" i="4"/>
  <c r="Y30" i="4"/>
  <c r="V30" i="4"/>
  <c r="T30" i="4"/>
  <c r="E30" i="4"/>
  <c r="C30" i="4"/>
  <c r="A30" i="4"/>
  <c r="AC29" i="4"/>
  <c r="Y29" i="4"/>
  <c r="V29" i="4"/>
  <c r="T29" i="4"/>
  <c r="E29" i="4"/>
  <c r="C29" i="4"/>
  <c r="A29" i="4"/>
  <c r="AC28" i="4"/>
  <c r="Y28" i="4"/>
  <c r="V28" i="4"/>
  <c r="T28" i="4"/>
  <c r="E28" i="4"/>
  <c r="C28" i="4"/>
  <c r="A28" i="4"/>
  <c r="AC27" i="4"/>
  <c r="Y27" i="4"/>
  <c r="V27" i="4"/>
  <c r="T27" i="4"/>
  <c r="E27" i="4"/>
  <c r="C27" i="4"/>
  <c r="A27" i="4"/>
  <c r="AC26" i="4"/>
  <c r="Y26" i="4"/>
  <c r="V26" i="4"/>
  <c r="T26" i="4"/>
  <c r="E26" i="4"/>
  <c r="C26" i="4"/>
  <c r="A26" i="4"/>
  <c r="AC25" i="4"/>
  <c r="Y25" i="4"/>
  <c r="V25" i="4"/>
  <c r="T25" i="4"/>
  <c r="E25" i="4"/>
  <c r="C25" i="4"/>
  <c r="A25" i="4"/>
  <c r="AC24" i="4"/>
  <c r="Y24" i="4"/>
  <c r="V24" i="4"/>
  <c r="T24" i="4"/>
  <c r="E24" i="4"/>
  <c r="C24" i="4"/>
  <c r="A24" i="4"/>
  <c r="AC23" i="4"/>
  <c r="Y23" i="4"/>
  <c r="V23" i="4"/>
  <c r="T23" i="4"/>
  <c r="E23" i="4"/>
  <c r="C23" i="4"/>
  <c r="A23" i="4"/>
  <c r="AC22" i="4"/>
  <c r="Y22" i="4"/>
  <c r="V22" i="4"/>
  <c r="T22" i="4"/>
  <c r="E22" i="4"/>
  <c r="C22" i="4"/>
  <c r="A22" i="4"/>
  <c r="AC21" i="4"/>
  <c r="Y21" i="4"/>
  <c r="V21" i="4"/>
  <c r="T21" i="4"/>
  <c r="E21" i="4"/>
  <c r="C21" i="4"/>
  <c r="A21" i="4"/>
  <c r="AC20" i="4"/>
  <c r="Y20" i="4"/>
  <c r="V20" i="4"/>
  <c r="T20" i="4"/>
  <c r="E20" i="4"/>
  <c r="C20" i="4"/>
  <c r="A20" i="4"/>
  <c r="AC19" i="4"/>
  <c r="Y19" i="4"/>
  <c r="V19" i="4"/>
  <c r="T19" i="4"/>
  <c r="E19" i="4"/>
  <c r="C19" i="4"/>
  <c r="A19" i="4"/>
  <c r="AC18" i="4"/>
  <c r="Y18" i="4"/>
  <c r="V18" i="4"/>
  <c r="T18" i="4"/>
  <c r="E18" i="4"/>
  <c r="C18" i="4"/>
  <c r="A18" i="4"/>
  <c r="AC17" i="4"/>
  <c r="Y17" i="4"/>
  <c r="V17" i="4"/>
  <c r="T17" i="4"/>
  <c r="E17" i="4"/>
  <c r="C17" i="4"/>
  <c r="A17" i="4"/>
  <c r="AC16" i="4"/>
  <c r="Y16" i="4"/>
  <c r="V16" i="4"/>
  <c r="T16" i="4"/>
  <c r="E16" i="4"/>
  <c r="A16" i="4"/>
  <c r="AC15" i="4"/>
  <c r="V15" i="4"/>
  <c r="T15" i="4"/>
  <c r="A15" i="4"/>
  <c r="AC14" i="4"/>
  <c r="V14" i="4"/>
  <c r="T14" i="4"/>
  <c r="A14" i="4"/>
  <c r="AC13" i="4"/>
  <c r="V13" i="4"/>
  <c r="T13" i="4"/>
  <c r="A13" i="4"/>
  <c r="AC12" i="4"/>
  <c r="V12" i="4"/>
  <c r="T12" i="4"/>
  <c r="A12" i="4"/>
  <c r="AC11" i="4"/>
  <c r="V11" i="4"/>
  <c r="T11" i="4"/>
  <c r="A11" i="4"/>
  <c r="AC10" i="4"/>
  <c r="V10" i="4"/>
  <c r="T10" i="4"/>
  <c r="A10" i="4"/>
  <c r="AC9" i="4"/>
  <c r="V9" i="4"/>
  <c r="T9" i="4"/>
  <c r="A9" i="4"/>
  <c r="AC8" i="4"/>
  <c r="V8" i="4"/>
  <c r="T8" i="4"/>
  <c r="A8" i="4"/>
  <c r="AC7" i="4"/>
  <c r="V7" i="4"/>
  <c r="T7" i="4"/>
  <c r="A7" i="4"/>
  <c r="AC6" i="4"/>
  <c r="V6" i="4"/>
  <c r="T6" i="4"/>
  <c r="A6" i="4"/>
  <c r="AC5" i="4"/>
  <c r="V5" i="4"/>
  <c r="T5" i="4"/>
  <c r="A5" i="4"/>
  <c r="V204" i="3"/>
  <c r="R204" i="3"/>
  <c r="M204" i="3"/>
  <c r="J204" i="3"/>
  <c r="D204" i="3"/>
  <c r="E204" i="3" s="1"/>
  <c r="C204" i="3"/>
  <c r="A204" i="3"/>
  <c r="V203" i="3"/>
  <c r="R203" i="3"/>
  <c r="M203" i="3"/>
  <c r="J203" i="3"/>
  <c r="D203" i="3"/>
  <c r="E203" i="3" s="1"/>
  <c r="C203" i="3"/>
  <c r="A203" i="3"/>
  <c r="V202" i="3"/>
  <c r="R202" i="3"/>
  <c r="M202" i="3"/>
  <c r="J202" i="3"/>
  <c r="D202" i="3"/>
  <c r="E202" i="3" s="1"/>
  <c r="C202" i="3"/>
  <c r="A202" i="3"/>
  <c r="V201" i="3"/>
  <c r="R201" i="3"/>
  <c r="M201" i="3"/>
  <c r="J201" i="3"/>
  <c r="D201" i="3"/>
  <c r="E201" i="3" s="1"/>
  <c r="C201" i="3"/>
  <c r="A201" i="3"/>
  <c r="V200" i="3"/>
  <c r="R200" i="3"/>
  <c r="M200" i="3"/>
  <c r="J200" i="3"/>
  <c r="D200" i="3"/>
  <c r="E200" i="3" s="1"/>
  <c r="C200" i="3"/>
  <c r="A200" i="3"/>
  <c r="V199" i="3"/>
  <c r="R199" i="3"/>
  <c r="M199" i="3"/>
  <c r="J199" i="3"/>
  <c r="D199" i="3"/>
  <c r="E199" i="3" s="1"/>
  <c r="C199" i="3"/>
  <c r="A199" i="3"/>
  <c r="V198" i="3"/>
  <c r="R198" i="3"/>
  <c r="M198" i="3"/>
  <c r="J198" i="3"/>
  <c r="D198" i="3"/>
  <c r="E198" i="3" s="1"/>
  <c r="C198" i="3"/>
  <c r="A198" i="3"/>
  <c r="V197" i="3"/>
  <c r="R197" i="3"/>
  <c r="M197" i="3"/>
  <c r="J197" i="3"/>
  <c r="D197" i="3"/>
  <c r="E197" i="3" s="1"/>
  <c r="C197" i="3"/>
  <c r="A197" i="3"/>
  <c r="V196" i="3"/>
  <c r="R196" i="3"/>
  <c r="M196" i="3"/>
  <c r="J196" i="3"/>
  <c r="D196" i="3"/>
  <c r="E196" i="3" s="1"/>
  <c r="C196" i="3"/>
  <c r="A196" i="3"/>
  <c r="V195" i="3"/>
  <c r="R195" i="3"/>
  <c r="M195" i="3"/>
  <c r="J195" i="3"/>
  <c r="D195" i="3"/>
  <c r="E195" i="3" s="1"/>
  <c r="C195" i="3"/>
  <c r="A195" i="3"/>
  <c r="V194" i="3"/>
  <c r="R194" i="3"/>
  <c r="M194" i="3"/>
  <c r="J194" i="3"/>
  <c r="D194" i="3"/>
  <c r="E194" i="3" s="1"/>
  <c r="C194" i="3"/>
  <c r="A194" i="3"/>
  <c r="V193" i="3"/>
  <c r="R193" i="3"/>
  <c r="M193" i="3"/>
  <c r="J193" i="3"/>
  <c r="D193" i="3"/>
  <c r="E193" i="3" s="1"/>
  <c r="C193" i="3"/>
  <c r="A193" i="3"/>
  <c r="V192" i="3"/>
  <c r="R192" i="3"/>
  <c r="M192" i="3"/>
  <c r="J192" i="3"/>
  <c r="D192" i="3"/>
  <c r="E192" i="3" s="1"/>
  <c r="C192" i="3"/>
  <c r="A192" i="3"/>
  <c r="V191" i="3"/>
  <c r="R191" i="3"/>
  <c r="M191" i="3"/>
  <c r="J191" i="3"/>
  <c r="D191" i="3"/>
  <c r="E191" i="3" s="1"/>
  <c r="C191" i="3"/>
  <c r="A191" i="3"/>
  <c r="V190" i="3"/>
  <c r="R190" i="3"/>
  <c r="M190" i="3"/>
  <c r="J190" i="3"/>
  <c r="D190" i="3"/>
  <c r="E190" i="3" s="1"/>
  <c r="C190" i="3"/>
  <c r="A190" i="3"/>
  <c r="V189" i="3"/>
  <c r="R189" i="3"/>
  <c r="M189" i="3"/>
  <c r="J189" i="3"/>
  <c r="D189" i="3"/>
  <c r="E189" i="3" s="1"/>
  <c r="C189" i="3"/>
  <c r="A189" i="3"/>
  <c r="V188" i="3"/>
  <c r="R188" i="3"/>
  <c r="M188" i="3"/>
  <c r="J188" i="3"/>
  <c r="D188" i="3"/>
  <c r="E188" i="3" s="1"/>
  <c r="C188" i="3"/>
  <c r="A188" i="3"/>
  <c r="V187" i="3"/>
  <c r="R187" i="3"/>
  <c r="M187" i="3"/>
  <c r="J187" i="3"/>
  <c r="D187" i="3"/>
  <c r="E187" i="3" s="1"/>
  <c r="C187" i="3"/>
  <c r="A187" i="3"/>
  <c r="V186" i="3"/>
  <c r="R186" i="3"/>
  <c r="M186" i="3"/>
  <c r="J186" i="3"/>
  <c r="D186" i="3"/>
  <c r="E186" i="3" s="1"/>
  <c r="C186" i="3"/>
  <c r="A186" i="3"/>
  <c r="V185" i="3"/>
  <c r="R185" i="3"/>
  <c r="M185" i="3"/>
  <c r="J185" i="3"/>
  <c r="D185" i="3"/>
  <c r="E185" i="3" s="1"/>
  <c r="C185" i="3"/>
  <c r="A185" i="3"/>
  <c r="V184" i="3"/>
  <c r="R184" i="3"/>
  <c r="M184" i="3"/>
  <c r="J184" i="3"/>
  <c r="D184" i="3"/>
  <c r="E184" i="3" s="1"/>
  <c r="C184" i="3"/>
  <c r="A184" i="3"/>
  <c r="V183" i="3"/>
  <c r="R183" i="3"/>
  <c r="M183" i="3"/>
  <c r="J183" i="3"/>
  <c r="D183" i="3"/>
  <c r="E183" i="3" s="1"/>
  <c r="C183" i="3"/>
  <c r="A183" i="3"/>
  <c r="V182" i="3"/>
  <c r="R182" i="3"/>
  <c r="M182" i="3"/>
  <c r="J182" i="3"/>
  <c r="D182" i="3"/>
  <c r="E182" i="3" s="1"/>
  <c r="C182" i="3"/>
  <c r="A182" i="3"/>
  <c r="V181" i="3"/>
  <c r="R181" i="3"/>
  <c r="M181" i="3"/>
  <c r="J181" i="3"/>
  <c r="D181" i="3"/>
  <c r="E181" i="3" s="1"/>
  <c r="C181" i="3"/>
  <c r="A181" i="3"/>
  <c r="V180" i="3"/>
  <c r="R180" i="3"/>
  <c r="M180" i="3"/>
  <c r="J180" i="3"/>
  <c r="D180" i="3"/>
  <c r="E180" i="3" s="1"/>
  <c r="C180" i="3"/>
  <c r="A180" i="3"/>
  <c r="V179" i="3"/>
  <c r="R179" i="3"/>
  <c r="M179" i="3"/>
  <c r="J179" i="3"/>
  <c r="D179" i="3"/>
  <c r="E179" i="3" s="1"/>
  <c r="C179" i="3"/>
  <c r="A179" i="3"/>
  <c r="V178" i="3"/>
  <c r="R178" i="3"/>
  <c r="M178" i="3"/>
  <c r="J178" i="3"/>
  <c r="D178" i="3"/>
  <c r="E178" i="3" s="1"/>
  <c r="C178" i="3"/>
  <c r="A178" i="3"/>
  <c r="V177" i="3"/>
  <c r="R177" i="3"/>
  <c r="M177" i="3"/>
  <c r="J177" i="3"/>
  <c r="D177" i="3"/>
  <c r="E177" i="3" s="1"/>
  <c r="C177" i="3"/>
  <c r="A177" i="3"/>
  <c r="V176" i="3"/>
  <c r="R176" i="3"/>
  <c r="M176" i="3"/>
  <c r="J176" i="3"/>
  <c r="D176" i="3"/>
  <c r="E176" i="3" s="1"/>
  <c r="C176" i="3"/>
  <c r="A176" i="3"/>
  <c r="V175" i="3"/>
  <c r="R175" i="3"/>
  <c r="M175" i="3"/>
  <c r="J175" i="3"/>
  <c r="D175" i="3"/>
  <c r="E175" i="3" s="1"/>
  <c r="C175" i="3"/>
  <c r="A175" i="3"/>
  <c r="V174" i="3"/>
  <c r="R174" i="3"/>
  <c r="M174" i="3"/>
  <c r="J174" i="3"/>
  <c r="D174" i="3"/>
  <c r="E174" i="3" s="1"/>
  <c r="C174" i="3"/>
  <c r="A174" i="3"/>
  <c r="V173" i="3"/>
  <c r="R173" i="3"/>
  <c r="M173" i="3"/>
  <c r="J173" i="3"/>
  <c r="D173" i="3"/>
  <c r="E173" i="3" s="1"/>
  <c r="C173" i="3"/>
  <c r="A173" i="3"/>
  <c r="V172" i="3"/>
  <c r="R172" i="3"/>
  <c r="M172" i="3"/>
  <c r="J172" i="3"/>
  <c r="D172" i="3"/>
  <c r="E172" i="3" s="1"/>
  <c r="C172" i="3"/>
  <c r="A172" i="3"/>
  <c r="V171" i="3"/>
  <c r="R171" i="3"/>
  <c r="M171" i="3"/>
  <c r="J171" i="3"/>
  <c r="D171" i="3"/>
  <c r="E171" i="3" s="1"/>
  <c r="C171" i="3"/>
  <c r="A171" i="3"/>
  <c r="V170" i="3"/>
  <c r="R170" i="3"/>
  <c r="M170" i="3"/>
  <c r="J170" i="3"/>
  <c r="D170" i="3"/>
  <c r="E170" i="3" s="1"/>
  <c r="C170" i="3"/>
  <c r="A170" i="3"/>
  <c r="V169" i="3"/>
  <c r="R169" i="3"/>
  <c r="M169" i="3"/>
  <c r="J169" i="3"/>
  <c r="D169" i="3"/>
  <c r="E169" i="3" s="1"/>
  <c r="C169" i="3"/>
  <c r="A169" i="3"/>
  <c r="V168" i="3"/>
  <c r="R168" i="3"/>
  <c r="M168" i="3"/>
  <c r="J168" i="3"/>
  <c r="D168" i="3"/>
  <c r="E168" i="3" s="1"/>
  <c r="C168" i="3"/>
  <c r="A168" i="3"/>
  <c r="V167" i="3"/>
  <c r="R167" i="3"/>
  <c r="M167" i="3"/>
  <c r="J167" i="3"/>
  <c r="D167" i="3"/>
  <c r="E167" i="3" s="1"/>
  <c r="C167" i="3"/>
  <c r="A167" i="3"/>
  <c r="V166" i="3"/>
  <c r="R166" i="3"/>
  <c r="M166" i="3"/>
  <c r="J166" i="3"/>
  <c r="D166" i="3"/>
  <c r="E166" i="3" s="1"/>
  <c r="C166" i="3"/>
  <c r="A166" i="3"/>
  <c r="V165" i="3"/>
  <c r="R165" i="3"/>
  <c r="M165" i="3"/>
  <c r="J165" i="3"/>
  <c r="D165" i="3"/>
  <c r="E165" i="3" s="1"/>
  <c r="C165" i="3"/>
  <c r="A165" i="3"/>
  <c r="V164" i="3"/>
  <c r="R164" i="3"/>
  <c r="M164" i="3"/>
  <c r="J164" i="3"/>
  <c r="D164" i="3"/>
  <c r="E164" i="3" s="1"/>
  <c r="C164" i="3"/>
  <c r="A164" i="3"/>
  <c r="V163" i="3"/>
  <c r="R163" i="3"/>
  <c r="M163" i="3"/>
  <c r="J163" i="3"/>
  <c r="D163" i="3"/>
  <c r="E163" i="3" s="1"/>
  <c r="C163" i="3"/>
  <c r="A163" i="3"/>
  <c r="V162" i="3"/>
  <c r="R162" i="3"/>
  <c r="M162" i="3"/>
  <c r="J162" i="3"/>
  <c r="D162" i="3"/>
  <c r="E162" i="3" s="1"/>
  <c r="C162" i="3"/>
  <c r="A162" i="3"/>
  <c r="V161" i="3"/>
  <c r="R161" i="3"/>
  <c r="M161" i="3"/>
  <c r="J161" i="3"/>
  <c r="D161" i="3"/>
  <c r="E161" i="3" s="1"/>
  <c r="C161" i="3"/>
  <c r="A161" i="3"/>
  <c r="V160" i="3"/>
  <c r="R160" i="3"/>
  <c r="M160" i="3"/>
  <c r="J160" i="3"/>
  <c r="D160" i="3"/>
  <c r="E160" i="3" s="1"/>
  <c r="C160" i="3"/>
  <c r="A160" i="3"/>
  <c r="V159" i="3"/>
  <c r="R159" i="3"/>
  <c r="M159" i="3"/>
  <c r="J159" i="3"/>
  <c r="D159" i="3"/>
  <c r="E159" i="3" s="1"/>
  <c r="C159" i="3"/>
  <c r="A159" i="3"/>
  <c r="V158" i="3"/>
  <c r="R158" i="3"/>
  <c r="M158" i="3"/>
  <c r="J158" i="3"/>
  <c r="D158" i="3"/>
  <c r="E158" i="3" s="1"/>
  <c r="C158" i="3"/>
  <c r="A158" i="3"/>
  <c r="V157" i="3"/>
  <c r="R157" i="3"/>
  <c r="M157" i="3"/>
  <c r="J157" i="3"/>
  <c r="D157" i="3"/>
  <c r="E157" i="3" s="1"/>
  <c r="C157" i="3"/>
  <c r="A157" i="3"/>
  <c r="V156" i="3"/>
  <c r="R156" i="3"/>
  <c r="M156" i="3"/>
  <c r="J156" i="3"/>
  <c r="D156" i="3"/>
  <c r="E156" i="3" s="1"/>
  <c r="C156" i="3"/>
  <c r="A156" i="3"/>
  <c r="V155" i="3"/>
  <c r="R155" i="3"/>
  <c r="M155" i="3"/>
  <c r="J155" i="3"/>
  <c r="D155" i="3"/>
  <c r="E155" i="3" s="1"/>
  <c r="C155" i="3"/>
  <c r="A155" i="3"/>
  <c r="V154" i="3"/>
  <c r="R154" i="3"/>
  <c r="M154" i="3"/>
  <c r="J154" i="3"/>
  <c r="D154" i="3"/>
  <c r="E154" i="3" s="1"/>
  <c r="C154" i="3"/>
  <c r="A154" i="3"/>
  <c r="V153" i="3"/>
  <c r="R153" i="3"/>
  <c r="M153" i="3"/>
  <c r="J153" i="3"/>
  <c r="D153" i="3"/>
  <c r="E153" i="3" s="1"/>
  <c r="C153" i="3"/>
  <c r="A153" i="3"/>
  <c r="V152" i="3"/>
  <c r="R152" i="3"/>
  <c r="M152" i="3"/>
  <c r="J152" i="3"/>
  <c r="D152" i="3"/>
  <c r="E152" i="3" s="1"/>
  <c r="C152" i="3"/>
  <c r="A152" i="3"/>
  <c r="V151" i="3"/>
  <c r="R151" i="3"/>
  <c r="M151" i="3"/>
  <c r="J151" i="3"/>
  <c r="D151" i="3"/>
  <c r="E151" i="3" s="1"/>
  <c r="C151" i="3"/>
  <c r="A151" i="3"/>
  <c r="V150" i="3"/>
  <c r="R150" i="3"/>
  <c r="M150" i="3"/>
  <c r="J150" i="3"/>
  <c r="D150" i="3"/>
  <c r="E150" i="3" s="1"/>
  <c r="C150" i="3"/>
  <c r="A150" i="3"/>
  <c r="V149" i="3"/>
  <c r="R149" i="3"/>
  <c r="M149" i="3"/>
  <c r="J149" i="3"/>
  <c r="D149" i="3"/>
  <c r="E149" i="3" s="1"/>
  <c r="C149" i="3"/>
  <c r="A149" i="3"/>
  <c r="V148" i="3"/>
  <c r="R148" i="3"/>
  <c r="M148" i="3"/>
  <c r="J148" i="3"/>
  <c r="D148" i="3"/>
  <c r="E148" i="3" s="1"/>
  <c r="C148" i="3"/>
  <c r="A148" i="3"/>
  <c r="V147" i="3"/>
  <c r="R147" i="3"/>
  <c r="M147" i="3"/>
  <c r="J147" i="3"/>
  <c r="D147" i="3"/>
  <c r="E147" i="3" s="1"/>
  <c r="C147" i="3"/>
  <c r="A147" i="3"/>
  <c r="V146" i="3"/>
  <c r="R146" i="3"/>
  <c r="M146" i="3"/>
  <c r="J146" i="3"/>
  <c r="D146" i="3"/>
  <c r="E146" i="3" s="1"/>
  <c r="C146" i="3"/>
  <c r="A146" i="3"/>
  <c r="V145" i="3"/>
  <c r="R145" i="3"/>
  <c r="M145" i="3"/>
  <c r="J145" i="3"/>
  <c r="D145" i="3"/>
  <c r="E145" i="3" s="1"/>
  <c r="C145" i="3"/>
  <c r="A145" i="3"/>
  <c r="V144" i="3"/>
  <c r="R144" i="3"/>
  <c r="M144" i="3"/>
  <c r="J144" i="3"/>
  <c r="D144" i="3"/>
  <c r="E144" i="3" s="1"/>
  <c r="C144" i="3"/>
  <c r="A144" i="3"/>
  <c r="V143" i="3"/>
  <c r="R143" i="3"/>
  <c r="M143" i="3"/>
  <c r="J143" i="3"/>
  <c r="D143" i="3"/>
  <c r="E143" i="3" s="1"/>
  <c r="C143" i="3"/>
  <c r="A143" i="3"/>
  <c r="V142" i="3"/>
  <c r="R142" i="3"/>
  <c r="M142" i="3"/>
  <c r="J142" i="3"/>
  <c r="D142" i="3"/>
  <c r="E142" i="3" s="1"/>
  <c r="C142" i="3"/>
  <c r="A142" i="3"/>
  <c r="V141" i="3"/>
  <c r="R141" i="3"/>
  <c r="M141" i="3"/>
  <c r="J141" i="3"/>
  <c r="D141" i="3"/>
  <c r="E141" i="3" s="1"/>
  <c r="C141" i="3"/>
  <c r="A141" i="3"/>
  <c r="V140" i="3"/>
  <c r="R140" i="3"/>
  <c r="M140" i="3"/>
  <c r="J140" i="3"/>
  <c r="D140" i="3"/>
  <c r="E140" i="3" s="1"/>
  <c r="C140" i="3"/>
  <c r="A140" i="3"/>
  <c r="V139" i="3"/>
  <c r="R139" i="3"/>
  <c r="M139" i="3"/>
  <c r="J139" i="3"/>
  <c r="D139" i="3"/>
  <c r="E139" i="3" s="1"/>
  <c r="C139" i="3"/>
  <c r="A139" i="3"/>
  <c r="V138" i="3"/>
  <c r="R138" i="3"/>
  <c r="M138" i="3"/>
  <c r="J138" i="3"/>
  <c r="D138" i="3"/>
  <c r="E138" i="3" s="1"/>
  <c r="C138" i="3"/>
  <c r="A138" i="3"/>
  <c r="V137" i="3"/>
  <c r="R137" i="3"/>
  <c r="M137" i="3"/>
  <c r="J137" i="3"/>
  <c r="D137" i="3"/>
  <c r="E137" i="3" s="1"/>
  <c r="C137" i="3"/>
  <c r="A137" i="3"/>
  <c r="V136" i="3"/>
  <c r="R136" i="3"/>
  <c r="M136" i="3"/>
  <c r="J136" i="3"/>
  <c r="D136" i="3"/>
  <c r="E136" i="3" s="1"/>
  <c r="C136" i="3"/>
  <c r="A136" i="3"/>
  <c r="V135" i="3"/>
  <c r="R135" i="3"/>
  <c r="M135" i="3"/>
  <c r="J135" i="3"/>
  <c r="D135" i="3"/>
  <c r="E135" i="3" s="1"/>
  <c r="C135" i="3"/>
  <c r="A135" i="3"/>
  <c r="V134" i="3"/>
  <c r="R134" i="3"/>
  <c r="M134" i="3"/>
  <c r="J134" i="3"/>
  <c r="D134" i="3"/>
  <c r="E134" i="3" s="1"/>
  <c r="C134" i="3"/>
  <c r="A134" i="3"/>
  <c r="V133" i="3"/>
  <c r="R133" i="3"/>
  <c r="M133" i="3"/>
  <c r="J133" i="3"/>
  <c r="D133" i="3"/>
  <c r="E133" i="3" s="1"/>
  <c r="C133" i="3"/>
  <c r="A133" i="3"/>
  <c r="V132" i="3"/>
  <c r="R132" i="3"/>
  <c r="M132" i="3"/>
  <c r="J132" i="3"/>
  <c r="D132" i="3"/>
  <c r="E132" i="3" s="1"/>
  <c r="C132" i="3"/>
  <c r="A132" i="3"/>
  <c r="V131" i="3"/>
  <c r="R131" i="3"/>
  <c r="M131" i="3"/>
  <c r="J131" i="3"/>
  <c r="D131" i="3"/>
  <c r="E131" i="3" s="1"/>
  <c r="C131" i="3"/>
  <c r="A131" i="3"/>
  <c r="V130" i="3"/>
  <c r="R130" i="3"/>
  <c r="M130" i="3"/>
  <c r="J130" i="3"/>
  <c r="D130" i="3"/>
  <c r="E130" i="3" s="1"/>
  <c r="C130" i="3"/>
  <c r="A130" i="3"/>
  <c r="V129" i="3"/>
  <c r="R129" i="3"/>
  <c r="M129" i="3"/>
  <c r="J129" i="3"/>
  <c r="D129" i="3"/>
  <c r="E129" i="3" s="1"/>
  <c r="C129" i="3"/>
  <c r="A129" i="3"/>
  <c r="V128" i="3"/>
  <c r="R128" i="3"/>
  <c r="M128" i="3"/>
  <c r="J128" i="3"/>
  <c r="D128" i="3"/>
  <c r="E128" i="3" s="1"/>
  <c r="C128" i="3"/>
  <c r="A128" i="3"/>
  <c r="V127" i="3"/>
  <c r="R127" i="3"/>
  <c r="M127" i="3"/>
  <c r="J127" i="3"/>
  <c r="D127" i="3"/>
  <c r="E127" i="3" s="1"/>
  <c r="C127" i="3"/>
  <c r="A127" i="3"/>
  <c r="V126" i="3"/>
  <c r="R126" i="3"/>
  <c r="M126" i="3"/>
  <c r="J126" i="3"/>
  <c r="D126" i="3"/>
  <c r="E126" i="3" s="1"/>
  <c r="C126" i="3"/>
  <c r="A126" i="3"/>
  <c r="V125" i="3"/>
  <c r="R125" i="3"/>
  <c r="M125" i="3"/>
  <c r="J125" i="3"/>
  <c r="D125" i="3"/>
  <c r="E125" i="3" s="1"/>
  <c r="C125" i="3"/>
  <c r="A125" i="3"/>
  <c r="V124" i="3"/>
  <c r="R124" i="3"/>
  <c r="M124" i="3"/>
  <c r="J124" i="3"/>
  <c r="D124" i="3"/>
  <c r="E124" i="3" s="1"/>
  <c r="C124" i="3"/>
  <c r="A124" i="3"/>
  <c r="V123" i="3"/>
  <c r="R123" i="3"/>
  <c r="M123" i="3"/>
  <c r="J123" i="3"/>
  <c r="D123" i="3"/>
  <c r="E123" i="3" s="1"/>
  <c r="C123" i="3"/>
  <c r="A123" i="3"/>
  <c r="V122" i="3"/>
  <c r="R122" i="3"/>
  <c r="M122" i="3"/>
  <c r="J122" i="3"/>
  <c r="D122" i="3"/>
  <c r="E122" i="3" s="1"/>
  <c r="C122" i="3"/>
  <c r="A122" i="3"/>
  <c r="V121" i="3"/>
  <c r="R121" i="3"/>
  <c r="M121" i="3"/>
  <c r="J121" i="3"/>
  <c r="D121" i="3"/>
  <c r="E121" i="3" s="1"/>
  <c r="C121" i="3"/>
  <c r="A121" i="3"/>
  <c r="V120" i="3"/>
  <c r="R120" i="3"/>
  <c r="M120" i="3"/>
  <c r="J120" i="3"/>
  <c r="D120" i="3"/>
  <c r="E120" i="3" s="1"/>
  <c r="C120" i="3"/>
  <c r="A120" i="3"/>
  <c r="V119" i="3"/>
  <c r="R119" i="3"/>
  <c r="M119" i="3"/>
  <c r="J119" i="3"/>
  <c r="D119" i="3"/>
  <c r="E119" i="3" s="1"/>
  <c r="C119" i="3"/>
  <c r="A119" i="3"/>
  <c r="V118" i="3"/>
  <c r="R118" i="3"/>
  <c r="M118" i="3"/>
  <c r="J118" i="3"/>
  <c r="D118" i="3"/>
  <c r="E118" i="3" s="1"/>
  <c r="C118" i="3"/>
  <c r="A118" i="3"/>
  <c r="V117" i="3"/>
  <c r="R117" i="3"/>
  <c r="M117" i="3"/>
  <c r="J117" i="3"/>
  <c r="D117" i="3"/>
  <c r="E117" i="3" s="1"/>
  <c r="C117" i="3"/>
  <c r="A117" i="3"/>
  <c r="V116" i="3"/>
  <c r="R116" i="3"/>
  <c r="M116" i="3"/>
  <c r="J116" i="3"/>
  <c r="D116" i="3"/>
  <c r="E116" i="3" s="1"/>
  <c r="C116" i="3"/>
  <c r="A116" i="3"/>
  <c r="V115" i="3"/>
  <c r="R115" i="3"/>
  <c r="M115" i="3"/>
  <c r="J115" i="3"/>
  <c r="D115" i="3"/>
  <c r="E115" i="3" s="1"/>
  <c r="C115" i="3"/>
  <c r="A115" i="3"/>
  <c r="V114" i="3"/>
  <c r="R114" i="3"/>
  <c r="M114" i="3"/>
  <c r="J114" i="3"/>
  <c r="D114" i="3"/>
  <c r="E114" i="3" s="1"/>
  <c r="C114" i="3"/>
  <c r="A114" i="3"/>
  <c r="V113" i="3"/>
  <c r="R113" i="3"/>
  <c r="M113" i="3"/>
  <c r="J113" i="3"/>
  <c r="D113" i="3"/>
  <c r="E113" i="3" s="1"/>
  <c r="C113" i="3"/>
  <c r="A113" i="3"/>
  <c r="V112" i="3"/>
  <c r="R112" i="3"/>
  <c r="M112" i="3"/>
  <c r="J112" i="3"/>
  <c r="D112" i="3"/>
  <c r="E112" i="3" s="1"/>
  <c r="C112" i="3"/>
  <c r="A112" i="3"/>
  <c r="V111" i="3"/>
  <c r="R111" i="3"/>
  <c r="M111" i="3"/>
  <c r="J111" i="3"/>
  <c r="D111" i="3"/>
  <c r="E111" i="3" s="1"/>
  <c r="C111" i="3"/>
  <c r="A111" i="3"/>
  <c r="V110" i="3"/>
  <c r="R110" i="3"/>
  <c r="M110" i="3"/>
  <c r="J110" i="3"/>
  <c r="D110" i="3"/>
  <c r="E110" i="3" s="1"/>
  <c r="C110" i="3"/>
  <c r="A110" i="3"/>
  <c r="V109" i="3"/>
  <c r="R109" i="3"/>
  <c r="M109" i="3"/>
  <c r="J109" i="3"/>
  <c r="D109" i="3"/>
  <c r="E109" i="3" s="1"/>
  <c r="C109" i="3"/>
  <c r="A109" i="3"/>
  <c r="V108" i="3"/>
  <c r="R108" i="3"/>
  <c r="M108" i="3"/>
  <c r="J108" i="3"/>
  <c r="D108" i="3"/>
  <c r="E108" i="3" s="1"/>
  <c r="C108" i="3"/>
  <c r="A108" i="3"/>
  <c r="V107" i="3"/>
  <c r="R107" i="3"/>
  <c r="M107" i="3"/>
  <c r="J107" i="3"/>
  <c r="D107" i="3"/>
  <c r="E107" i="3" s="1"/>
  <c r="C107" i="3"/>
  <c r="A107" i="3"/>
  <c r="V106" i="3"/>
  <c r="R106" i="3"/>
  <c r="M106" i="3"/>
  <c r="J106" i="3"/>
  <c r="D106" i="3"/>
  <c r="E106" i="3" s="1"/>
  <c r="C106" i="3"/>
  <c r="A106" i="3"/>
  <c r="V105" i="3"/>
  <c r="R105" i="3"/>
  <c r="M105" i="3"/>
  <c r="J105" i="3"/>
  <c r="D105" i="3"/>
  <c r="E105" i="3" s="1"/>
  <c r="C105" i="3"/>
  <c r="A105" i="3"/>
  <c r="V104" i="3"/>
  <c r="R104" i="3"/>
  <c r="M104" i="3"/>
  <c r="J104" i="3"/>
  <c r="D104" i="3"/>
  <c r="E104" i="3" s="1"/>
  <c r="C104" i="3"/>
  <c r="A104" i="3"/>
  <c r="V103" i="3"/>
  <c r="R103" i="3"/>
  <c r="M103" i="3"/>
  <c r="J103" i="3"/>
  <c r="D103" i="3"/>
  <c r="E103" i="3" s="1"/>
  <c r="C103" i="3"/>
  <c r="A103" i="3"/>
  <c r="V102" i="3"/>
  <c r="R102" i="3"/>
  <c r="M102" i="3"/>
  <c r="J102" i="3"/>
  <c r="D102" i="3"/>
  <c r="E102" i="3" s="1"/>
  <c r="C102" i="3"/>
  <c r="A102" i="3"/>
  <c r="V101" i="3"/>
  <c r="R101" i="3"/>
  <c r="M101" i="3"/>
  <c r="J101" i="3"/>
  <c r="D101" i="3"/>
  <c r="E101" i="3" s="1"/>
  <c r="C101" i="3"/>
  <c r="A101" i="3"/>
  <c r="V100" i="3"/>
  <c r="R100" i="3"/>
  <c r="M100" i="3"/>
  <c r="J100" i="3"/>
  <c r="D100" i="3"/>
  <c r="E100" i="3" s="1"/>
  <c r="C100" i="3"/>
  <c r="A100" i="3"/>
  <c r="V99" i="3"/>
  <c r="R99" i="3"/>
  <c r="M99" i="3"/>
  <c r="J99" i="3"/>
  <c r="D99" i="3"/>
  <c r="E99" i="3" s="1"/>
  <c r="C99" i="3"/>
  <c r="A99" i="3"/>
  <c r="V98" i="3"/>
  <c r="R98" i="3"/>
  <c r="M98" i="3"/>
  <c r="J98" i="3"/>
  <c r="D98" i="3"/>
  <c r="E98" i="3" s="1"/>
  <c r="C98" i="3"/>
  <c r="A98" i="3"/>
  <c r="V97" i="3"/>
  <c r="R97" i="3"/>
  <c r="M97" i="3"/>
  <c r="J97" i="3"/>
  <c r="D97" i="3"/>
  <c r="E97" i="3" s="1"/>
  <c r="C97" i="3"/>
  <c r="A97" i="3"/>
  <c r="V96" i="3"/>
  <c r="R96" i="3"/>
  <c r="M96" i="3"/>
  <c r="J96" i="3"/>
  <c r="D96" i="3"/>
  <c r="E96" i="3" s="1"/>
  <c r="C96" i="3"/>
  <c r="A96" i="3"/>
  <c r="V95" i="3"/>
  <c r="R95" i="3"/>
  <c r="M95" i="3"/>
  <c r="J95" i="3"/>
  <c r="D95" i="3"/>
  <c r="E95" i="3" s="1"/>
  <c r="C95" i="3"/>
  <c r="A95" i="3"/>
  <c r="V94" i="3"/>
  <c r="R94" i="3"/>
  <c r="M94" i="3"/>
  <c r="J94" i="3"/>
  <c r="D94" i="3"/>
  <c r="E94" i="3" s="1"/>
  <c r="C94" i="3"/>
  <c r="A94" i="3"/>
  <c r="V93" i="3"/>
  <c r="R93" i="3"/>
  <c r="M93" i="3"/>
  <c r="J93" i="3"/>
  <c r="D93" i="3"/>
  <c r="E93" i="3" s="1"/>
  <c r="C93" i="3"/>
  <c r="A93" i="3"/>
  <c r="V92" i="3"/>
  <c r="R92" i="3"/>
  <c r="M92" i="3"/>
  <c r="J92" i="3"/>
  <c r="D92" i="3"/>
  <c r="E92" i="3" s="1"/>
  <c r="C92" i="3"/>
  <c r="A92" i="3"/>
  <c r="V91" i="3"/>
  <c r="R91" i="3"/>
  <c r="M91" i="3"/>
  <c r="J91" i="3"/>
  <c r="D91" i="3"/>
  <c r="E91" i="3" s="1"/>
  <c r="C91" i="3"/>
  <c r="A91" i="3"/>
  <c r="V90" i="3"/>
  <c r="R90" i="3"/>
  <c r="M90" i="3"/>
  <c r="J90" i="3"/>
  <c r="D90" i="3"/>
  <c r="E90" i="3" s="1"/>
  <c r="C90" i="3"/>
  <c r="A90" i="3"/>
  <c r="V89" i="3"/>
  <c r="R89" i="3"/>
  <c r="M89" i="3"/>
  <c r="J89" i="3"/>
  <c r="D89" i="3"/>
  <c r="E89" i="3" s="1"/>
  <c r="C89" i="3"/>
  <c r="A89" i="3"/>
  <c r="V88" i="3"/>
  <c r="R88" i="3"/>
  <c r="M88" i="3"/>
  <c r="J88" i="3"/>
  <c r="D88" i="3"/>
  <c r="E88" i="3" s="1"/>
  <c r="C88" i="3"/>
  <c r="A88" i="3"/>
  <c r="V87" i="3"/>
  <c r="R87" i="3"/>
  <c r="M87" i="3"/>
  <c r="J87" i="3"/>
  <c r="D87" i="3"/>
  <c r="E87" i="3" s="1"/>
  <c r="C87" i="3"/>
  <c r="A87" i="3"/>
  <c r="V86" i="3"/>
  <c r="R86" i="3"/>
  <c r="M86" i="3"/>
  <c r="J86" i="3"/>
  <c r="D86" i="3"/>
  <c r="E86" i="3" s="1"/>
  <c r="C86" i="3"/>
  <c r="A86" i="3"/>
  <c r="V85" i="3"/>
  <c r="R85" i="3"/>
  <c r="M85" i="3"/>
  <c r="J85" i="3"/>
  <c r="D85" i="3"/>
  <c r="E85" i="3" s="1"/>
  <c r="C85" i="3"/>
  <c r="A85" i="3"/>
  <c r="V84" i="3"/>
  <c r="R84" i="3"/>
  <c r="M84" i="3"/>
  <c r="J84" i="3"/>
  <c r="D84" i="3"/>
  <c r="E84" i="3" s="1"/>
  <c r="C84" i="3"/>
  <c r="A84" i="3"/>
  <c r="V83" i="3"/>
  <c r="R83" i="3"/>
  <c r="M83" i="3"/>
  <c r="J83" i="3"/>
  <c r="D83" i="3"/>
  <c r="E83" i="3" s="1"/>
  <c r="C83" i="3"/>
  <c r="A83" i="3"/>
  <c r="V82" i="3"/>
  <c r="R82" i="3"/>
  <c r="M82" i="3"/>
  <c r="J82" i="3"/>
  <c r="D82" i="3"/>
  <c r="E82" i="3" s="1"/>
  <c r="C82" i="3"/>
  <c r="A82" i="3"/>
  <c r="V81" i="3"/>
  <c r="R81" i="3"/>
  <c r="M81" i="3"/>
  <c r="J81" i="3"/>
  <c r="D81" i="3"/>
  <c r="E81" i="3" s="1"/>
  <c r="C81" i="3"/>
  <c r="A81" i="3"/>
  <c r="V80" i="3"/>
  <c r="R80" i="3"/>
  <c r="M80" i="3"/>
  <c r="J80" i="3"/>
  <c r="D80" i="3"/>
  <c r="E80" i="3" s="1"/>
  <c r="C80" i="3"/>
  <c r="A80" i="3"/>
  <c r="V79" i="3"/>
  <c r="R79" i="3"/>
  <c r="M79" i="3"/>
  <c r="J79" i="3"/>
  <c r="D79" i="3"/>
  <c r="E79" i="3" s="1"/>
  <c r="C79" i="3"/>
  <c r="A79" i="3"/>
  <c r="V78" i="3"/>
  <c r="R78" i="3"/>
  <c r="M78" i="3"/>
  <c r="J78" i="3"/>
  <c r="D78" i="3"/>
  <c r="E78" i="3" s="1"/>
  <c r="C78" i="3"/>
  <c r="A78" i="3"/>
  <c r="V77" i="3"/>
  <c r="R77" i="3"/>
  <c r="M77" i="3"/>
  <c r="J77" i="3"/>
  <c r="D77" i="3"/>
  <c r="E77" i="3" s="1"/>
  <c r="C77" i="3"/>
  <c r="A77" i="3"/>
  <c r="V76" i="3"/>
  <c r="R76" i="3"/>
  <c r="M76" i="3"/>
  <c r="J76" i="3"/>
  <c r="D76" i="3"/>
  <c r="E76" i="3" s="1"/>
  <c r="C76" i="3"/>
  <c r="A76" i="3"/>
  <c r="V75" i="3"/>
  <c r="R75" i="3"/>
  <c r="M75" i="3"/>
  <c r="J75" i="3"/>
  <c r="D75" i="3"/>
  <c r="E75" i="3" s="1"/>
  <c r="C75" i="3"/>
  <c r="A75" i="3"/>
  <c r="V74" i="3"/>
  <c r="R74" i="3"/>
  <c r="M74" i="3"/>
  <c r="J74" i="3"/>
  <c r="D74" i="3"/>
  <c r="E74" i="3" s="1"/>
  <c r="C74" i="3"/>
  <c r="A74" i="3"/>
  <c r="V73" i="3"/>
  <c r="R73" i="3"/>
  <c r="M73" i="3"/>
  <c r="J73" i="3"/>
  <c r="D73" i="3"/>
  <c r="E73" i="3" s="1"/>
  <c r="C73" i="3"/>
  <c r="A73" i="3"/>
  <c r="V72" i="3"/>
  <c r="R72" i="3"/>
  <c r="M72" i="3"/>
  <c r="J72" i="3"/>
  <c r="D72" i="3"/>
  <c r="E72" i="3" s="1"/>
  <c r="C72" i="3"/>
  <c r="A72" i="3"/>
  <c r="V71" i="3"/>
  <c r="R71" i="3"/>
  <c r="M71" i="3"/>
  <c r="J71" i="3"/>
  <c r="D71" i="3"/>
  <c r="E71" i="3" s="1"/>
  <c r="C71" i="3"/>
  <c r="A71" i="3"/>
  <c r="V70" i="3"/>
  <c r="R70" i="3"/>
  <c r="M70" i="3"/>
  <c r="J70" i="3"/>
  <c r="D70" i="3"/>
  <c r="E70" i="3" s="1"/>
  <c r="C70" i="3"/>
  <c r="A70" i="3"/>
  <c r="V69" i="3"/>
  <c r="R69" i="3"/>
  <c r="M69" i="3"/>
  <c r="J69" i="3"/>
  <c r="D69" i="3"/>
  <c r="E69" i="3" s="1"/>
  <c r="C69" i="3"/>
  <c r="A69" i="3"/>
  <c r="V68" i="3"/>
  <c r="R68" i="3"/>
  <c r="M68" i="3"/>
  <c r="J68" i="3"/>
  <c r="D68" i="3"/>
  <c r="E68" i="3" s="1"/>
  <c r="C68" i="3"/>
  <c r="A68" i="3"/>
  <c r="V67" i="3"/>
  <c r="R67" i="3"/>
  <c r="M67" i="3"/>
  <c r="J67" i="3"/>
  <c r="D67" i="3"/>
  <c r="E67" i="3" s="1"/>
  <c r="C67" i="3"/>
  <c r="A67" i="3"/>
  <c r="V66" i="3"/>
  <c r="R66" i="3"/>
  <c r="M66" i="3"/>
  <c r="J66" i="3"/>
  <c r="D66" i="3"/>
  <c r="E66" i="3" s="1"/>
  <c r="C66" i="3"/>
  <c r="A66" i="3"/>
  <c r="V65" i="3"/>
  <c r="R65" i="3"/>
  <c r="M65" i="3"/>
  <c r="J65" i="3"/>
  <c r="D65" i="3"/>
  <c r="E65" i="3" s="1"/>
  <c r="C65" i="3"/>
  <c r="A65" i="3"/>
  <c r="V64" i="3"/>
  <c r="R64" i="3"/>
  <c r="M64" i="3"/>
  <c r="J64" i="3"/>
  <c r="D64" i="3"/>
  <c r="E64" i="3" s="1"/>
  <c r="C64" i="3"/>
  <c r="A64" i="3"/>
  <c r="V63" i="3"/>
  <c r="R63" i="3"/>
  <c r="M63" i="3"/>
  <c r="J63" i="3"/>
  <c r="D63" i="3"/>
  <c r="E63" i="3" s="1"/>
  <c r="C63" i="3"/>
  <c r="A63" i="3"/>
  <c r="V62" i="3"/>
  <c r="R62" i="3"/>
  <c r="M62" i="3"/>
  <c r="J62" i="3"/>
  <c r="D62" i="3"/>
  <c r="E62" i="3" s="1"/>
  <c r="C62" i="3"/>
  <c r="A62" i="3"/>
  <c r="V61" i="3"/>
  <c r="R61" i="3"/>
  <c r="M61" i="3"/>
  <c r="J61" i="3"/>
  <c r="D61" i="3"/>
  <c r="E61" i="3" s="1"/>
  <c r="C61" i="3"/>
  <c r="A61" i="3"/>
  <c r="V60" i="3"/>
  <c r="R60" i="3"/>
  <c r="M60" i="3"/>
  <c r="J60" i="3"/>
  <c r="D60" i="3"/>
  <c r="E60" i="3" s="1"/>
  <c r="C60" i="3"/>
  <c r="A60" i="3"/>
  <c r="V59" i="3"/>
  <c r="R59" i="3"/>
  <c r="M59" i="3"/>
  <c r="J59" i="3"/>
  <c r="D59" i="3"/>
  <c r="E59" i="3" s="1"/>
  <c r="C59" i="3"/>
  <c r="A59" i="3"/>
  <c r="V58" i="3"/>
  <c r="R58" i="3"/>
  <c r="M58" i="3"/>
  <c r="J58" i="3"/>
  <c r="D58" i="3"/>
  <c r="E58" i="3" s="1"/>
  <c r="C58" i="3"/>
  <c r="A58" i="3"/>
  <c r="V57" i="3"/>
  <c r="R57" i="3"/>
  <c r="M57" i="3"/>
  <c r="J57" i="3"/>
  <c r="D57" i="3"/>
  <c r="E57" i="3" s="1"/>
  <c r="C57" i="3"/>
  <c r="A57" i="3"/>
  <c r="V56" i="3"/>
  <c r="R56" i="3"/>
  <c r="M56" i="3"/>
  <c r="J56" i="3"/>
  <c r="D56" i="3"/>
  <c r="E56" i="3" s="1"/>
  <c r="C56" i="3"/>
  <c r="A56" i="3"/>
  <c r="V55" i="3"/>
  <c r="R55" i="3"/>
  <c r="M55" i="3"/>
  <c r="J55" i="3"/>
  <c r="D55" i="3"/>
  <c r="E55" i="3" s="1"/>
  <c r="C55" i="3"/>
  <c r="A55" i="3"/>
  <c r="V54" i="3"/>
  <c r="R54" i="3"/>
  <c r="M54" i="3"/>
  <c r="J54" i="3"/>
  <c r="D54" i="3"/>
  <c r="E54" i="3" s="1"/>
  <c r="C54" i="3"/>
  <c r="A54" i="3"/>
  <c r="V53" i="3"/>
  <c r="R53" i="3"/>
  <c r="M53" i="3"/>
  <c r="J53" i="3"/>
  <c r="D53" i="3"/>
  <c r="E53" i="3" s="1"/>
  <c r="C53" i="3"/>
  <c r="A53" i="3"/>
  <c r="V52" i="3"/>
  <c r="R52" i="3"/>
  <c r="M52" i="3"/>
  <c r="J52" i="3"/>
  <c r="D52" i="3"/>
  <c r="E52" i="3" s="1"/>
  <c r="C52" i="3"/>
  <c r="A52" i="3"/>
  <c r="V51" i="3"/>
  <c r="R51" i="3"/>
  <c r="M51" i="3"/>
  <c r="J51" i="3"/>
  <c r="D51" i="3"/>
  <c r="E51" i="3" s="1"/>
  <c r="C51" i="3"/>
  <c r="A51" i="3"/>
  <c r="V50" i="3"/>
  <c r="R50" i="3"/>
  <c r="M50" i="3"/>
  <c r="J50" i="3"/>
  <c r="D50" i="3"/>
  <c r="E50" i="3" s="1"/>
  <c r="C50" i="3"/>
  <c r="A50" i="3"/>
  <c r="V49" i="3"/>
  <c r="R49" i="3"/>
  <c r="M49" i="3"/>
  <c r="J49" i="3"/>
  <c r="D49" i="3"/>
  <c r="E49" i="3" s="1"/>
  <c r="C49" i="3"/>
  <c r="A49" i="3"/>
  <c r="V48" i="3"/>
  <c r="R48" i="3"/>
  <c r="M48" i="3"/>
  <c r="J48" i="3"/>
  <c r="D48" i="3"/>
  <c r="E48" i="3" s="1"/>
  <c r="C48" i="3"/>
  <c r="A48" i="3"/>
  <c r="V47" i="3"/>
  <c r="R47" i="3"/>
  <c r="M47" i="3"/>
  <c r="J47" i="3"/>
  <c r="D47" i="3"/>
  <c r="E47" i="3" s="1"/>
  <c r="C47" i="3"/>
  <c r="A47" i="3"/>
  <c r="V46" i="3"/>
  <c r="R46" i="3"/>
  <c r="M46" i="3"/>
  <c r="J46" i="3"/>
  <c r="D46" i="3"/>
  <c r="E46" i="3" s="1"/>
  <c r="C46" i="3"/>
  <c r="A46" i="3"/>
  <c r="V45" i="3"/>
  <c r="R45" i="3"/>
  <c r="M45" i="3"/>
  <c r="J45" i="3"/>
  <c r="D45" i="3"/>
  <c r="E45" i="3" s="1"/>
  <c r="C45" i="3"/>
  <c r="A45" i="3"/>
  <c r="V44" i="3"/>
  <c r="R44" i="3"/>
  <c r="M44" i="3"/>
  <c r="J44" i="3"/>
  <c r="D44" i="3"/>
  <c r="E44" i="3" s="1"/>
  <c r="C44" i="3"/>
  <c r="A44" i="3"/>
  <c r="V43" i="3"/>
  <c r="R43" i="3"/>
  <c r="M43" i="3"/>
  <c r="J43" i="3"/>
  <c r="D43" i="3"/>
  <c r="E43" i="3" s="1"/>
  <c r="C43" i="3"/>
  <c r="A43" i="3"/>
  <c r="V42" i="3"/>
  <c r="R42" i="3"/>
  <c r="M42" i="3"/>
  <c r="J42" i="3"/>
  <c r="D42" i="3"/>
  <c r="E42" i="3" s="1"/>
  <c r="C42" i="3"/>
  <c r="A42" i="3"/>
  <c r="V41" i="3"/>
  <c r="R41" i="3"/>
  <c r="M41" i="3"/>
  <c r="J41" i="3"/>
  <c r="D41" i="3"/>
  <c r="E41" i="3" s="1"/>
  <c r="C41" i="3"/>
  <c r="A41" i="3"/>
  <c r="V40" i="3"/>
  <c r="R40" i="3"/>
  <c r="M40" i="3"/>
  <c r="J40" i="3"/>
  <c r="D40" i="3"/>
  <c r="E40" i="3" s="1"/>
  <c r="C40" i="3"/>
  <c r="A40" i="3"/>
  <c r="V39" i="3"/>
  <c r="R39" i="3"/>
  <c r="M39" i="3"/>
  <c r="J39" i="3"/>
  <c r="D39" i="3"/>
  <c r="E39" i="3" s="1"/>
  <c r="C39" i="3"/>
  <c r="A39" i="3"/>
  <c r="V38" i="3"/>
  <c r="R38" i="3"/>
  <c r="M38" i="3"/>
  <c r="J38" i="3"/>
  <c r="D38" i="3"/>
  <c r="E38" i="3" s="1"/>
  <c r="C38" i="3"/>
  <c r="A38" i="3"/>
  <c r="V37" i="3"/>
  <c r="R37" i="3"/>
  <c r="M37" i="3"/>
  <c r="J37" i="3"/>
  <c r="D37" i="3"/>
  <c r="E37" i="3" s="1"/>
  <c r="C37" i="3"/>
  <c r="A37" i="3"/>
  <c r="V36" i="3"/>
  <c r="R36" i="3"/>
  <c r="M36" i="3"/>
  <c r="J36" i="3"/>
  <c r="D36" i="3"/>
  <c r="E36" i="3" s="1"/>
  <c r="C36" i="3"/>
  <c r="A36" i="3"/>
  <c r="V35" i="3"/>
  <c r="R35" i="3"/>
  <c r="M35" i="3"/>
  <c r="J35" i="3"/>
  <c r="D35" i="3"/>
  <c r="E35" i="3" s="1"/>
  <c r="C35" i="3"/>
  <c r="A35" i="3"/>
  <c r="V34" i="3"/>
  <c r="R34" i="3"/>
  <c r="M34" i="3"/>
  <c r="J34" i="3"/>
  <c r="D34" i="3"/>
  <c r="E34" i="3" s="1"/>
  <c r="C34" i="3"/>
  <c r="A34" i="3"/>
  <c r="V33" i="3"/>
  <c r="R33" i="3"/>
  <c r="M33" i="3"/>
  <c r="J33" i="3"/>
  <c r="D33" i="3"/>
  <c r="E33" i="3" s="1"/>
  <c r="C33" i="3"/>
  <c r="A33" i="3"/>
  <c r="V32" i="3"/>
  <c r="R32" i="3"/>
  <c r="M32" i="3"/>
  <c r="J32" i="3"/>
  <c r="D32" i="3"/>
  <c r="E32" i="3" s="1"/>
  <c r="C32" i="3"/>
  <c r="A32" i="3"/>
  <c r="V31" i="3"/>
  <c r="R31" i="3"/>
  <c r="M31" i="3"/>
  <c r="J31" i="3"/>
  <c r="D31" i="3"/>
  <c r="E31" i="3" s="1"/>
  <c r="C31" i="3"/>
  <c r="A31" i="3"/>
  <c r="V30" i="3"/>
  <c r="R30" i="3"/>
  <c r="M30" i="3"/>
  <c r="J30" i="3"/>
  <c r="D30" i="3"/>
  <c r="E30" i="3" s="1"/>
  <c r="C30" i="3"/>
  <c r="A30" i="3"/>
  <c r="V29" i="3"/>
  <c r="R29" i="3"/>
  <c r="M29" i="3"/>
  <c r="J29" i="3"/>
  <c r="D29" i="3"/>
  <c r="E29" i="3" s="1"/>
  <c r="C29" i="3"/>
  <c r="A29" i="3"/>
  <c r="V28" i="3"/>
  <c r="R28" i="3"/>
  <c r="M28" i="3"/>
  <c r="J28" i="3"/>
  <c r="D28" i="3"/>
  <c r="E28" i="3" s="1"/>
  <c r="C28" i="3"/>
  <c r="A28" i="3"/>
  <c r="V27" i="3"/>
  <c r="R27" i="3"/>
  <c r="M27" i="3"/>
  <c r="J27" i="3"/>
  <c r="D27" i="3"/>
  <c r="E27" i="3" s="1"/>
  <c r="C27" i="3"/>
  <c r="A27" i="3"/>
  <c r="V26" i="3"/>
  <c r="R26" i="3"/>
  <c r="M26" i="3"/>
  <c r="J26" i="3"/>
  <c r="D26" i="3"/>
  <c r="E26" i="3" s="1"/>
  <c r="C26" i="3"/>
  <c r="A26" i="3"/>
  <c r="V25" i="3"/>
  <c r="R25" i="3"/>
  <c r="M25" i="3"/>
  <c r="J25" i="3"/>
  <c r="D25" i="3"/>
  <c r="E25" i="3" s="1"/>
  <c r="C25" i="3"/>
  <c r="A25" i="3"/>
  <c r="V24" i="3"/>
  <c r="R24" i="3"/>
  <c r="M24" i="3"/>
  <c r="J24" i="3"/>
  <c r="D24" i="3"/>
  <c r="E24" i="3" s="1"/>
  <c r="C24" i="3"/>
  <c r="A24" i="3"/>
  <c r="V23" i="3"/>
  <c r="R23" i="3"/>
  <c r="M23" i="3"/>
  <c r="J23" i="3"/>
  <c r="D23" i="3"/>
  <c r="E23" i="3" s="1"/>
  <c r="C23" i="3"/>
  <c r="A23" i="3"/>
  <c r="V22" i="3"/>
  <c r="R22" i="3"/>
  <c r="M22" i="3"/>
  <c r="J22" i="3"/>
  <c r="D22" i="3"/>
  <c r="E22" i="3" s="1"/>
  <c r="C22" i="3"/>
  <c r="A22" i="3"/>
  <c r="V21" i="3"/>
  <c r="R21" i="3"/>
  <c r="M21" i="3"/>
  <c r="J21" i="3"/>
  <c r="D21" i="3"/>
  <c r="E21" i="3" s="1"/>
  <c r="C21" i="3"/>
  <c r="A21" i="3"/>
  <c r="V20" i="3"/>
  <c r="R20" i="3"/>
  <c r="M20" i="3"/>
  <c r="J20" i="3"/>
  <c r="D20" i="3"/>
  <c r="E20" i="3" s="1"/>
  <c r="C20" i="3"/>
  <c r="A20" i="3"/>
  <c r="V19" i="3"/>
  <c r="R19" i="3"/>
  <c r="M19" i="3"/>
  <c r="J19" i="3"/>
  <c r="D19" i="3"/>
  <c r="E19" i="3" s="1"/>
  <c r="C19" i="3"/>
  <c r="A19" i="3"/>
  <c r="V18" i="3"/>
  <c r="R18" i="3"/>
  <c r="M18" i="3"/>
  <c r="J18" i="3"/>
  <c r="D18" i="3"/>
  <c r="E18" i="3" s="1"/>
  <c r="C18" i="3"/>
  <c r="A18" i="3"/>
  <c r="V17" i="3"/>
  <c r="R17" i="3"/>
  <c r="M17" i="3"/>
  <c r="J17" i="3"/>
  <c r="D17" i="3"/>
  <c r="E17" i="3" s="1"/>
  <c r="C17" i="3"/>
  <c r="A17" i="3"/>
  <c r="V16" i="3"/>
  <c r="R16" i="3"/>
  <c r="M16" i="3"/>
  <c r="J16" i="3"/>
  <c r="D16" i="3"/>
  <c r="E16" i="3" s="1"/>
  <c r="C16" i="3"/>
  <c r="A16" i="3"/>
  <c r="V15" i="3"/>
  <c r="R15" i="3"/>
  <c r="M15" i="3"/>
  <c r="J15" i="3"/>
  <c r="D15" i="3"/>
  <c r="E15" i="3" s="1"/>
  <c r="C15" i="3"/>
  <c r="A15" i="3"/>
  <c r="V14" i="3"/>
  <c r="R14" i="3"/>
  <c r="M14" i="3"/>
  <c r="J14" i="3"/>
  <c r="D14" i="3"/>
  <c r="E14" i="3" s="1"/>
  <c r="C14" i="3"/>
  <c r="A14" i="3"/>
  <c r="V13" i="3"/>
  <c r="R13" i="3"/>
  <c r="M13" i="3"/>
  <c r="J13" i="3"/>
  <c r="D13" i="3"/>
  <c r="E13" i="3" s="1"/>
  <c r="C13" i="3"/>
  <c r="A13" i="3"/>
  <c r="V12" i="3"/>
  <c r="R12" i="3"/>
  <c r="M12" i="3"/>
  <c r="J12" i="3"/>
  <c r="D12" i="3"/>
  <c r="E12" i="3" s="1"/>
  <c r="C12" i="3"/>
  <c r="A12" i="3"/>
  <c r="V11" i="3"/>
  <c r="R11" i="3"/>
  <c r="M11" i="3"/>
  <c r="J11" i="3"/>
  <c r="D11" i="3"/>
  <c r="E11" i="3" s="1"/>
  <c r="C11" i="3"/>
  <c r="A11" i="3"/>
  <c r="V10" i="3"/>
  <c r="R10" i="3"/>
  <c r="M10" i="3"/>
  <c r="J10" i="3"/>
  <c r="D10" i="3"/>
  <c r="E10" i="3" s="1"/>
  <c r="C10" i="3"/>
  <c r="A10" i="3"/>
  <c r="V9" i="3"/>
  <c r="R9" i="3"/>
  <c r="M9" i="3"/>
  <c r="J9" i="3"/>
  <c r="D9" i="3"/>
  <c r="E9" i="3" s="1"/>
  <c r="C9" i="3"/>
  <c r="A9" i="3"/>
  <c r="V8" i="3"/>
  <c r="R8" i="3"/>
  <c r="M8" i="3"/>
  <c r="J8" i="3"/>
  <c r="D8" i="3"/>
  <c r="E8" i="3" s="1"/>
  <c r="C8" i="3"/>
  <c r="A8" i="3"/>
  <c r="V7" i="3"/>
  <c r="R7" i="3"/>
  <c r="M7" i="3"/>
  <c r="J7" i="3"/>
  <c r="D7" i="3"/>
  <c r="E7" i="3" s="1"/>
  <c r="C7" i="3"/>
  <c r="A7" i="3"/>
  <c r="V6" i="3"/>
  <c r="R6" i="3"/>
  <c r="M6" i="3"/>
  <c r="J6" i="3"/>
  <c r="D6" i="3"/>
  <c r="C6" i="3"/>
  <c r="A6" i="3"/>
  <c r="V5" i="3"/>
  <c r="M5" i="3"/>
  <c r="B13" i="17" s="1"/>
  <c r="J5" i="3"/>
  <c r="I18" i="25" s="1"/>
  <c r="E5" i="3"/>
  <c r="C5" i="3"/>
  <c r="A5" i="3"/>
  <c r="Z104" i="12"/>
  <c r="Y104" i="12"/>
  <c r="X104" i="12"/>
  <c r="W104" i="12"/>
  <c r="P104" i="12"/>
  <c r="O104" i="12"/>
  <c r="N104" i="12"/>
  <c r="M104" i="12"/>
  <c r="L104" i="12"/>
  <c r="K104" i="12"/>
  <c r="J104" i="12"/>
  <c r="Z103" i="12"/>
  <c r="Y103" i="12"/>
  <c r="X103" i="12"/>
  <c r="W103" i="12"/>
  <c r="P103" i="12"/>
  <c r="O103" i="12"/>
  <c r="N103" i="12"/>
  <c r="M103" i="12"/>
  <c r="L103" i="12"/>
  <c r="K103" i="12"/>
  <c r="J103" i="12"/>
  <c r="Z102" i="12"/>
  <c r="Y102" i="12"/>
  <c r="X102" i="12"/>
  <c r="W102" i="12"/>
  <c r="P102" i="12"/>
  <c r="O102" i="12"/>
  <c r="N102" i="12"/>
  <c r="M102" i="12"/>
  <c r="L102" i="12"/>
  <c r="K102" i="12"/>
  <c r="J102" i="12"/>
  <c r="Z101" i="12"/>
  <c r="Y101" i="12"/>
  <c r="X101" i="12"/>
  <c r="W101" i="12"/>
  <c r="P101" i="12"/>
  <c r="O101" i="12"/>
  <c r="N101" i="12"/>
  <c r="M101" i="12"/>
  <c r="L101" i="12"/>
  <c r="K101" i="12"/>
  <c r="J101" i="12"/>
  <c r="Z100" i="12"/>
  <c r="Y100" i="12"/>
  <c r="X100" i="12"/>
  <c r="W100" i="12"/>
  <c r="P100" i="12"/>
  <c r="O100" i="12"/>
  <c r="N100" i="12"/>
  <c r="M100" i="12"/>
  <c r="L100" i="12"/>
  <c r="K100" i="12"/>
  <c r="J100" i="12"/>
  <c r="Z99" i="12"/>
  <c r="Y99" i="12"/>
  <c r="X99" i="12"/>
  <c r="W99" i="12"/>
  <c r="P99" i="12"/>
  <c r="O99" i="12"/>
  <c r="N99" i="12"/>
  <c r="M99" i="12"/>
  <c r="L99" i="12"/>
  <c r="K99" i="12"/>
  <c r="J99" i="12"/>
  <c r="Z98" i="12"/>
  <c r="Y98" i="12"/>
  <c r="X98" i="12"/>
  <c r="W98" i="12"/>
  <c r="P98" i="12"/>
  <c r="O98" i="12"/>
  <c r="N98" i="12"/>
  <c r="M98" i="12"/>
  <c r="L98" i="12"/>
  <c r="K98" i="12"/>
  <c r="J98" i="12"/>
  <c r="Z97" i="12"/>
  <c r="Y97" i="12"/>
  <c r="X97" i="12"/>
  <c r="W97" i="12"/>
  <c r="P97" i="12"/>
  <c r="O97" i="12"/>
  <c r="N97" i="12"/>
  <c r="M97" i="12"/>
  <c r="L97" i="12"/>
  <c r="K97" i="12"/>
  <c r="J97" i="12"/>
  <c r="Z96" i="12"/>
  <c r="Y96" i="12"/>
  <c r="X96" i="12"/>
  <c r="W96" i="12"/>
  <c r="P96" i="12"/>
  <c r="O96" i="12"/>
  <c r="N96" i="12"/>
  <c r="M96" i="12"/>
  <c r="L96" i="12"/>
  <c r="K96" i="12"/>
  <c r="J96" i="12"/>
  <c r="Z95" i="12"/>
  <c r="Y95" i="12"/>
  <c r="X95" i="12"/>
  <c r="W95" i="12"/>
  <c r="P95" i="12"/>
  <c r="O95" i="12"/>
  <c r="N95" i="12"/>
  <c r="M95" i="12"/>
  <c r="L95" i="12"/>
  <c r="K95" i="12"/>
  <c r="J95" i="12"/>
  <c r="Z94" i="12"/>
  <c r="Y94" i="12"/>
  <c r="X94" i="12"/>
  <c r="W94" i="12"/>
  <c r="P94" i="12"/>
  <c r="O94" i="12"/>
  <c r="N94" i="12"/>
  <c r="M94" i="12"/>
  <c r="L94" i="12"/>
  <c r="K94" i="12"/>
  <c r="J94" i="12"/>
  <c r="Z93" i="12"/>
  <c r="Y93" i="12"/>
  <c r="X93" i="12"/>
  <c r="W93" i="12"/>
  <c r="P93" i="12"/>
  <c r="O93" i="12"/>
  <c r="N93" i="12"/>
  <c r="M93" i="12"/>
  <c r="L93" i="12"/>
  <c r="K93" i="12"/>
  <c r="J93" i="12"/>
  <c r="Z92" i="12"/>
  <c r="Y92" i="12"/>
  <c r="X92" i="12"/>
  <c r="W92" i="12"/>
  <c r="P92" i="12"/>
  <c r="O92" i="12"/>
  <c r="N92" i="12"/>
  <c r="M92" i="12"/>
  <c r="L92" i="12"/>
  <c r="K92" i="12"/>
  <c r="J92" i="12"/>
  <c r="Z91" i="12"/>
  <c r="Y91" i="12"/>
  <c r="X91" i="12"/>
  <c r="W91" i="12"/>
  <c r="P91" i="12"/>
  <c r="O91" i="12"/>
  <c r="N91" i="12"/>
  <c r="M91" i="12"/>
  <c r="L91" i="12"/>
  <c r="K91" i="12"/>
  <c r="J91" i="12"/>
  <c r="Z90" i="12"/>
  <c r="Y90" i="12"/>
  <c r="X90" i="12"/>
  <c r="W90" i="12"/>
  <c r="P90" i="12"/>
  <c r="O90" i="12"/>
  <c r="N90" i="12"/>
  <c r="M90" i="12"/>
  <c r="L90" i="12"/>
  <c r="K90" i="12"/>
  <c r="J90" i="12"/>
  <c r="Z89" i="12"/>
  <c r="Y89" i="12"/>
  <c r="X89" i="12"/>
  <c r="W89" i="12"/>
  <c r="P89" i="12"/>
  <c r="O89" i="12"/>
  <c r="N89" i="12"/>
  <c r="M89" i="12"/>
  <c r="L89" i="12"/>
  <c r="K89" i="12"/>
  <c r="J89" i="12"/>
  <c r="Z88" i="12"/>
  <c r="Y88" i="12"/>
  <c r="X88" i="12"/>
  <c r="W88" i="12"/>
  <c r="P88" i="12"/>
  <c r="O88" i="12"/>
  <c r="N88" i="12"/>
  <c r="M88" i="12"/>
  <c r="L88" i="12"/>
  <c r="K88" i="12"/>
  <c r="J88" i="12"/>
  <c r="Z87" i="12"/>
  <c r="Y87" i="12"/>
  <c r="X87" i="12"/>
  <c r="W87" i="12"/>
  <c r="P87" i="12"/>
  <c r="O87" i="12"/>
  <c r="N87" i="12"/>
  <c r="M87" i="12"/>
  <c r="L87" i="12"/>
  <c r="K87" i="12"/>
  <c r="J87" i="12"/>
  <c r="Z86" i="12"/>
  <c r="Y86" i="12"/>
  <c r="X86" i="12"/>
  <c r="W86" i="12"/>
  <c r="P86" i="12"/>
  <c r="O86" i="12"/>
  <c r="N86" i="12"/>
  <c r="M86" i="12"/>
  <c r="L86" i="12"/>
  <c r="K86" i="12"/>
  <c r="J86" i="12"/>
  <c r="Z85" i="12"/>
  <c r="Y85" i="12"/>
  <c r="X85" i="12"/>
  <c r="W85" i="12"/>
  <c r="P85" i="12"/>
  <c r="O85" i="12"/>
  <c r="N85" i="12"/>
  <c r="M85" i="12"/>
  <c r="L85" i="12"/>
  <c r="K85" i="12"/>
  <c r="J85" i="12"/>
  <c r="Z84" i="12"/>
  <c r="Y84" i="12"/>
  <c r="X84" i="12"/>
  <c r="W84" i="12"/>
  <c r="P84" i="12"/>
  <c r="O84" i="12"/>
  <c r="N84" i="12"/>
  <c r="M84" i="12"/>
  <c r="L84" i="12"/>
  <c r="K84" i="12"/>
  <c r="J84" i="12"/>
  <c r="Z83" i="12"/>
  <c r="Y83" i="12"/>
  <c r="X83" i="12"/>
  <c r="W83" i="12"/>
  <c r="P83" i="12"/>
  <c r="O83" i="12"/>
  <c r="N83" i="12"/>
  <c r="M83" i="12"/>
  <c r="L83" i="12"/>
  <c r="K83" i="12"/>
  <c r="J83" i="12"/>
  <c r="Z82" i="12"/>
  <c r="Y82" i="12"/>
  <c r="X82" i="12"/>
  <c r="W82" i="12"/>
  <c r="P82" i="12"/>
  <c r="O82" i="12"/>
  <c r="N82" i="12"/>
  <c r="M82" i="12"/>
  <c r="L82" i="12"/>
  <c r="K82" i="12"/>
  <c r="J82" i="12"/>
  <c r="Z81" i="12"/>
  <c r="Y81" i="12"/>
  <c r="X81" i="12"/>
  <c r="W81" i="12"/>
  <c r="P81" i="12"/>
  <c r="O81" i="12"/>
  <c r="N81" i="12"/>
  <c r="M81" i="12"/>
  <c r="L81" i="12"/>
  <c r="K81" i="12"/>
  <c r="J81" i="12"/>
  <c r="Z80" i="12"/>
  <c r="Y80" i="12"/>
  <c r="X80" i="12"/>
  <c r="W80" i="12"/>
  <c r="P80" i="12"/>
  <c r="O80" i="12"/>
  <c r="N80" i="12"/>
  <c r="M80" i="12"/>
  <c r="L80" i="12"/>
  <c r="K80" i="12"/>
  <c r="J80" i="12"/>
  <c r="Z79" i="12"/>
  <c r="Y79" i="12"/>
  <c r="X79" i="12"/>
  <c r="W79" i="12"/>
  <c r="P79" i="12"/>
  <c r="O79" i="12"/>
  <c r="N79" i="12"/>
  <c r="M79" i="12"/>
  <c r="L79" i="12"/>
  <c r="K79" i="12"/>
  <c r="J79" i="12"/>
  <c r="Z78" i="12"/>
  <c r="Y78" i="12"/>
  <c r="X78" i="12"/>
  <c r="W78" i="12"/>
  <c r="P78" i="12"/>
  <c r="O78" i="12"/>
  <c r="N78" i="12"/>
  <c r="M78" i="12"/>
  <c r="L78" i="12"/>
  <c r="K78" i="12"/>
  <c r="J78" i="12"/>
  <c r="Z77" i="12"/>
  <c r="Y77" i="12"/>
  <c r="X77" i="12"/>
  <c r="W77" i="12"/>
  <c r="P77" i="12"/>
  <c r="O77" i="12"/>
  <c r="N77" i="12"/>
  <c r="M77" i="12"/>
  <c r="L77" i="12"/>
  <c r="K77" i="12"/>
  <c r="J77" i="12"/>
  <c r="Z76" i="12"/>
  <c r="Y76" i="12"/>
  <c r="X76" i="12"/>
  <c r="W76" i="12"/>
  <c r="P76" i="12"/>
  <c r="O76" i="12"/>
  <c r="N76" i="12"/>
  <c r="M76" i="12"/>
  <c r="L76" i="12"/>
  <c r="K76" i="12"/>
  <c r="J76" i="12"/>
  <c r="Z75" i="12"/>
  <c r="Y75" i="12"/>
  <c r="X75" i="12"/>
  <c r="W75" i="12"/>
  <c r="P75" i="12"/>
  <c r="O75" i="12"/>
  <c r="N75" i="12"/>
  <c r="M75" i="12"/>
  <c r="L75" i="12"/>
  <c r="K75" i="12"/>
  <c r="J75" i="12"/>
  <c r="Z74" i="12"/>
  <c r="Y74" i="12"/>
  <c r="X74" i="12"/>
  <c r="W74" i="12"/>
  <c r="P74" i="12"/>
  <c r="O74" i="12"/>
  <c r="N74" i="12"/>
  <c r="M74" i="12"/>
  <c r="L74" i="12"/>
  <c r="K74" i="12"/>
  <c r="J74" i="12"/>
  <c r="Z73" i="12"/>
  <c r="Y73" i="12"/>
  <c r="X73" i="12"/>
  <c r="W73" i="12"/>
  <c r="P73" i="12"/>
  <c r="O73" i="12"/>
  <c r="N73" i="12"/>
  <c r="M73" i="12"/>
  <c r="L73" i="12"/>
  <c r="K73" i="12"/>
  <c r="J73" i="12"/>
  <c r="Z72" i="12"/>
  <c r="Y72" i="12"/>
  <c r="X72" i="12"/>
  <c r="W72" i="12"/>
  <c r="P72" i="12"/>
  <c r="O72" i="12"/>
  <c r="N72" i="12"/>
  <c r="M72" i="12"/>
  <c r="L72" i="12"/>
  <c r="K72" i="12"/>
  <c r="J72" i="12"/>
  <c r="Z71" i="12"/>
  <c r="Y71" i="12"/>
  <c r="X71" i="12"/>
  <c r="W71" i="12"/>
  <c r="P71" i="12"/>
  <c r="O71" i="12"/>
  <c r="N71" i="12"/>
  <c r="M71" i="12"/>
  <c r="L71" i="12"/>
  <c r="K71" i="12"/>
  <c r="J71" i="12"/>
  <c r="Z70" i="12"/>
  <c r="Y70" i="12"/>
  <c r="X70" i="12"/>
  <c r="W70" i="12"/>
  <c r="P70" i="12"/>
  <c r="O70" i="12"/>
  <c r="N70" i="12"/>
  <c r="M70" i="12"/>
  <c r="L70" i="12"/>
  <c r="K70" i="12"/>
  <c r="J70" i="12"/>
  <c r="Z69" i="12"/>
  <c r="Y69" i="12"/>
  <c r="X69" i="12"/>
  <c r="W69" i="12"/>
  <c r="P69" i="12"/>
  <c r="O69" i="12"/>
  <c r="N69" i="12"/>
  <c r="M69" i="12"/>
  <c r="L69" i="12"/>
  <c r="K69" i="12"/>
  <c r="J69" i="12"/>
  <c r="Z68" i="12"/>
  <c r="Y68" i="12"/>
  <c r="X68" i="12"/>
  <c r="W68" i="12"/>
  <c r="P68" i="12"/>
  <c r="O68" i="12"/>
  <c r="N68" i="12"/>
  <c r="M68" i="12"/>
  <c r="L68" i="12"/>
  <c r="K68" i="12"/>
  <c r="J68" i="12"/>
  <c r="Z67" i="12"/>
  <c r="Y67" i="12"/>
  <c r="X67" i="12"/>
  <c r="W67" i="12"/>
  <c r="P67" i="12"/>
  <c r="O67" i="12"/>
  <c r="N67" i="12"/>
  <c r="M67" i="12"/>
  <c r="L67" i="12"/>
  <c r="K67" i="12"/>
  <c r="J67" i="12"/>
  <c r="Z66" i="12"/>
  <c r="Y66" i="12"/>
  <c r="X66" i="12"/>
  <c r="W66" i="12"/>
  <c r="P66" i="12"/>
  <c r="O66" i="12"/>
  <c r="N66" i="12"/>
  <c r="M66" i="12"/>
  <c r="L66" i="12"/>
  <c r="K66" i="12"/>
  <c r="J66" i="12"/>
  <c r="Z65" i="12"/>
  <c r="Y65" i="12"/>
  <c r="X65" i="12"/>
  <c r="W65" i="12"/>
  <c r="P65" i="12"/>
  <c r="O65" i="12"/>
  <c r="N65" i="12"/>
  <c r="M65" i="12"/>
  <c r="L65" i="12"/>
  <c r="K65" i="12"/>
  <c r="J65" i="12"/>
  <c r="Z64" i="12"/>
  <c r="Y64" i="12"/>
  <c r="X64" i="12"/>
  <c r="W64" i="12"/>
  <c r="P64" i="12"/>
  <c r="O64" i="12"/>
  <c r="N64" i="12"/>
  <c r="M64" i="12"/>
  <c r="L64" i="12"/>
  <c r="K64" i="12"/>
  <c r="J64" i="12"/>
  <c r="Z63" i="12"/>
  <c r="Y63" i="12"/>
  <c r="X63" i="12"/>
  <c r="W63" i="12"/>
  <c r="P63" i="12"/>
  <c r="O63" i="12"/>
  <c r="N63" i="12"/>
  <c r="M63" i="12"/>
  <c r="L63" i="12"/>
  <c r="K63" i="12"/>
  <c r="J63" i="12"/>
  <c r="Z62" i="12"/>
  <c r="Y62" i="12"/>
  <c r="X62" i="12"/>
  <c r="W62" i="12"/>
  <c r="P62" i="12"/>
  <c r="O62" i="12"/>
  <c r="N62" i="12"/>
  <c r="M62" i="12"/>
  <c r="L62" i="12"/>
  <c r="K62" i="12"/>
  <c r="J62" i="12"/>
  <c r="Z61" i="12"/>
  <c r="Y61" i="12"/>
  <c r="X61" i="12"/>
  <c r="W61" i="12"/>
  <c r="P61" i="12"/>
  <c r="O61" i="12"/>
  <c r="N61" i="12"/>
  <c r="M61" i="12"/>
  <c r="L61" i="12"/>
  <c r="K61" i="12"/>
  <c r="J61" i="12"/>
  <c r="Z60" i="12"/>
  <c r="Y60" i="12"/>
  <c r="X60" i="12"/>
  <c r="W60" i="12"/>
  <c r="P60" i="12"/>
  <c r="O60" i="12"/>
  <c r="N60" i="12"/>
  <c r="M60" i="12"/>
  <c r="L60" i="12"/>
  <c r="K60" i="12"/>
  <c r="J60" i="12"/>
  <c r="Z59" i="12"/>
  <c r="Y59" i="12"/>
  <c r="X59" i="12"/>
  <c r="W59" i="12"/>
  <c r="P59" i="12"/>
  <c r="O59" i="12"/>
  <c r="N59" i="12"/>
  <c r="M59" i="12"/>
  <c r="L59" i="12"/>
  <c r="K59" i="12"/>
  <c r="J59" i="12"/>
  <c r="Z58" i="12"/>
  <c r="Y58" i="12"/>
  <c r="X58" i="12"/>
  <c r="W58" i="12"/>
  <c r="P58" i="12"/>
  <c r="O58" i="12"/>
  <c r="N58" i="12"/>
  <c r="M58" i="12"/>
  <c r="L58" i="12"/>
  <c r="K58" i="12"/>
  <c r="J58" i="12"/>
  <c r="Z57" i="12"/>
  <c r="Y57" i="12"/>
  <c r="X57" i="12"/>
  <c r="W57" i="12"/>
  <c r="P57" i="12"/>
  <c r="O57" i="12"/>
  <c r="N57" i="12"/>
  <c r="M57" i="12"/>
  <c r="L57" i="12"/>
  <c r="K57" i="12"/>
  <c r="J57" i="12"/>
  <c r="Z56" i="12"/>
  <c r="Y56" i="12"/>
  <c r="X56" i="12"/>
  <c r="W56" i="12"/>
  <c r="P56" i="12"/>
  <c r="O56" i="12"/>
  <c r="N56" i="12"/>
  <c r="M56" i="12"/>
  <c r="L56" i="12"/>
  <c r="K56" i="12"/>
  <c r="J56" i="12"/>
  <c r="Z55" i="12"/>
  <c r="Y55" i="12"/>
  <c r="X55" i="12"/>
  <c r="W55" i="12"/>
  <c r="P55" i="12"/>
  <c r="O55" i="12"/>
  <c r="N55" i="12"/>
  <c r="M55" i="12"/>
  <c r="L55" i="12"/>
  <c r="K55" i="12"/>
  <c r="J55" i="12"/>
  <c r="Z54" i="12"/>
  <c r="Y54" i="12"/>
  <c r="X54" i="12"/>
  <c r="W54" i="12"/>
  <c r="P54" i="12"/>
  <c r="O54" i="12"/>
  <c r="N54" i="12"/>
  <c r="M54" i="12"/>
  <c r="L54" i="12"/>
  <c r="K54" i="12"/>
  <c r="J54" i="12"/>
  <c r="Z53" i="12"/>
  <c r="Y53" i="12"/>
  <c r="X53" i="12"/>
  <c r="W53" i="12"/>
  <c r="P53" i="12"/>
  <c r="O53" i="12"/>
  <c r="N53" i="12"/>
  <c r="M53" i="12"/>
  <c r="L53" i="12"/>
  <c r="K53" i="12"/>
  <c r="J53" i="12"/>
  <c r="Z52" i="12"/>
  <c r="Y52" i="12"/>
  <c r="X52" i="12"/>
  <c r="W52" i="12"/>
  <c r="P52" i="12"/>
  <c r="O52" i="12"/>
  <c r="N52" i="12"/>
  <c r="M52" i="12"/>
  <c r="L52" i="12"/>
  <c r="K52" i="12"/>
  <c r="J52" i="12"/>
  <c r="Z51" i="12"/>
  <c r="Y51" i="12"/>
  <c r="X51" i="12"/>
  <c r="W51" i="12"/>
  <c r="P51" i="12"/>
  <c r="O51" i="12"/>
  <c r="N51" i="12"/>
  <c r="M51" i="12"/>
  <c r="L51" i="12"/>
  <c r="K51" i="12"/>
  <c r="J51" i="12"/>
  <c r="Z50" i="12"/>
  <c r="Y50" i="12"/>
  <c r="X50" i="12"/>
  <c r="W50" i="12"/>
  <c r="P50" i="12"/>
  <c r="O50" i="12"/>
  <c r="N50" i="12"/>
  <c r="M50" i="12"/>
  <c r="L50" i="12"/>
  <c r="K50" i="12"/>
  <c r="J50" i="12"/>
  <c r="Z49" i="12"/>
  <c r="Y49" i="12"/>
  <c r="X49" i="12"/>
  <c r="W49" i="12"/>
  <c r="P49" i="12"/>
  <c r="O49" i="12"/>
  <c r="N49" i="12"/>
  <c r="M49" i="12"/>
  <c r="L49" i="12"/>
  <c r="K49" i="12"/>
  <c r="J49" i="12"/>
  <c r="Z48" i="12"/>
  <c r="Y48" i="12"/>
  <c r="X48" i="12"/>
  <c r="W48" i="12"/>
  <c r="P48" i="12"/>
  <c r="O48" i="12"/>
  <c r="N48" i="12"/>
  <c r="M48" i="12"/>
  <c r="L48" i="12"/>
  <c r="K48" i="12"/>
  <c r="J48" i="12"/>
  <c r="Z47" i="12"/>
  <c r="Y47" i="12"/>
  <c r="X47" i="12"/>
  <c r="W47" i="12"/>
  <c r="P47" i="12"/>
  <c r="O47" i="12"/>
  <c r="N47" i="12"/>
  <c r="M47" i="12"/>
  <c r="L47" i="12"/>
  <c r="K47" i="12"/>
  <c r="J47" i="12"/>
  <c r="Z46" i="12"/>
  <c r="Y46" i="12"/>
  <c r="X46" i="12"/>
  <c r="W46" i="12"/>
  <c r="P46" i="12"/>
  <c r="O46" i="12"/>
  <c r="N46" i="12"/>
  <c r="M46" i="12"/>
  <c r="L46" i="12"/>
  <c r="K46" i="12"/>
  <c r="J46" i="12"/>
  <c r="Z45" i="12"/>
  <c r="Y45" i="12"/>
  <c r="X45" i="12"/>
  <c r="W45" i="12"/>
  <c r="P45" i="12"/>
  <c r="O45" i="12"/>
  <c r="N45" i="12"/>
  <c r="M45" i="12"/>
  <c r="L45" i="12"/>
  <c r="K45" i="12"/>
  <c r="J45" i="12"/>
  <c r="Z44" i="12"/>
  <c r="Y44" i="12"/>
  <c r="X44" i="12"/>
  <c r="W44" i="12"/>
  <c r="P44" i="12"/>
  <c r="O44" i="12"/>
  <c r="N44" i="12"/>
  <c r="M44" i="12"/>
  <c r="L44" i="12"/>
  <c r="K44" i="12"/>
  <c r="J44" i="12"/>
  <c r="Z43" i="12"/>
  <c r="Y43" i="12"/>
  <c r="X43" i="12"/>
  <c r="W43" i="12"/>
  <c r="P43" i="12"/>
  <c r="O43" i="12"/>
  <c r="N43" i="12"/>
  <c r="M43" i="12"/>
  <c r="L43" i="12"/>
  <c r="K43" i="12"/>
  <c r="J43" i="12"/>
  <c r="Z42" i="12"/>
  <c r="Y42" i="12"/>
  <c r="X42" i="12"/>
  <c r="W42" i="12"/>
  <c r="P42" i="12"/>
  <c r="O42" i="12"/>
  <c r="N42" i="12"/>
  <c r="M42" i="12"/>
  <c r="L42" i="12"/>
  <c r="K42" i="12"/>
  <c r="J42" i="12"/>
  <c r="Z41" i="12"/>
  <c r="Y41" i="12"/>
  <c r="X41" i="12"/>
  <c r="W41" i="12"/>
  <c r="P41" i="12"/>
  <c r="O41" i="12"/>
  <c r="N41" i="12"/>
  <c r="M41" i="12"/>
  <c r="L41" i="12"/>
  <c r="K41" i="12"/>
  <c r="J41" i="12"/>
  <c r="Z40" i="12"/>
  <c r="Y40" i="12"/>
  <c r="X40" i="12"/>
  <c r="W40" i="12"/>
  <c r="P40" i="12"/>
  <c r="O40" i="12"/>
  <c r="N40" i="12"/>
  <c r="M40" i="12"/>
  <c r="L40" i="12"/>
  <c r="K40" i="12"/>
  <c r="J40" i="12"/>
  <c r="Z39" i="12"/>
  <c r="Y39" i="12"/>
  <c r="X39" i="12"/>
  <c r="W39" i="12"/>
  <c r="P39" i="12"/>
  <c r="O39" i="12"/>
  <c r="N39" i="12"/>
  <c r="M39" i="12"/>
  <c r="L39" i="12"/>
  <c r="K39" i="12"/>
  <c r="J39" i="12"/>
  <c r="Z38" i="12"/>
  <c r="Y38" i="12"/>
  <c r="X38" i="12"/>
  <c r="W38" i="12"/>
  <c r="P38" i="12"/>
  <c r="O38" i="12"/>
  <c r="N38" i="12"/>
  <c r="M38" i="12"/>
  <c r="L38" i="12"/>
  <c r="K38" i="12"/>
  <c r="J38" i="12"/>
  <c r="Z37" i="12"/>
  <c r="Y37" i="12"/>
  <c r="X37" i="12"/>
  <c r="W37" i="12"/>
  <c r="P37" i="12"/>
  <c r="O37" i="12"/>
  <c r="N37" i="12"/>
  <c r="M37" i="12"/>
  <c r="L37" i="12"/>
  <c r="K37" i="12"/>
  <c r="J37" i="12"/>
  <c r="Z36" i="12"/>
  <c r="Y36" i="12"/>
  <c r="X36" i="12"/>
  <c r="W36" i="12"/>
  <c r="P36" i="12"/>
  <c r="O36" i="12"/>
  <c r="N36" i="12"/>
  <c r="M36" i="12"/>
  <c r="L36" i="12"/>
  <c r="K36" i="12"/>
  <c r="J36" i="12"/>
  <c r="Z35" i="12"/>
  <c r="Y35" i="12"/>
  <c r="X35" i="12"/>
  <c r="W35" i="12"/>
  <c r="P35" i="12"/>
  <c r="O35" i="12"/>
  <c r="N35" i="12"/>
  <c r="M35" i="12"/>
  <c r="L35" i="12"/>
  <c r="K35" i="12"/>
  <c r="J35" i="12"/>
  <c r="Z34" i="12"/>
  <c r="Y34" i="12"/>
  <c r="X34" i="12"/>
  <c r="W34" i="12"/>
  <c r="P34" i="12"/>
  <c r="O34" i="12"/>
  <c r="N34" i="12"/>
  <c r="M34" i="12"/>
  <c r="L34" i="12"/>
  <c r="K34" i="12"/>
  <c r="J34" i="12"/>
  <c r="Z33" i="12"/>
  <c r="Y33" i="12"/>
  <c r="X33" i="12"/>
  <c r="W33" i="12"/>
  <c r="P33" i="12"/>
  <c r="O33" i="12"/>
  <c r="N33" i="12"/>
  <c r="M33" i="12"/>
  <c r="L33" i="12"/>
  <c r="K33" i="12"/>
  <c r="J33" i="12"/>
  <c r="Z32" i="12"/>
  <c r="Y32" i="12"/>
  <c r="X32" i="12"/>
  <c r="W32" i="12"/>
  <c r="P32" i="12"/>
  <c r="O32" i="12"/>
  <c r="N32" i="12"/>
  <c r="M32" i="12"/>
  <c r="L32" i="12"/>
  <c r="K32" i="12"/>
  <c r="J32" i="12"/>
  <c r="Z31" i="12"/>
  <c r="Y31" i="12"/>
  <c r="X31" i="12"/>
  <c r="W31" i="12"/>
  <c r="P31" i="12"/>
  <c r="O31" i="12"/>
  <c r="N31" i="12"/>
  <c r="M31" i="12"/>
  <c r="L31" i="12"/>
  <c r="K31" i="12"/>
  <c r="J31" i="12"/>
  <c r="Z30" i="12"/>
  <c r="Y30" i="12"/>
  <c r="X30" i="12"/>
  <c r="W30" i="12"/>
  <c r="P30" i="12"/>
  <c r="O30" i="12"/>
  <c r="N30" i="12"/>
  <c r="M30" i="12"/>
  <c r="L30" i="12"/>
  <c r="K30" i="12"/>
  <c r="J30" i="12"/>
  <c r="Z29" i="12"/>
  <c r="Y29" i="12"/>
  <c r="X29" i="12"/>
  <c r="W29" i="12"/>
  <c r="P29" i="12"/>
  <c r="O29" i="12"/>
  <c r="N29" i="12"/>
  <c r="M29" i="12"/>
  <c r="L29" i="12"/>
  <c r="K29" i="12"/>
  <c r="J29" i="12"/>
  <c r="Z28" i="12"/>
  <c r="Y28" i="12"/>
  <c r="X28" i="12"/>
  <c r="W28" i="12"/>
  <c r="P28" i="12"/>
  <c r="O28" i="12"/>
  <c r="N28" i="12"/>
  <c r="M28" i="12"/>
  <c r="L28" i="12"/>
  <c r="K28" i="12"/>
  <c r="J28" i="12"/>
  <c r="Z27" i="12"/>
  <c r="Y27" i="12"/>
  <c r="X27" i="12"/>
  <c r="W27" i="12"/>
  <c r="P27" i="12"/>
  <c r="O27" i="12"/>
  <c r="N27" i="12"/>
  <c r="M27" i="12"/>
  <c r="L27" i="12"/>
  <c r="K27" i="12"/>
  <c r="J27" i="12"/>
  <c r="Z26" i="12"/>
  <c r="Y26" i="12"/>
  <c r="X26" i="12"/>
  <c r="W26" i="12"/>
  <c r="P26" i="12"/>
  <c r="O26" i="12"/>
  <c r="N26" i="12"/>
  <c r="M26" i="12"/>
  <c r="L26" i="12"/>
  <c r="K26" i="12"/>
  <c r="J26" i="12"/>
  <c r="Z25" i="12"/>
  <c r="Y25" i="12"/>
  <c r="X25" i="12"/>
  <c r="W25" i="12"/>
  <c r="P25" i="12"/>
  <c r="O25" i="12"/>
  <c r="N25" i="12"/>
  <c r="M25" i="12"/>
  <c r="L25" i="12"/>
  <c r="K25" i="12"/>
  <c r="J25" i="12"/>
  <c r="Z24" i="12"/>
  <c r="Y24" i="12"/>
  <c r="X24" i="12"/>
  <c r="W24" i="12"/>
  <c r="P24" i="12"/>
  <c r="O24" i="12"/>
  <c r="N24" i="12"/>
  <c r="M24" i="12"/>
  <c r="L24" i="12"/>
  <c r="K24" i="12"/>
  <c r="J24" i="12"/>
  <c r="Z23" i="12"/>
  <c r="Y23" i="12"/>
  <c r="X23" i="12"/>
  <c r="W23" i="12"/>
  <c r="P23" i="12"/>
  <c r="O23" i="12"/>
  <c r="N23" i="12"/>
  <c r="M23" i="12"/>
  <c r="L23" i="12"/>
  <c r="K23" i="12"/>
  <c r="J23" i="12"/>
  <c r="Z22" i="12"/>
  <c r="Y22" i="12"/>
  <c r="X22" i="12"/>
  <c r="W22" i="12"/>
  <c r="P22" i="12"/>
  <c r="O22" i="12"/>
  <c r="N22" i="12"/>
  <c r="M22" i="12"/>
  <c r="L22" i="12"/>
  <c r="K22" i="12"/>
  <c r="J22" i="12"/>
  <c r="Z21" i="12"/>
  <c r="Y21" i="12"/>
  <c r="X21" i="12"/>
  <c r="W21" i="12"/>
  <c r="P21" i="12"/>
  <c r="O21" i="12"/>
  <c r="N21" i="12"/>
  <c r="M21" i="12"/>
  <c r="L21" i="12"/>
  <c r="K21" i="12"/>
  <c r="J21" i="12"/>
  <c r="Z20" i="12"/>
  <c r="Y20" i="12"/>
  <c r="X20" i="12"/>
  <c r="W20" i="12"/>
  <c r="P20" i="12"/>
  <c r="O20" i="12"/>
  <c r="N20" i="12"/>
  <c r="M20" i="12"/>
  <c r="L20" i="12"/>
  <c r="K20" i="12"/>
  <c r="J20" i="12"/>
  <c r="Z19" i="12"/>
  <c r="Y19" i="12"/>
  <c r="X19" i="12"/>
  <c r="W19" i="12"/>
  <c r="P19" i="12"/>
  <c r="O19" i="12"/>
  <c r="N19" i="12"/>
  <c r="M19" i="12"/>
  <c r="L19" i="12"/>
  <c r="K19" i="12"/>
  <c r="J19" i="12"/>
  <c r="Z18" i="12"/>
  <c r="Y18" i="12"/>
  <c r="X18" i="12"/>
  <c r="W18" i="12"/>
  <c r="P18" i="12"/>
  <c r="O18" i="12"/>
  <c r="N18" i="12"/>
  <c r="M18" i="12"/>
  <c r="L18" i="12"/>
  <c r="K18" i="12"/>
  <c r="J18" i="12"/>
  <c r="Z17" i="12"/>
  <c r="Y17" i="12"/>
  <c r="X17" i="12"/>
  <c r="W17" i="12"/>
  <c r="P17" i="12"/>
  <c r="O17" i="12"/>
  <c r="N17" i="12"/>
  <c r="M17" i="12"/>
  <c r="L17" i="12"/>
  <c r="K17" i="12"/>
  <c r="J17" i="12"/>
  <c r="Z16" i="12"/>
  <c r="Y16" i="12"/>
  <c r="X16" i="12"/>
  <c r="W16" i="12"/>
  <c r="P16" i="12"/>
  <c r="O16" i="12"/>
  <c r="N16" i="12"/>
  <c r="M16" i="12"/>
  <c r="L16" i="12"/>
  <c r="K16" i="12"/>
  <c r="J16" i="12"/>
  <c r="Z15" i="12"/>
  <c r="Y15" i="12"/>
  <c r="X15" i="12"/>
  <c r="W15" i="12"/>
  <c r="P15" i="12"/>
  <c r="O15" i="12"/>
  <c r="N15" i="12"/>
  <c r="M15" i="12"/>
  <c r="L15" i="12"/>
  <c r="K15" i="12"/>
  <c r="J15" i="12"/>
  <c r="Z14" i="12"/>
  <c r="Y14" i="12"/>
  <c r="X14" i="12"/>
  <c r="W14" i="12"/>
  <c r="P14" i="12"/>
  <c r="O14" i="12"/>
  <c r="N14" i="12"/>
  <c r="M14" i="12"/>
  <c r="L14" i="12"/>
  <c r="K14" i="12"/>
  <c r="J14" i="12"/>
  <c r="Z13" i="12"/>
  <c r="Y13" i="12"/>
  <c r="X13" i="12"/>
  <c r="W13" i="12"/>
  <c r="P13" i="12"/>
  <c r="O13" i="12"/>
  <c r="N13" i="12"/>
  <c r="M13" i="12"/>
  <c r="L13" i="12"/>
  <c r="K13" i="12"/>
  <c r="J13" i="12"/>
  <c r="Z12" i="12"/>
  <c r="Y12" i="12"/>
  <c r="X12" i="12"/>
  <c r="W12" i="12"/>
  <c r="P12" i="12"/>
  <c r="O12" i="12"/>
  <c r="N12" i="12"/>
  <c r="M12" i="12"/>
  <c r="L12" i="12"/>
  <c r="K12" i="12"/>
  <c r="J12" i="12"/>
  <c r="Z11" i="12"/>
  <c r="Y11" i="12"/>
  <c r="X11" i="12"/>
  <c r="W11" i="12"/>
  <c r="P11" i="12"/>
  <c r="O11" i="12"/>
  <c r="N11" i="12"/>
  <c r="M11" i="12"/>
  <c r="L11" i="12"/>
  <c r="K11" i="12"/>
  <c r="J11" i="12"/>
  <c r="Z10" i="12"/>
  <c r="Y10" i="12"/>
  <c r="X10" i="12"/>
  <c r="W10" i="12"/>
  <c r="P10" i="12"/>
  <c r="O10" i="12"/>
  <c r="N10" i="12"/>
  <c r="M10" i="12"/>
  <c r="L10" i="12"/>
  <c r="K10" i="12"/>
  <c r="J10" i="12"/>
  <c r="Z9" i="12"/>
  <c r="Y9" i="12"/>
  <c r="X9" i="12"/>
  <c r="W9" i="12"/>
  <c r="P9" i="12"/>
  <c r="O9" i="12"/>
  <c r="N9" i="12"/>
  <c r="M9" i="12"/>
  <c r="L9" i="12"/>
  <c r="K9" i="12"/>
  <c r="J9" i="12"/>
  <c r="Z8" i="12"/>
  <c r="Y8" i="12"/>
  <c r="X8" i="12"/>
  <c r="W8" i="12"/>
  <c r="P8" i="12"/>
  <c r="O8" i="12"/>
  <c r="N8" i="12"/>
  <c r="M8" i="12"/>
  <c r="L8" i="12"/>
  <c r="K8" i="12"/>
  <c r="J8" i="12"/>
  <c r="Z7" i="12"/>
  <c r="Y7" i="12"/>
  <c r="X7" i="12"/>
  <c r="W7" i="12"/>
  <c r="P7" i="12"/>
  <c r="O7" i="12"/>
  <c r="N7" i="12"/>
  <c r="M7" i="12"/>
  <c r="L7" i="12"/>
  <c r="K7" i="12"/>
  <c r="J7" i="12"/>
  <c r="Z6" i="12"/>
  <c r="Y6" i="12"/>
  <c r="X6" i="12"/>
  <c r="W6" i="12"/>
  <c r="P6" i="12"/>
  <c r="O6" i="12"/>
  <c r="N6" i="12"/>
  <c r="M6" i="12"/>
  <c r="L6" i="12"/>
  <c r="K6" i="12"/>
  <c r="J6" i="12"/>
  <c r="Z5" i="12"/>
  <c r="L5" i="12"/>
  <c r="K5" i="12"/>
  <c r="A48" i="2"/>
  <c r="A47" i="2"/>
  <c r="A46" i="2"/>
  <c r="D11" i="2"/>
  <c r="N25" i="2" l="1"/>
  <c r="N26" i="2"/>
  <c r="N28" i="2"/>
  <c r="N27" i="2"/>
  <c r="M25" i="2" a="1"/>
  <c r="M26" i="2" a="1"/>
  <c r="M27" i="2" a="1"/>
  <c r="M28" i="2" a="1"/>
  <c r="L25" i="2" a="1"/>
  <c r="L26" i="2" a="1"/>
  <c r="L27" i="2" a="1"/>
  <c r="L28" i="2" a="1"/>
  <c r="K17" i="2"/>
  <c r="K18" i="2"/>
  <c r="K20" i="2"/>
  <c r="K22" i="2"/>
  <c r="K25" i="2"/>
  <c r="K26" i="2"/>
  <c r="K27" i="2"/>
  <c r="K28" i="2"/>
  <c r="K21" i="2"/>
  <c r="K24" i="2"/>
  <c r="K23" i="2"/>
  <c r="K19" i="2"/>
  <c r="J17" i="2"/>
  <c r="J18" i="2"/>
  <c r="J19" i="2"/>
  <c r="J20" i="2"/>
  <c r="J21" i="2"/>
  <c r="J22" i="2"/>
  <c r="J23" i="2"/>
  <c r="J24" i="2"/>
  <c r="J25" i="2"/>
  <c r="J26" i="2"/>
  <c r="J27" i="2"/>
  <c r="J28" i="2"/>
  <c r="I17" i="2"/>
  <c r="I18" i="2"/>
  <c r="I24" i="2"/>
  <c r="I25" i="2"/>
  <c r="I27" i="2"/>
  <c r="I20" i="2"/>
  <c r="I21" i="2"/>
  <c r="I23" i="2"/>
  <c r="I26" i="2"/>
  <c r="I28" i="2"/>
  <c r="I19" i="2"/>
  <c r="I22" i="2"/>
  <c r="H17" i="2"/>
  <c r="H18" i="2"/>
  <c r="H19" i="2"/>
  <c r="H20" i="2"/>
  <c r="H21" i="2"/>
  <c r="H22" i="2"/>
  <c r="H23" i="2"/>
  <c r="H24" i="2"/>
  <c r="H25" i="2"/>
  <c r="H26" i="2"/>
  <c r="H27" i="2"/>
  <c r="H28" i="2"/>
  <c r="G17" i="2"/>
  <c r="G18" i="2"/>
  <c r="G22" i="2"/>
  <c r="G25" i="2"/>
  <c r="G26" i="2"/>
  <c r="G28" i="2"/>
  <c r="G24" i="2"/>
  <c r="G19" i="2"/>
  <c r="G21" i="2"/>
  <c r="G27" i="2"/>
  <c r="G23" i="2"/>
  <c r="G20" i="2"/>
  <c r="F17" i="2"/>
  <c r="F25" i="2"/>
  <c r="F26" i="2"/>
  <c r="F28" i="2"/>
  <c r="F27" i="2"/>
  <c r="E26" i="2"/>
  <c r="E28" i="2"/>
  <c r="E27" i="2"/>
  <c r="E25" i="2"/>
  <c r="D26" i="2"/>
  <c r="D27" i="2"/>
  <c r="D28" i="2"/>
  <c r="D25" i="2"/>
  <c r="C17" i="2"/>
  <c r="C18" i="2"/>
  <c r="C19" i="2"/>
  <c r="C20" i="2"/>
  <c r="C21" i="2"/>
  <c r="C22" i="2"/>
  <c r="C23" i="2"/>
  <c r="C24" i="2"/>
  <c r="C25" i="2"/>
  <c r="C26" i="2"/>
  <c r="C27" i="2"/>
  <c r="C28" i="2"/>
  <c r="B17" i="2"/>
  <c r="B18" i="2"/>
  <c r="D18" i="2" s="1"/>
  <c r="B21" i="2"/>
  <c r="D21" i="2" s="1"/>
  <c r="B22" i="2"/>
  <c r="B23" i="2"/>
  <c r="B24" i="2"/>
  <c r="B26" i="2"/>
  <c r="B27" i="2"/>
  <c r="B28" i="2"/>
  <c r="B25" i="2"/>
  <c r="B20" i="2"/>
  <c r="B19" i="2"/>
  <c r="D19" i="2" s="1"/>
  <c r="B35" i="17"/>
  <c r="J17" i="19"/>
  <c r="R5" i="3"/>
  <c r="U93" i="7"/>
  <c r="W93" i="7"/>
  <c r="X93" i="7"/>
  <c r="S93" i="7"/>
  <c r="V93" i="7"/>
  <c r="T93" i="7"/>
  <c r="N93" i="7"/>
  <c r="B50" i="17"/>
  <c r="I15" i="25"/>
  <c r="L10" i="8"/>
  <c r="E7" i="24" s="1"/>
  <c r="K30" i="15"/>
  <c r="K29" i="15"/>
  <c r="K28" i="15"/>
  <c r="D28" i="15"/>
  <c r="J26" i="15"/>
  <c r="I25" i="15"/>
  <c r="M24" i="15"/>
  <c r="H24" i="15"/>
  <c r="D24" i="15"/>
  <c r="I21" i="15"/>
  <c r="E21" i="15"/>
  <c r="G20" i="15"/>
  <c r="M15" i="15"/>
  <c r="G15" i="15"/>
  <c r="M14" i="15"/>
  <c r="H14" i="15"/>
  <c r="M13" i="15"/>
  <c r="G13" i="15"/>
  <c r="I12" i="15"/>
  <c r="F12" i="15"/>
  <c r="B12" i="15"/>
  <c r="E9" i="15"/>
  <c r="D8" i="15"/>
  <c r="J42" i="14"/>
  <c r="L39" i="14"/>
  <c r="K38" i="14"/>
  <c r="F38" i="14"/>
  <c r="C38" i="14"/>
  <c r="K37" i="14"/>
  <c r="D37" i="14"/>
  <c r="I36" i="14"/>
  <c r="F36" i="14"/>
  <c r="K31" i="14"/>
  <c r="M30" i="14"/>
  <c r="C30" i="14"/>
  <c r="D25" i="14"/>
  <c r="M23" i="14"/>
  <c r="I23" i="14"/>
  <c r="L22" i="14"/>
  <c r="G22" i="14"/>
  <c r="B22" i="14"/>
  <c r="I21" i="14"/>
  <c r="L20" i="14"/>
  <c r="F20" i="14"/>
  <c r="L19" i="14"/>
  <c r="H19" i="14"/>
  <c r="D19" i="14"/>
  <c r="J18" i="14"/>
  <c r="F18" i="14"/>
  <c r="I17" i="14"/>
  <c r="J16" i="14"/>
  <c r="D16" i="14"/>
  <c r="G15" i="14"/>
  <c r="B15" i="14"/>
  <c r="I12" i="14"/>
  <c r="C12" i="14"/>
  <c r="I11" i="14"/>
  <c r="B11" i="14"/>
  <c r="I10" i="14"/>
  <c r="C10" i="14"/>
  <c r="I9" i="14"/>
  <c r="M8" i="14"/>
  <c r="F8" i="14"/>
  <c r="M29" i="15"/>
  <c r="L29" i="15"/>
  <c r="L28" i="15"/>
  <c r="H28" i="15"/>
  <c r="E28" i="15"/>
  <c r="B28" i="15"/>
  <c r="M25" i="15"/>
  <c r="G25" i="15"/>
  <c r="C25" i="15"/>
  <c r="J24" i="15"/>
  <c r="F24" i="15"/>
  <c r="L21" i="15"/>
  <c r="F21" i="15"/>
  <c r="B21" i="15"/>
  <c r="J20" i="15"/>
  <c r="C20" i="15"/>
  <c r="F15" i="15"/>
  <c r="F14" i="15"/>
  <c r="D14" i="15"/>
  <c r="J13" i="15"/>
  <c r="E13" i="15"/>
  <c r="M12" i="15"/>
  <c r="G12" i="15"/>
  <c r="M9" i="15"/>
  <c r="H9" i="15"/>
  <c r="J8" i="15"/>
  <c r="F8" i="15"/>
  <c r="A51" i="14"/>
  <c r="K41" i="14"/>
  <c r="I38" i="14"/>
  <c r="E38" i="14"/>
  <c r="M37" i="14"/>
  <c r="F37" i="14"/>
  <c r="B37" i="14"/>
  <c r="J36" i="14"/>
  <c r="M35" i="14"/>
  <c r="L31" i="14"/>
  <c r="H31" i="14"/>
  <c r="E31" i="14"/>
  <c r="K30" i="14"/>
  <c r="D30" i="14"/>
  <c r="K25" i="14"/>
  <c r="H25" i="14"/>
  <c r="C25" i="14"/>
  <c r="K23" i="14"/>
  <c r="G23" i="14"/>
  <c r="K22" i="14"/>
  <c r="E22" i="14"/>
  <c r="L21" i="14"/>
  <c r="G21" i="14"/>
  <c r="C21" i="14"/>
  <c r="K20" i="14"/>
  <c r="K19" i="14"/>
  <c r="G19" i="14"/>
  <c r="B19" i="14"/>
  <c r="I18" i="14"/>
  <c r="C18" i="14"/>
  <c r="K17" i="14"/>
  <c r="H17" i="14"/>
  <c r="C17" i="14"/>
  <c r="M16" i="14"/>
  <c r="I16" i="14"/>
  <c r="C16" i="14"/>
  <c r="L15" i="14"/>
  <c r="M12" i="14"/>
  <c r="E12" i="14"/>
  <c r="H11" i="14"/>
  <c r="D11" i="14"/>
  <c r="L10" i="14"/>
  <c r="G10" i="14"/>
  <c r="B10" i="14"/>
  <c r="H9" i="14"/>
  <c r="D9" i="14"/>
  <c r="E8" i="14"/>
  <c r="M30" i="15"/>
  <c r="M28" i="15"/>
  <c r="G28" i="15"/>
  <c r="L26" i="15"/>
  <c r="K25" i="15"/>
  <c r="H25" i="15"/>
  <c r="L24" i="15"/>
  <c r="I24" i="15"/>
  <c r="C24" i="15"/>
  <c r="H21" i="15"/>
  <c r="M20" i="15"/>
  <c r="H20" i="15"/>
  <c r="E20" i="15"/>
  <c r="I15" i="15"/>
  <c r="C15" i="15"/>
  <c r="J14" i="15"/>
  <c r="B13" i="15"/>
  <c r="J12" i="15"/>
  <c r="D12" i="15"/>
  <c r="I9" i="15"/>
  <c r="D9" i="15"/>
  <c r="L8" i="15"/>
  <c r="G8" i="15"/>
  <c r="M41" i="14"/>
  <c r="J41" i="14"/>
  <c r="M38" i="14"/>
  <c r="G38" i="14"/>
  <c r="B38" i="14"/>
  <c r="D51" i="14" s="1"/>
  <c r="A54" i="14" s="1"/>
  <c r="G37" i="14"/>
  <c r="C37" i="14"/>
  <c r="G36" i="14"/>
  <c r="L35" i="14"/>
  <c r="J31" i="14"/>
  <c r="F31" i="14"/>
  <c r="B31" i="14"/>
  <c r="I30" i="14"/>
  <c r="F30" i="14"/>
  <c r="M25" i="14"/>
  <c r="I25" i="14"/>
  <c r="E25" i="14"/>
  <c r="K24" i="14"/>
  <c r="H23" i="14"/>
  <c r="C23" i="14"/>
  <c r="I22" i="14"/>
  <c r="C22" i="14"/>
  <c r="H21" i="14"/>
  <c r="B21" i="14"/>
  <c r="G20" i="14"/>
  <c r="E20" i="14"/>
  <c r="M19" i="14"/>
  <c r="F19" i="14"/>
  <c r="L18" i="14"/>
  <c r="E18" i="14"/>
  <c r="J17" i="14"/>
  <c r="G17" i="14"/>
  <c r="K16" i="14"/>
  <c r="E16" i="14"/>
  <c r="K15" i="14"/>
  <c r="D15" i="14"/>
  <c r="C15" i="14"/>
  <c r="H12" i="14"/>
  <c r="M11" i="14"/>
  <c r="F11" i="14"/>
  <c r="K10" i="14"/>
  <c r="E10" i="14"/>
  <c r="L9" i="14"/>
  <c r="F9" i="14"/>
  <c r="L8" i="14"/>
  <c r="H8" i="14"/>
  <c r="J30" i="15"/>
  <c r="J29" i="15"/>
  <c r="J28" i="15"/>
  <c r="C28" i="15"/>
  <c r="K26" i="15"/>
  <c r="J25" i="15"/>
  <c r="F25" i="15"/>
  <c r="D25" i="15"/>
  <c r="K24" i="15"/>
  <c r="E24" i="15"/>
  <c r="M21" i="15"/>
  <c r="G21" i="15"/>
  <c r="L20" i="15"/>
  <c r="L15" i="15"/>
  <c r="H15" i="15"/>
  <c r="B15" i="15"/>
  <c r="I14" i="15"/>
  <c r="L13" i="15"/>
  <c r="D13" i="15"/>
  <c r="K12" i="15"/>
  <c r="L9" i="15"/>
  <c r="G9" i="15"/>
  <c r="C9" i="15"/>
  <c r="I8" i="15"/>
  <c r="E8" i="15"/>
  <c r="L42" i="14"/>
  <c r="K39" i="14"/>
  <c r="H38" i="14"/>
  <c r="I37" i="14"/>
  <c r="K36" i="14"/>
  <c r="D36" i="14"/>
  <c r="J35" i="14"/>
  <c r="G31" i="14"/>
  <c r="C31" i="14"/>
  <c r="H30" i="14"/>
  <c r="B30" i="14"/>
  <c r="J25" i="14"/>
  <c r="M24" i="14"/>
  <c r="L23" i="14"/>
  <c r="E23" i="14"/>
  <c r="M22" i="14"/>
  <c r="F22" i="14"/>
  <c r="K21" i="14"/>
  <c r="E21" i="14"/>
  <c r="J20" i="14"/>
  <c r="D20" i="14"/>
  <c r="I19" i="14"/>
  <c r="M18" i="14"/>
  <c r="H18" i="14"/>
  <c r="B18" i="14"/>
  <c r="D17" i="14"/>
  <c r="B17" i="14"/>
  <c r="G16" i="14"/>
  <c r="M15" i="14"/>
  <c r="F15" i="14"/>
  <c r="K12" i="14"/>
  <c r="F12" i="14"/>
  <c r="L11" i="14"/>
  <c r="J11" i="14"/>
  <c r="E11" i="14"/>
  <c r="M10" i="14"/>
  <c r="F10" i="14"/>
  <c r="K9" i="14"/>
  <c r="E9" i="14"/>
  <c r="I8" i="14"/>
  <c r="C8" i="14"/>
  <c r="G24" i="15"/>
  <c r="J21" i="15"/>
  <c r="C21" i="15"/>
  <c r="I20" i="15"/>
  <c r="F20" i="15"/>
  <c r="K15" i="15"/>
  <c r="E15" i="15"/>
  <c r="L14" i="15"/>
  <c r="E14" i="15"/>
  <c r="B14" i="15"/>
  <c r="I13" i="15"/>
  <c r="C13" i="15"/>
  <c r="H12" i="15"/>
  <c r="E12" i="15"/>
  <c r="J9" i="15"/>
  <c r="M8" i="15"/>
  <c r="H8" i="15"/>
  <c r="M42" i="14"/>
  <c r="L41" i="14"/>
  <c r="M39" i="14"/>
  <c r="L38" i="14"/>
  <c r="D38" i="14"/>
  <c r="J37" i="14"/>
  <c r="E37" i="14"/>
  <c r="M36" i="14"/>
  <c r="E36" i="14"/>
  <c r="B36" i="14"/>
  <c r="M31" i="14"/>
  <c r="L30" i="14"/>
  <c r="E30" i="14"/>
  <c r="G25" i="14"/>
  <c r="B25" i="14"/>
  <c r="J24" i="14"/>
  <c r="J23" i="14"/>
  <c r="F23" i="14"/>
  <c r="B23" i="14"/>
  <c r="H22" i="14"/>
  <c r="M21" i="14"/>
  <c r="F21" i="14"/>
  <c r="M20" i="14"/>
  <c r="H20" i="14"/>
  <c r="B20" i="14"/>
  <c r="J19" i="14"/>
  <c r="C19" i="14"/>
  <c r="D18" i="14"/>
  <c r="L17" i="14"/>
  <c r="F17" i="14"/>
  <c r="L16" i="14"/>
  <c r="F16" i="14"/>
  <c r="J15" i="14"/>
  <c r="L12" i="14"/>
  <c r="D12" i="14"/>
  <c r="K11" i="14"/>
  <c r="C11" i="14"/>
  <c r="H10" i="14"/>
  <c r="M9" i="14"/>
  <c r="J9" i="14"/>
  <c r="C9" i="14"/>
  <c r="K8" i="14"/>
  <c r="G8" i="14"/>
  <c r="B8" i="14"/>
  <c r="L30" i="15"/>
  <c r="B29" i="15"/>
  <c r="I28" i="15"/>
  <c r="F28" i="15"/>
  <c r="M26" i="15"/>
  <c r="L25" i="15"/>
  <c r="E25" i="15"/>
  <c r="K21" i="15"/>
  <c r="D21" i="15"/>
  <c r="K20" i="15"/>
  <c r="D20" i="15"/>
  <c r="J15" i="15"/>
  <c r="D15" i="15"/>
  <c r="K14" i="15"/>
  <c r="G14" i="15"/>
  <c r="C14" i="15"/>
  <c r="K13" i="15"/>
  <c r="F13" i="15"/>
  <c r="L12" i="15"/>
  <c r="C12" i="15"/>
  <c r="K9" i="15"/>
  <c r="F9" i="15"/>
  <c r="K8" i="15"/>
  <c r="C8" i="15"/>
  <c r="K42" i="14"/>
  <c r="J39" i="14"/>
  <c r="J38" i="14"/>
  <c r="L37" i="14"/>
  <c r="H37" i="14"/>
  <c r="L36" i="14"/>
  <c r="H36" i="14"/>
  <c r="C36" i="14"/>
  <c r="K35" i="14"/>
  <c r="I31" i="14"/>
  <c r="D31" i="14"/>
  <c r="J30" i="14"/>
  <c r="G30" i="14"/>
  <c r="L25" i="14"/>
  <c r="F25" i="14"/>
  <c r="L24" i="14"/>
  <c r="D23" i="14"/>
  <c r="J22" i="14"/>
  <c r="D22" i="14"/>
  <c r="J21" i="14"/>
  <c r="D21" i="14"/>
  <c r="I20" i="14"/>
  <c r="C20" i="14"/>
  <c r="E19" i="14"/>
  <c r="K18" i="14"/>
  <c r="G18" i="14"/>
  <c r="M17" i="14"/>
  <c r="E17" i="14"/>
  <c r="H16" i="14"/>
  <c r="B16" i="14"/>
  <c r="E15" i="14"/>
  <c r="J12" i="14"/>
  <c r="G12" i="14"/>
  <c r="B12" i="14"/>
  <c r="G11" i="14"/>
  <c r="J10" i="14"/>
  <c r="D10" i="14"/>
  <c r="G9" i="14"/>
  <c r="B9" i="14"/>
  <c r="J8" i="14"/>
  <c r="D8" i="14"/>
  <c r="F15" i="25"/>
  <c r="G15" i="25" s="1"/>
  <c r="B48" i="17"/>
  <c r="J25" i="19"/>
  <c r="I25" i="19" s="1"/>
  <c r="B17" i="19"/>
  <c r="J26" i="19"/>
  <c r="I26" i="19" s="1"/>
  <c r="H49" i="19"/>
  <c r="G39" i="19"/>
  <c r="J27" i="19"/>
  <c r="I27" i="19" s="1"/>
  <c r="E21" i="19"/>
  <c r="B21" i="19"/>
  <c r="B18" i="19" s="1"/>
  <c r="G17" i="19"/>
  <c r="H44" i="19" s="1"/>
  <c r="E6" i="3"/>
  <c r="M5" i="12"/>
  <c r="E15" i="21"/>
  <c r="N15" i="15"/>
  <c r="J32" i="19"/>
  <c r="Q8" i="5"/>
  <c r="P8" i="5"/>
  <c r="Q7" i="5"/>
  <c r="I15" i="14" s="1"/>
  <c r="P7" i="5"/>
  <c r="E15" i="24" s="1"/>
  <c r="Q6" i="5"/>
  <c r="P6" i="5"/>
  <c r="F12" i="25"/>
  <c r="I12" i="25"/>
  <c r="B45" i="17"/>
  <c r="Z5" i="5"/>
  <c r="B30" i="17" s="1"/>
  <c r="B22" i="17"/>
  <c r="N21" i="15"/>
  <c r="F15" i="22"/>
  <c r="E15" i="22"/>
  <c r="D15" i="22"/>
  <c r="C15" i="22"/>
  <c r="M14" i="22"/>
  <c r="L14" i="22"/>
  <c r="K14" i="22"/>
  <c r="J14" i="22"/>
  <c r="I14" i="22"/>
  <c r="H14" i="22"/>
  <c r="G14" i="22"/>
  <c r="F14" i="22"/>
  <c r="E14" i="22"/>
  <c r="D14" i="22"/>
  <c r="C14" i="22"/>
  <c r="D16" i="22"/>
  <c r="M15" i="22"/>
  <c r="J15" i="22"/>
  <c r="H15" i="22"/>
  <c r="E16" i="22"/>
  <c r="C16" i="22"/>
  <c r="L15" i="22"/>
  <c r="K15" i="22"/>
  <c r="I15" i="22"/>
  <c r="G15" i="22"/>
  <c r="M18" i="22"/>
  <c r="M43" i="14" s="1"/>
  <c r="N43" i="14" s="1"/>
  <c r="L18" i="22"/>
  <c r="L43" i="14" s="1"/>
  <c r="K18" i="22"/>
  <c r="K43" i="14" s="1"/>
  <c r="J18" i="22"/>
  <c r="J43" i="14" s="1"/>
  <c r="M16" i="22"/>
  <c r="L16" i="22"/>
  <c r="K16" i="22"/>
  <c r="J16" i="22"/>
  <c r="I16" i="22"/>
  <c r="H16" i="22"/>
  <c r="G16" i="22"/>
  <c r="F16" i="22"/>
  <c r="A67" i="13"/>
  <c r="A66" i="13"/>
  <c r="A65" i="13"/>
  <c r="A64" i="13"/>
  <c r="A63" i="13"/>
  <c r="A62" i="13"/>
  <c r="A61" i="13"/>
  <c r="A60" i="13"/>
  <c r="M19" i="22"/>
  <c r="L19" i="22"/>
  <c r="K19" i="22"/>
  <c r="J19" i="22"/>
  <c r="B25" i="15"/>
  <c r="N23" i="11"/>
  <c r="M21" i="11"/>
  <c r="L21" i="11"/>
  <c r="K21" i="11"/>
  <c r="J21" i="11"/>
  <c r="I21" i="11"/>
  <c r="H21" i="11"/>
  <c r="G21" i="11"/>
  <c r="F21" i="11"/>
  <c r="E21" i="11"/>
  <c r="D21" i="11"/>
  <c r="C21" i="11"/>
  <c r="M20" i="11"/>
  <c r="L20" i="11"/>
  <c r="K20" i="11"/>
  <c r="J20" i="11"/>
  <c r="I20" i="11"/>
  <c r="H20" i="11"/>
  <c r="G20" i="11"/>
  <c r="F20" i="11"/>
  <c r="E20" i="11"/>
  <c r="D20" i="11"/>
  <c r="C20" i="11"/>
  <c r="M19" i="11"/>
  <c r="L19" i="11"/>
  <c r="K19" i="11"/>
  <c r="J19" i="11"/>
  <c r="I19" i="11"/>
  <c r="H19" i="11"/>
  <c r="G19" i="11"/>
  <c r="F19" i="11"/>
  <c r="E19" i="11"/>
  <c r="D19" i="11"/>
  <c r="C19" i="11"/>
  <c r="B19" i="11"/>
  <c r="M18" i="11"/>
  <c r="L18" i="11"/>
  <c r="K18" i="11"/>
  <c r="J18" i="11"/>
  <c r="I18" i="11"/>
  <c r="H18" i="11"/>
  <c r="G18" i="11"/>
  <c r="F18" i="11"/>
  <c r="E18" i="11"/>
  <c r="D18" i="11"/>
  <c r="C18" i="11"/>
  <c r="E4" i="2"/>
  <c r="E36" i="2"/>
  <c r="L9" i="8"/>
  <c r="B47" i="17"/>
  <c r="B29" i="17"/>
  <c r="A6" i="25"/>
  <c r="F10" i="25"/>
  <c r="G10" i="25" s="1"/>
  <c r="B44" i="17"/>
  <c r="I10" i="25"/>
  <c r="B42" i="17"/>
  <c r="E18" i="24"/>
  <c r="L8" i="8"/>
  <c r="L5" i="8"/>
  <c r="S5" i="8" s="1"/>
  <c r="L6" i="8"/>
  <c r="S6" i="8" s="1"/>
  <c r="F18" i="25"/>
  <c r="B53" i="17"/>
  <c r="B24" i="17"/>
  <c r="B25" i="17"/>
  <c r="B8" i="15"/>
  <c r="B9" i="15"/>
  <c r="B20" i="15"/>
  <c r="B24" i="15"/>
  <c r="A69" i="13"/>
  <c r="A68" i="13"/>
  <c r="H132" i="26"/>
  <c r="C132" i="26"/>
  <c r="B132" i="26"/>
  <c r="H131" i="26"/>
  <c r="C131" i="26"/>
  <c r="B131" i="26"/>
  <c r="H130" i="26"/>
  <c r="C130" i="26"/>
  <c r="B130" i="26"/>
  <c r="H129" i="26"/>
  <c r="C129" i="26"/>
  <c r="B129" i="26"/>
  <c r="H128" i="26"/>
  <c r="C128" i="26"/>
  <c r="B128" i="26"/>
  <c r="H127" i="26"/>
  <c r="C127" i="26"/>
  <c r="B127" i="26"/>
  <c r="H126" i="26"/>
  <c r="C126" i="26"/>
  <c r="B126" i="26"/>
  <c r="H125" i="26"/>
  <c r="C125" i="26"/>
  <c r="B125" i="26"/>
  <c r="H124" i="26"/>
  <c r="C124" i="26"/>
  <c r="B124" i="26"/>
  <c r="H123" i="26"/>
  <c r="C123" i="26"/>
  <c r="B123" i="26"/>
  <c r="H122" i="26"/>
  <c r="C122" i="26"/>
  <c r="B122" i="26"/>
  <c r="H121" i="26"/>
  <c r="C121" i="26"/>
  <c r="B121" i="26"/>
  <c r="H120" i="26"/>
  <c r="C120" i="26"/>
  <c r="B120" i="26"/>
  <c r="H119" i="26"/>
  <c r="C119" i="26"/>
  <c r="B119" i="26"/>
  <c r="H118" i="26"/>
  <c r="C118" i="26"/>
  <c r="B118" i="26"/>
  <c r="H117" i="26"/>
  <c r="C117" i="26"/>
  <c r="B117" i="26"/>
  <c r="H116" i="26"/>
  <c r="C116" i="26"/>
  <c r="B116" i="26"/>
  <c r="H115" i="26"/>
  <c r="C115" i="26"/>
  <c r="B115" i="26"/>
  <c r="H114" i="26"/>
  <c r="C114" i="26"/>
  <c r="B114" i="26"/>
  <c r="H113" i="26"/>
  <c r="C113" i="26"/>
  <c r="B113" i="26"/>
  <c r="H112" i="26"/>
  <c r="C112" i="26"/>
  <c r="B112" i="26"/>
  <c r="H111" i="26"/>
  <c r="C111" i="26"/>
  <c r="B111" i="26"/>
  <c r="H110" i="26"/>
  <c r="C110" i="26"/>
  <c r="B110" i="26"/>
  <c r="H109" i="26"/>
  <c r="C109" i="26"/>
  <c r="B109" i="26"/>
  <c r="H108" i="26"/>
  <c r="C108" i="26"/>
  <c r="B108" i="26"/>
  <c r="H107" i="26"/>
  <c r="C107" i="26"/>
  <c r="B107" i="26"/>
  <c r="H106" i="26"/>
  <c r="C106" i="26"/>
  <c r="B106" i="26"/>
  <c r="H105" i="26"/>
  <c r="C105" i="26"/>
  <c r="B105" i="26"/>
  <c r="H104" i="26"/>
  <c r="C104" i="26"/>
  <c r="B104" i="26"/>
  <c r="H103" i="26"/>
  <c r="C103" i="26"/>
  <c r="B103" i="26"/>
  <c r="H102" i="26"/>
  <c r="C102" i="26"/>
  <c r="B102" i="26"/>
  <c r="H101" i="26"/>
  <c r="C101" i="26"/>
  <c r="B101" i="26"/>
  <c r="H100" i="26"/>
  <c r="C100" i="26"/>
  <c r="B100" i="26"/>
  <c r="H99" i="26"/>
  <c r="C99" i="26"/>
  <c r="B99" i="26"/>
  <c r="H98" i="26"/>
  <c r="C98" i="26"/>
  <c r="B98" i="26"/>
  <c r="H97" i="26"/>
  <c r="C97" i="26"/>
  <c r="B97" i="26"/>
  <c r="H96" i="26"/>
  <c r="C96" i="26"/>
  <c r="B96" i="26"/>
  <c r="H95" i="26"/>
  <c r="C95" i="26"/>
  <c r="B95" i="26"/>
  <c r="H94" i="26"/>
  <c r="C94" i="26"/>
  <c r="B94" i="26"/>
  <c r="H93" i="26"/>
  <c r="C93" i="26"/>
  <c r="B93" i="26"/>
  <c r="H92" i="26"/>
  <c r="C92" i="26"/>
  <c r="B92" i="26"/>
  <c r="H91" i="26"/>
  <c r="C91" i="26"/>
  <c r="B91" i="26"/>
  <c r="H90" i="26"/>
  <c r="C90" i="26"/>
  <c r="B90" i="26"/>
  <c r="H89" i="26"/>
  <c r="C89" i="26"/>
  <c r="B89" i="26"/>
  <c r="H88" i="26"/>
  <c r="C88" i="26"/>
  <c r="B88" i="26"/>
  <c r="H87" i="26"/>
  <c r="C87" i="26"/>
  <c r="B87" i="26"/>
  <c r="H86" i="26"/>
  <c r="C86" i="26"/>
  <c r="B86" i="26"/>
  <c r="H85" i="26"/>
  <c r="C85" i="26"/>
  <c r="B85" i="26"/>
  <c r="H84" i="26"/>
  <c r="C84" i="26"/>
  <c r="B84" i="26"/>
  <c r="H83" i="26"/>
  <c r="C83" i="26"/>
  <c r="B83" i="26"/>
  <c r="H82" i="26"/>
  <c r="C82" i="26"/>
  <c r="B82" i="26"/>
  <c r="H81" i="26"/>
  <c r="C81" i="26"/>
  <c r="B81" i="26"/>
  <c r="H80" i="26"/>
  <c r="C80" i="26"/>
  <c r="B80" i="26"/>
  <c r="H79" i="26"/>
  <c r="C79" i="26"/>
  <c r="B79" i="26"/>
  <c r="H78" i="26"/>
  <c r="C78" i="26"/>
  <c r="B78" i="26"/>
  <c r="H77" i="26"/>
  <c r="C77" i="26"/>
  <c r="B77" i="26"/>
  <c r="H76" i="26"/>
  <c r="C76" i="26"/>
  <c r="B76" i="26"/>
  <c r="H75" i="26"/>
  <c r="C75" i="26"/>
  <c r="B75" i="26"/>
  <c r="H74" i="26"/>
  <c r="C74" i="26"/>
  <c r="B74" i="26"/>
  <c r="H73" i="26"/>
  <c r="C73" i="26"/>
  <c r="B73" i="26"/>
  <c r="H72" i="26"/>
  <c r="C72" i="26"/>
  <c r="B72" i="26"/>
  <c r="H71" i="26"/>
  <c r="C71" i="26"/>
  <c r="B71" i="26"/>
  <c r="H70" i="26"/>
  <c r="C70" i="26"/>
  <c r="B70" i="26"/>
  <c r="H69" i="26"/>
  <c r="C69" i="26"/>
  <c r="B69" i="26"/>
  <c r="H68" i="26"/>
  <c r="C68" i="26"/>
  <c r="B68" i="26"/>
  <c r="H67" i="26"/>
  <c r="C67" i="26"/>
  <c r="B67" i="26"/>
  <c r="H66" i="26"/>
  <c r="C66" i="26"/>
  <c r="B66" i="26"/>
  <c r="H65" i="26"/>
  <c r="C65" i="26"/>
  <c r="B65" i="26"/>
  <c r="H64" i="26"/>
  <c r="C64" i="26"/>
  <c r="B64" i="26"/>
  <c r="H63" i="26"/>
  <c r="C63" i="26"/>
  <c r="B63" i="26"/>
  <c r="H62" i="26"/>
  <c r="C62" i="26"/>
  <c r="B62" i="26"/>
  <c r="H61" i="26"/>
  <c r="C61" i="26"/>
  <c r="B61" i="26"/>
  <c r="H60" i="26"/>
  <c r="C60" i="26"/>
  <c r="B60" i="26"/>
  <c r="H59" i="26"/>
  <c r="C59" i="26"/>
  <c r="B59" i="26"/>
  <c r="H58" i="26"/>
  <c r="C58" i="26"/>
  <c r="B58" i="26"/>
  <c r="H57" i="26"/>
  <c r="C57" i="26"/>
  <c r="B57" i="26"/>
  <c r="H56" i="26"/>
  <c r="C56" i="26"/>
  <c r="B56" i="26"/>
  <c r="H55" i="26"/>
  <c r="C55" i="26"/>
  <c r="B55" i="26"/>
  <c r="H54" i="26"/>
  <c r="C54" i="26"/>
  <c r="B54" i="26"/>
  <c r="H53" i="26"/>
  <c r="C53" i="26"/>
  <c r="B53" i="26"/>
  <c r="H52" i="26"/>
  <c r="C52" i="26"/>
  <c r="B52" i="26"/>
  <c r="H51" i="26"/>
  <c r="C51" i="26"/>
  <c r="B51" i="26"/>
  <c r="H50" i="26"/>
  <c r="C50" i="26"/>
  <c r="B50" i="26"/>
  <c r="H49" i="26"/>
  <c r="C49" i="26"/>
  <c r="B49" i="26"/>
  <c r="H48" i="26"/>
  <c r="C48" i="26"/>
  <c r="B48" i="26"/>
  <c r="H47" i="26"/>
  <c r="C47" i="26"/>
  <c r="B47" i="26"/>
  <c r="H46" i="26"/>
  <c r="C46" i="26"/>
  <c r="B46" i="26"/>
  <c r="H45" i="26"/>
  <c r="C45" i="26"/>
  <c r="B45" i="26"/>
  <c r="H44" i="26"/>
  <c r="C44" i="26"/>
  <c r="B44" i="26"/>
  <c r="H43" i="26"/>
  <c r="C43" i="26"/>
  <c r="B43" i="26"/>
  <c r="H42" i="26"/>
  <c r="C42" i="26"/>
  <c r="B42" i="26"/>
  <c r="H41" i="26"/>
  <c r="C41" i="26"/>
  <c r="B41" i="26"/>
  <c r="H40" i="26"/>
  <c r="C40" i="26"/>
  <c r="B40" i="26"/>
  <c r="H39" i="26"/>
  <c r="C39" i="26"/>
  <c r="B39" i="26"/>
  <c r="H38" i="26"/>
  <c r="C38" i="26"/>
  <c r="B38" i="26"/>
  <c r="H37" i="26"/>
  <c r="C37" i="26"/>
  <c r="B37" i="26"/>
  <c r="H36" i="26"/>
  <c r="C36" i="26"/>
  <c r="B36" i="26"/>
  <c r="H35" i="26"/>
  <c r="C35" i="26"/>
  <c r="B35" i="26"/>
  <c r="H34" i="26"/>
  <c r="C34" i="26"/>
  <c r="B34" i="26"/>
  <c r="C33" i="26"/>
  <c r="H33" i="26" s="1"/>
  <c r="B33" i="26"/>
  <c r="C29" i="26"/>
  <c r="B57" i="17"/>
  <c r="B16" i="22"/>
  <c r="A16" i="22"/>
  <c r="H8" i="22"/>
  <c r="G8" i="22"/>
  <c r="F8" i="22"/>
  <c r="B15" i="22"/>
  <c r="A15" i="22"/>
  <c r="H7" i="22"/>
  <c r="G7" i="22"/>
  <c r="F7" i="22"/>
  <c r="B14" i="22"/>
  <c r="A14" i="22"/>
  <c r="F6" i="22"/>
  <c r="F9" i="22" s="1"/>
  <c r="H6" i="22"/>
  <c r="H9" i="22" s="1"/>
  <c r="G6" i="22"/>
  <c r="G9" i="22" s="1"/>
  <c r="B114" i="21"/>
  <c r="I114" i="21"/>
  <c r="J114" i="21"/>
  <c r="F114" i="21"/>
  <c r="G114" i="21"/>
  <c r="E114" i="21"/>
  <c r="H114" i="21"/>
  <c r="D114" i="21"/>
  <c r="C114" i="21"/>
  <c r="C113" i="21"/>
  <c r="B113" i="21"/>
  <c r="J113" i="21"/>
  <c r="I113" i="21"/>
  <c r="H113" i="21"/>
  <c r="G113" i="21"/>
  <c r="F113" i="21"/>
  <c r="E113" i="21"/>
  <c r="D113" i="21"/>
  <c r="C112" i="21"/>
  <c r="G112" i="21"/>
  <c r="F112" i="21"/>
  <c r="E112" i="21"/>
  <c r="D112" i="21"/>
  <c r="B112" i="21"/>
  <c r="J112" i="21"/>
  <c r="I112" i="21"/>
  <c r="H112" i="21"/>
  <c r="H111" i="21"/>
  <c r="J111" i="21"/>
  <c r="I111" i="21"/>
  <c r="G111" i="21"/>
  <c r="F111" i="21"/>
  <c r="E111" i="21"/>
  <c r="D111" i="21"/>
  <c r="C111" i="21"/>
  <c r="B111" i="21"/>
  <c r="B110" i="21"/>
  <c r="C110" i="21"/>
  <c r="J110" i="21"/>
  <c r="I110" i="21"/>
  <c r="H110" i="21"/>
  <c r="G110" i="21"/>
  <c r="F110" i="21"/>
  <c r="E110" i="21"/>
  <c r="D110" i="21"/>
  <c r="G109" i="21"/>
  <c r="H109" i="21"/>
  <c r="I109" i="21"/>
  <c r="J109" i="21"/>
  <c r="F109" i="21"/>
  <c r="B109" i="21"/>
  <c r="C109" i="21"/>
  <c r="D109" i="21"/>
  <c r="E109" i="21"/>
  <c r="J108" i="21"/>
  <c r="I108" i="21"/>
  <c r="H108" i="21"/>
  <c r="G108" i="21"/>
  <c r="F108" i="21"/>
  <c r="E108" i="21"/>
  <c r="D108" i="21"/>
  <c r="C108" i="21"/>
  <c r="B108" i="21"/>
  <c r="D107" i="21"/>
  <c r="J107" i="21"/>
  <c r="I107" i="21"/>
  <c r="H107" i="21"/>
  <c r="G107" i="21"/>
  <c r="F107" i="21"/>
  <c r="E107" i="21"/>
  <c r="C107" i="21"/>
  <c r="B107" i="21"/>
  <c r="B106" i="21"/>
  <c r="C106" i="21"/>
  <c r="J106" i="21"/>
  <c r="I106" i="21"/>
  <c r="H106" i="21"/>
  <c r="G106" i="21"/>
  <c r="F106" i="21"/>
  <c r="E106" i="21"/>
  <c r="D106" i="21"/>
  <c r="I105" i="21"/>
  <c r="J105" i="21"/>
  <c r="C105" i="21"/>
  <c r="B105" i="21"/>
  <c r="D105" i="21"/>
  <c r="E105" i="21"/>
  <c r="F105" i="21"/>
  <c r="G105" i="21"/>
  <c r="H105" i="21"/>
  <c r="C104" i="21"/>
  <c r="B104" i="21"/>
  <c r="J104" i="21"/>
  <c r="I104" i="21"/>
  <c r="H104" i="21"/>
  <c r="G104" i="21"/>
  <c r="F104" i="21"/>
  <c r="E104" i="21"/>
  <c r="D104" i="21"/>
  <c r="B103" i="21"/>
  <c r="J103" i="21"/>
  <c r="I103" i="21"/>
  <c r="H103" i="21"/>
  <c r="G103" i="21"/>
  <c r="F103" i="21"/>
  <c r="E103" i="21"/>
  <c r="D103" i="21"/>
  <c r="C103" i="21"/>
  <c r="C102" i="21"/>
  <c r="B102" i="21"/>
  <c r="J102" i="21"/>
  <c r="I102" i="21"/>
  <c r="H102" i="21"/>
  <c r="G102" i="21"/>
  <c r="F102" i="21"/>
  <c r="E102" i="21"/>
  <c r="D102" i="21"/>
  <c r="D101" i="21"/>
  <c r="J101" i="21"/>
  <c r="I101" i="21"/>
  <c r="H101" i="21"/>
  <c r="G101" i="21"/>
  <c r="F101" i="21"/>
  <c r="E101" i="21"/>
  <c r="C101" i="21"/>
  <c r="B101" i="21"/>
  <c r="E100" i="21"/>
  <c r="J100" i="21"/>
  <c r="D100" i="21"/>
  <c r="G100" i="21"/>
  <c r="C100" i="21"/>
  <c r="H100" i="21"/>
  <c r="F100" i="21"/>
  <c r="B100" i="21"/>
  <c r="I100" i="21"/>
  <c r="B99" i="21"/>
  <c r="F99" i="21"/>
  <c r="I99" i="21"/>
  <c r="E99" i="21"/>
  <c r="J99" i="21"/>
  <c r="H99" i="21"/>
  <c r="D99" i="21"/>
  <c r="G99" i="21"/>
  <c r="C99" i="21"/>
  <c r="F98" i="21"/>
  <c r="I98" i="21"/>
  <c r="J98" i="21"/>
  <c r="D98" i="21"/>
  <c r="G98" i="21"/>
  <c r="C98" i="21"/>
  <c r="B98" i="21"/>
  <c r="H98" i="21"/>
  <c r="E98" i="21"/>
  <c r="D97" i="21"/>
  <c r="I97" i="21"/>
  <c r="E97" i="21"/>
  <c r="C97" i="21"/>
  <c r="F97" i="21"/>
  <c r="H97" i="21"/>
  <c r="B97" i="21"/>
  <c r="J97" i="21"/>
  <c r="G97" i="21"/>
  <c r="D96" i="21"/>
  <c r="B96" i="21"/>
  <c r="C96" i="21"/>
  <c r="I96" i="21"/>
  <c r="E96" i="21"/>
  <c r="G96" i="21"/>
  <c r="H96" i="21"/>
  <c r="J96" i="21"/>
  <c r="F96" i="21"/>
  <c r="I95" i="21"/>
  <c r="D95" i="21"/>
  <c r="C95" i="21"/>
  <c r="H95" i="21"/>
  <c r="F95" i="21"/>
  <c r="G95" i="21"/>
  <c r="J95" i="21"/>
  <c r="E95" i="21"/>
  <c r="B95" i="21"/>
  <c r="J94" i="21"/>
  <c r="F94" i="21"/>
  <c r="C94" i="21"/>
  <c r="H94" i="21"/>
  <c r="G94" i="21"/>
  <c r="B94" i="21"/>
  <c r="E94" i="21"/>
  <c r="I94" i="21"/>
  <c r="D94" i="21"/>
  <c r="B93" i="21"/>
  <c r="E93" i="21"/>
  <c r="C93" i="21"/>
  <c r="H93" i="21"/>
  <c r="J93" i="21"/>
  <c r="G93" i="21"/>
  <c r="D93" i="21"/>
  <c r="I93" i="21"/>
  <c r="F93" i="21"/>
  <c r="B92" i="21"/>
  <c r="E92" i="21"/>
  <c r="J92" i="21"/>
  <c r="I92" i="21"/>
  <c r="C92" i="21"/>
  <c r="H92" i="21"/>
  <c r="G92" i="21"/>
  <c r="D92" i="21"/>
  <c r="F92" i="21"/>
  <c r="I91" i="21"/>
  <c r="J91" i="21"/>
  <c r="D91" i="21"/>
  <c r="G91" i="21"/>
  <c r="H91" i="21"/>
  <c r="E91" i="21"/>
  <c r="B91" i="21"/>
  <c r="C91" i="21"/>
  <c r="F91" i="21"/>
  <c r="G90" i="21"/>
  <c r="C90" i="21"/>
  <c r="D90" i="21"/>
  <c r="I90" i="21"/>
  <c r="B90" i="21"/>
  <c r="E90" i="21"/>
  <c r="J90" i="21"/>
  <c r="F90" i="21"/>
  <c r="H90" i="21"/>
  <c r="B89" i="21"/>
  <c r="D89" i="21"/>
  <c r="J89" i="21"/>
  <c r="C89" i="21"/>
  <c r="G89" i="21"/>
  <c r="I89" i="21"/>
  <c r="F89" i="21"/>
  <c r="H89" i="21"/>
  <c r="E89" i="21"/>
  <c r="B88" i="21"/>
  <c r="E88" i="21"/>
  <c r="H88" i="21"/>
  <c r="G88" i="21"/>
  <c r="F88" i="21"/>
  <c r="D88" i="21"/>
  <c r="J88" i="21"/>
  <c r="C88" i="21"/>
  <c r="I88" i="21"/>
  <c r="J87" i="21"/>
  <c r="B87" i="21"/>
  <c r="F87" i="21"/>
  <c r="D87" i="21"/>
  <c r="E87" i="21"/>
  <c r="H87" i="21"/>
  <c r="C87" i="21"/>
  <c r="G87" i="21"/>
  <c r="I87" i="21"/>
  <c r="F86" i="21"/>
  <c r="C86" i="21"/>
  <c r="D86" i="21"/>
  <c r="B86" i="21"/>
  <c r="E86" i="21"/>
  <c r="H86" i="21"/>
  <c r="G86" i="21"/>
  <c r="I86" i="21"/>
  <c r="J86" i="21"/>
  <c r="F85" i="21"/>
  <c r="I85" i="21"/>
  <c r="G85" i="21"/>
  <c r="E85" i="21"/>
  <c r="H85" i="21"/>
  <c r="C85" i="21"/>
  <c r="J85" i="21"/>
  <c r="B85" i="21"/>
  <c r="D85" i="21"/>
  <c r="J84" i="21"/>
  <c r="C84" i="21"/>
  <c r="E84" i="21"/>
  <c r="H84" i="21"/>
  <c r="I84" i="21"/>
  <c r="G84" i="21"/>
  <c r="D84" i="21"/>
  <c r="B84" i="21"/>
  <c r="F84" i="21"/>
  <c r="C83" i="21"/>
  <c r="F83" i="21"/>
  <c r="I83" i="21"/>
  <c r="E83" i="21"/>
  <c r="B83" i="21"/>
  <c r="D83" i="21"/>
  <c r="G83" i="21"/>
  <c r="J83" i="21"/>
  <c r="H83" i="21"/>
  <c r="D82" i="21"/>
  <c r="E82" i="21"/>
  <c r="H82" i="21"/>
  <c r="I82" i="21"/>
  <c r="J82" i="21"/>
  <c r="B82" i="21"/>
  <c r="F82" i="21"/>
  <c r="G82" i="21"/>
  <c r="C82" i="21"/>
  <c r="C81" i="21"/>
  <c r="F81" i="21"/>
  <c r="D81" i="21"/>
  <c r="J81" i="21"/>
  <c r="H81" i="21"/>
  <c r="G81" i="21"/>
  <c r="B81" i="21"/>
  <c r="E81" i="21"/>
  <c r="I81" i="21"/>
  <c r="B80" i="21"/>
  <c r="E80" i="21"/>
  <c r="I80" i="21"/>
  <c r="J80" i="21"/>
  <c r="F80" i="21"/>
  <c r="C80" i="21"/>
  <c r="H80" i="21"/>
  <c r="D80" i="21"/>
  <c r="G80" i="21"/>
  <c r="D79" i="21"/>
  <c r="I79" i="21"/>
  <c r="H79" i="21"/>
  <c r="E79" i="21"/>
  <c r="C79" i="21"/>
  <c r="F79" i="21"/>
  <c r="G79" i="21"/>
  <c r="J79" i="21"/>
  <c r="B79" i="21"/>
  <c r="G78" i="21"/>
  <c r="I78" i="21"/>
  <c r="C78" i="21"/>
  <c r="D78" i="21"/>
  <c r="J78" i="21"/>
  <c r="H78" i="21"/>
  <c r="F78" i="21"/>
  <c r="B78" i="21"/>
  <c r="E78" i="21"/>
  <c r="B77" i="21"/>
  <c r="H77" i="21"/>
  <c r="F77" i="21"/>
  <c r="C77" i="21"/>
  <c r="E77" i="21"/>
  <c r="D77" i="21"/>
  <c r="J77" i="21"/>
  <c r="I77" i="21"/>
  <c r="G77" i="21"/>
  <c r="I76" i="21"/>
  <c r="G76" i="21"/>
  <c r="D76" i="21"/>
  <c r="E76" i="21"/>
  <c r="B76" i="21"/>
  <c r="F76" i="21"/>
  <c r="C76" i="21"/>
  <c r="J76" i="21"/>
  <c r="H76" i="21"/>
  <c r="I75" i="21"/>
  <c r="E75" i="21"/>
  <c r="C75" i="21"/>
  <c r="B75" i="21"/>
  <c r="J75" i="21"/>
  <c r="H75" i="21"/>
  <c r="F75" i="21"/>
  <c r="G75" i="21"/>
  <c r="D75" i="21"/>
  <c r="I74" i="21"/>
  <c r="D74" i="21"/>
  <c r="B74" i="21"/>
  <c r="G74" i="21"/>
  <c r="J74" i="21"/>
  <c r="H74" i="21"/>
  <c r="E74" i="21"/>
  <c r="C74" i="21"/>
  <c r="F74" i="21"/>
  <c r="G73" i="21"/>
  <c r="D73" i="21"/>
  <c r="I73" i="21"/>
  <c r="C73" i="21"/>
  <c r="B73" i="21"/>
  <c r="F73" i="21"/>
  <c r="E73" i="21"/>
  <c r="J73" i="21"/>
  <c r="H73" i="21"/>
  <c r="C72" i="21"/>
  <c r="E72" i="21"/>
  <c r="D72" i="21"/>
  <c r="G72" i="21"/>
  <c r="H72" i="21"/>
  <c r="B72" i="21"/>
  <c r="F72" i="21"/>
  <c r="E71" i="21"/>
  <c r="J71" i="21"/>
  <c r="C71" i="21"/>
  <c r="D71" i="21"/>
  <c r="B71" i="21"/>
  <c r="H71" i="21"/>
  <c r="I71" i="21"/>
  <c r="F71" i="21"/>
  <c r="G71" i="21"/>
  <c r="H70" i="21"/>
  <c r="I70" i="21"/>
  <c r="J70" i="21"/>
  <c r="D70" i="21"/>
  <c r="G70" i="21"/>
  <c r="F70" i="21"/>
  <c r="E70" i="21"/>
  <c r="C70" i="21"/>
  <c r="B70" i="21"/>
  <c r="B69" i="21"/>
  <c r="J69" i="21"/>
  <c r="I69" i="21"/>
  <c r="H69" i="21"/>
  <c r="G69" i="21"/>
  <c r="F69" i="21"/>
  <c r="E69" i="21"/>
  <c r="D69" i="21"/>
  <c r="C69" i="21"/>
  <c r="H68" i="21"/>
  <c r="B68" i="21"/>
  <c r="C68" i="21"/>
  <c r="D68" i="21"/>
  <c r="E68" i="21"/>
  <c r="F68" i="21"/>
  <c r="G68" i="21"/>
  <c r="I68" i="21"/>
  <c r="J68" i="21"/>
  <c r="C67" i="21"/>
  <c r="H67" i="21"/>
  <c r="B67" i="21"/>
  <c r="E67" i="21"/>
  <c r="J67" i="21"/>
  <c r="I67" i="21"/>
  <c r="G67" i="21"/>
  <c r="F67" i="21"/>
  <c r="D67" i="21"/>
  <c r="B66" i="21"/>
  <c r="C66" i="21"/>
  <c r="D66" i="21"/>
  <c r="E66" i="21"/>
  <c r="G66" i="21"/>
  <c r="H66" i="21"/>
  <c r="I66" i="21"/>
  <c r="J66" i="21"/>
  <c r="F66" i="21"/>
  <c r="J65" i="21"/>
  <c r="I65" i="21"/>
  <c r="G65" i="21"/>
  <c r="F65" i="21"/>
  <c r="E65" i="21"/>
  <c r="C65" i="21"/>
  <c r="D65" i="21"/>
  <c r="B65" i="21"/>
  <c r="H65" i="21"/>
  <c r="J64" i="21"/>
  <c r="I64" i="21"/>
  <c r="H64" i="21"/>
  <c r="G64" i="21"/>
  <c r="E64" i="21"/>
  <c r="D64" i="21"/>
  <c r="C64" i="21"/>
  <c r="B64" i="21"/>
  <c r="F64" i="21"/>
  <c r="J63" i="21"/>
  <c r="I63" i="21"/>
  <c r="H63" i="21"/>
  <c r="G63" i="21"/>
  <c r="F63" i="21"/>
  <c r="E63" i="21"/>
  <c r="D63" i="21"/>
  <c r="C63" i="21"/>
  <c r="B63" i="21"/>
  <c r="J62" i="21"/>
  <c r="I62" i="21"/>
  <c r="H62" i="21"/>
  <c r="G62" i="21"/>
  <c r="F62" i="21"/>
  <c r="E62" i="21"/>
  <c r="D62" i="21"/>
  <c r="C62" i="21"/>
  <c r="B62" i="21"/>
  <c r="G61" i="21"/>
  <c r="H61" i="21"/>
  <c r="I61" i="21"/>
  <c r="J61" i="21"/>
  <c r="C61" i="21"/>
  <c r="B61" i="21"/>
  <c r="D61" i="21"/>
  <c r="E61" i="21"/>
  <c r="F61" i="21"/>
  <c r="C60" i="21"/>
  <c r="B60" i="21"/>
  <c r="J60" i="21"/>
  <c r="I60" i="21"/>
  <c r="G60" i="21"/>
  <c r="F60" i="21"/>
  <c r="H60" i="21"/>
  <c r="E60" i="21"/>
  <c r="D60" i="21"/>
  <c r="J59" i="21"/>
  <c r="I59" i="21"/>
  <c r="H59" i="21"/>
  <c r="G59" i="21"/>
  <c r="F59" i="21"/>
  <c r="E59" i="21"/>
  <c r="B59" i="21"/>
  <c r="D59" i="21"/>
  <c r="C59" i="21"/>
  <c r="J58" i="21"/>
  <c r="I58" i="21"/>
  <c r="H58" i="21"/>
  <c r="G58" i="21"/>
  <c r="F58" i="21"/>
  <c r="E58" i="21"/>
  <c r="D58" i="21"/>
  <c r="C58" i="21"/>
  <c r="B58" i="21"/>
  <c r="G57" i="21"/>
  <c r="J57" i="21"/>
  <c r="E57" i="21"/>
  <c r="D57" i="21"/>
  <c r="C57" i="21"/>
  <c r="B57" i="21"/>
  <c r="I57" i="21"/>
  <c r="H57" i="21"/>
  <c r="F57" i="21"/>
  <c r="G56" i="21"/>
  <c r="B56" i="21"/>
  <c r="C56" i="21"/>
  <c r="J56" i="21"/>
  <c r="I56" i="21"/>
  <c r="H56" i="21"/>
  <c r="F56" i="21"/>
  <c r="E56" i="21"/>
  <c r="D56" i="21"/>
  <c r="H55" i="21"/>
  <c r="G55" i="21"/>
  <c r="D55" i="21"/>
  <c r="B55" i="21"/>
  <c r="C55" i="21"/>
  <c r="F55" i="21"/>
  <c r="E55" i="21"/>
  <c r="I55" i="21"/>
  <c r="J55" i="21"/>
  <c r="G54" i="21"/>
  <c r="F54" i="21"/>
  <c r="E54" i="21"/>
  <c r="D54" i="21"/>
  <c r="C54" i="21"/>
  <c r="B54" i="21"/>
  <c r="J54" i="21"/>
  <c r="I54" i="21"/>
  <c r="H54" i="21"/>
  <c r="E53" i="21"/>
  <c r="I53" i="21"/>
  <c r="H53" i="21"/>
  <c r="G53" i="21"/>
  <c r="F53" i="21"/>
  <c r="J53" i="21"/>
  <c r="B53" i="21"/>
  <c r="D53" i="21"/>
  <c r="C53" i="21"/>
  <c r="E52" i="21"/>
  <c r="F52" i="21"/>
  <c r="G52" i="21"/>
  <c r="H52" i="21"/>
  <c r="I52" i="21"/>
  <c r="J52" i="21"/>
  <c r="D52" i="21"/>
  <c r="C52" i="21"/>
  <c r="B52" i="21"/>
  <c r="F51" i="21"/>
  <c r="G51" i="21"/>
  <c r="E51" i="21"/>
  <c r="D51" i="21"/>
  <c r="C51" i="21"/>
  <c r="B51" i="21"/>
  <c r="J51" i="21"/>
  <c r="I51" i="21"/>
  <c r="H51" i="21"/>
  <c r="I50" i="21"/>
  <c r="B50" i="21"/>
  <c r="C50" i="21"/>
  <c r="D50" i="21"/>
  <c r="E50" i="21"/>
  <c r="F50" i="21"/>
  <c r="G50" i="21"/>
  <c r="H50" i="21"/>
  <c r="J50" i="21"/>
  <c r="F49" i="21"/>
  <c r="G49" i="21"/>
  <c r="H49" i="21"/>
  <c r="I49" i="21"/>
  <c r="J49" i="21"/>
  <c r="B49" i="21"/>
  <c r="C49" i="21"/>
  <c r="D49" i="21"/>
  <c r="E49" i="21"/>
  <c r="E48" i="21"/>
  <c r="B48" i="21"/>
  <c r="C48" i="21"/>
  <c r="D48" i="21"/>
  <c r="F48" i="21"/>
  <c r="G48" i="21"/>
  <c r="H48" i="21"/>
  <c r="I48" i="21"/>
  <c r="J48" i="21"/>
  <c r="J47" i="21"/>
  <c r="B47" i="21"/>
  <c r="C47" i="21"/>
  <c r="D47" i="21"/>
  <c r="E47" i="21"/>
  <c r="F47" i="21"/>
  <c r="G47" i="21"/>
  <c r="H47" i="21"/>
  <c r="I47" i="21"/>
  <c r="J46" i="21"/>
  <c r="I46" i="21"/>
  <c r="H46" i="21"/>
  <c r="G46" i="21"/>
  <c r="F46" i="21"/>
  <c r="E46" i="21"/>
  <c r="D46" i="21"/>
  <c r="C46" i="21"/>
  <c r="B46" i="21"/>
  <c r="B45" i="21"/>
  <c r="G45" i="21"/>
  <c r="F45" i="21"/>
  <c r="E45" i="21"/>
  <c r="D45" i="21"/>
  <c r="C45" i="21"/>
  <c r="J45" i="21"/>
  <c r="H45" i="21"/>
  <c r="I45" i="21"/>
  <c r="E44" i="21"/>
  <c r="F44" i="21"/>
  <c r="G44" i="21"/>
  <c r="H44" i="21"/>
  <c r="I44" i="21"/>
  <c r="J44" i="21"/>
  <c r="B44" i="21"/>
  <c r="C44" i="21"/>
  <c r="D44" i="21"/>
  <c r="F43" i="21"/>
  <c r="J43" i="21"/>
  <c r="I43" i="21"/>
  <c r="H43" i="21"/>
  <c r="G43" i="21"/>
  <c r="D43" i="21"/>
  <c r="E43" i="21"/>
  <c r="C43" i="21"/>
  <c r="B43" i="21"/>
  <c r="G42" i="21"/>
  <c r="F42" i="21"/>
  <c r="E42" i="21"/>
  <c r="D42" i="21"/>
  <c r="C42" i="21"/>
  <c r="B42" i="21"/>
  <c r="J42" i="21"/>
  <c r="I42" i="21"/>
  <c r="H42" i="21"/>
  <c r="E41" i="21"/>
  <c r="D41" i="21"/>
  <c r="C41" i="21"/>
  <c r="B41" i="21"/>
  <c r="J41" i="21"/>
  <c r="I41" i="21"/>
  <c r="H41" i="21"/>
  <c r="G41" i="21"/>
  <c r="F41" i="21"/>
  <c r="B40" i="21"/>
  <c r="H40" i="21"/>
  <c r="J40" i="21"/>
  <c r="I40" i="21"/>
  <c r="G40" i="21"/>
  <c r="F40" i="21"/>
  <c r="E40" i="21"/>
  <c r="D40" i="21"/>
  <c r="C40" i="21"/>
  <c r="H39" i="21"/>
  <c r="I39" i="21"/>
  <c r="J39" i="21"/>
  <c r="C39" i="21"/>
  <c r="G39" i="21"/>
  <c r="B39" i="21"/>
  <c r="D39" i="21"/>
  <c r="E39" i="21"/>
  <c r="F39" i="21"/>
  <c r="E38" i="21"/>
  <c r="D38" i="21"/>
  <c r="C38" i="21"/>
  <c r="B38" i="21"/>
  <c r="H38" i="21"/>
  <c r="J38" i="21"/>
  <c r="I38" i="21"/>
  <c r="G38" i="21"/>
  <c r="F38" i="21"/>
  <c r="H37" i="21"/>
  <c r="G37" i="21"/>
  <c r="J37" i="21"/>
  <c r="B37" i="21"/>
  <c r="C37" i="21"/>
  <c r="I37" i="21"/>
  <c r="D37" i="21"/>
  <c r="E37" i="21"/>
  <c r="F37" i="21"/>
  <c r="C36" i="21"/>
  <c r="D36" i="21"/>
  <c r="J36" i="21"/>
  <c r="I36" i="21"/>
  <c r="H36" i="21"/>
  <c r="B36" i="21"/>
  <c r="G36" i="21"/>
  <c r="F36" i="21"/>
  <c r="E36" i="21"/>
  <c r="B35" i="21"/>
  <c r="C35" i="21"/>
  <c r="F35" i="21"/>
  <c r="H35" i="21"/>
  <c r="I35" i="21"/>
  <c r="J35" i="21"/>
  <c r="D35" i="21"/>
  <c r="E35" i="21"/>
  <c r="G35" i="21"/>
  <c r="D34" i="21"/>
  <c r="E34" i="21"/>
  <c r="B34" i="21"/>
  <c r="C34" i="21"/>
  <c r="J34" i="21"/>
  <c r="I34" i="21"/>
  <c r="G34" i="21"/>
  <c r="F34" i="21"/>
  <c r="H34" i="21"/>
  <c r="B33" i="21"/>
  <c r="D33" i="21"/>
  <c r="E33" i="21"/>
  <c r="F33" i="21"/>
  <c r="G33" i="21"/>
  <c r="H33" i="21"/>
  <c r="C33" i="21"/>
  <c r="I33" i="21"/>
  <c r="J33" i="21"/>
  <c r="H32" i="21"/>
  <c r="I32" i="21"/>
  <c r="J32" i="21"/>
  <c r="G32" i="21"/>
  <c r="F32" i="21"/>
  <c r="E32" i="21"/>
  <c r="D32" i="21"/>
  <c r="C32" i="21"/>
  <c r="B32" i="21"/>
  <c r="E31" i="21"/>
  <c r="J31" i="21"/>
  <c r="I31" i="21"/>
  <c r="H31" i="21"/>
  <c r="G31" i="21"/>
  <c r="F31" i="21"/>
  <c r="D31" i="21"/>
  <c r="C31" i="21"/>
  <c r="B31" i="21"/>
  <c r="G30" i="21"/>
  <c r="C30" i="21"/>
  <c r="D30" i="21"/>
  <c r="E30" i="21"/>
  <c r="F30" i="21"/>
  <c r="B30" i="21"/>
  <c r="J30" i="21"/>
  <c r="I30" i="21"/>
  <c r="H30" i="21"/>
  <c r="B29" i="21"/>
  <c r="C29" i="21"/>
  <c r="E29" i="21"/>
  <c r="F29" i="21"/>
  <c r="G29" i="21"/>
  <c r="H29" i="21"/>
  <c r="I29" i="21"/>
  <c r="J29" i="21"/>
  <c r="D29" i="21"/>
  <c r="F28" i="21"/>
  <c r="G28" i="21"/>
  <c r="B28" i="21"/>
  <c r="C28" i="21"/>
  <c r="D28" i="21"/>
  <c r="E28" i="21"/>
  <c r="H28" i="21"/>
  <c r="I28" i="21"/>
  <c r="J28" i="21"/>
  <c r="C27" i="21"/>
  <c r="B27" i="21"/>
  <c r="F27" i="21"/>
  <c r="G27" i="21"/>
  <c r="E27" i="21"/>
  <c r="H27" i="21"/>
  <c r="I27" i="21"/>
  <c r="J27" i="21"/>
  <c r="D27" i="21"/>
  <c r="F26" i="21"/>
  <c r="E26" i="21"/>
  <c r="D26" i="21"/>
  <c r="C26" i="21"/>
  <c r="B26" i="21"/>
  <c r="J26" i="21"/>
  <c r="I26" i="21"/>
  <c r="H26" i="21"/>
  <c r="G26" i="21"/>
  <c r="I25" i="21"/>
  <c r="C25" i="21"/>
  <c r="B25" i="21"/>
  <c r="J25" i="21"/>
  <c r="D25" i="21"/>
  <c r="E25" i="21"/>
  <c r="F25" i="21"/>
  <c r="G25" i="21"/>
  <c r="H25" i="21"/>
  <c r="B24" i="21"/>
  <c r="J24" i="21"/>
  <c r="I24" i="21"/>
  <c r="H24" i="21"/>
  <c r="G24" i="21"/>
  <c r="E24" i="21"/>
  <c r="D24" i="21"/>
  <c r="C24" i="21"/>
  <c r="F24" i="21"/>
  <c r="J23" i="21"/>
  <c r="I23" i="21"/>
  <c r="G23" i="21"/>
  <c r="H23" i="21"/>
  <c r="E23" i="21"/>
  <c r="D23" i="21"/>
  <c r="C23" i="21"/>
  <c r="F23" i="21"/>
  <c r="B23" i="21"/>
  <c r="C22" i="21"/>
  <c r="B22" i="21"/>
  <c r="I22" i="21"/>
  <c r="J22" i="21"/>
  <c r="D22" i="21"/>
  <c r="H22" i="21"/>
  <c r="G22" i="21"/>
  <c r="F22" i="21"/>
  <c r="E22" i="21"/>
  <c r="H21" i="21"/>
  <c r="D21" i="21"/>
  <c r="F21" i="21"/>
  <c r="C21" i="21"/>
  <c r="J21" i="21"/>
  <c r="E21" i="21"/>
  <c r="G21" i="21"/>
  <c r="B21" i="21"/>
  <c r="I21" i="21"/>
  <c r="F20" i="21"/>
  <c r="B20" i="21"/>
  <c r="C20" i="21"/>
  <c r="D20" i="21"/>
  <c r="E20" i="21"/>
  <c r="H20" i="21"/>
  <c r="G20" i="21"/>
  <c r="I20" i="21"/>
  <c r="J20" i="21"/>
  <c r="J19" i="21"/>
  <c r="H19" i="21"/>
  <c r="B19" i="21"/>
  <c r="F19" i="21"/>
  <c r="E19" i="21"/>
  <c r="D19" i="21"/>
  <c r="G19" i="21"/>
  <c r="I19" i="21"/>
  <c r="C19" i="21"/>
  <c r="E18" i="21"/>
  <c r="D18" i="21"/>
  <c r="C18" i="21"/>
  <c r="J18" i="21"/>
  <c r="H18" i="21"/>
  <c r="B18" i="21"/>
  <c r="I18" i="21"/>
  <c r="G18" i="21"/>
  <c r="F18" i="21"/>
  <c r="C17" i="21"/>
  <c r="G17" i="21"/>
  <c r="E17" i="21"/>
  <c r="D17" i="21"/>
  <c r="I17" i="21"/>
  <c r="B17" i="21"/>
  <c r="H17" i="21"/>
  <c r="J17" i="21"/>
  <c r="F17" i="21"/>
  <c r="F16" i="21"/>
  <c r="B16" i="21"/>
  <c r="J16" i="21"/>
  <c r="C16" i="21"/>
  <c r="E16" i="21"/>
  <c r="H16" i="21"/>
  <c r="I16" i="21"/>
  <c r="G16" i="21"/>
  <c r="D16" i="21"/>
  <c r="C15" i="21"/>
  <c r="B15" i="21"/>
  <c r="I15" i="21"/>
  <c r="J15" i="21"/>
  <c r="D15" i="21"/>
  <c r="E16" i="24"/>
  <c r="K11" i="2"/>
  <c r="K5" i="16"/>
  <c r="B11" i="17" s="1"/>
  <c r="N38" i="14"/>
  <c r="G7" i="2"/>
  <c r="D7" i="2"/>
  <c r="N37" i="14"/>
  <c r="A7" i="2"/>
  <c r="N36" i="14"/>
  <c r="F232" i="13"/>
  <c r="D232" i="13"/>
  <c r="D231" i="13"/>
  <c r="F231" i="13"/>
  <c r="D230" i="13"/>
  <c r="F230" i="13"/>
  <c r="D229" i="13"/>
  <c r="F229" i="13"/>
  <c r="D228" i="13"/>
  <c r="F228" i="13"/>
  <c r="F227" i="13"/>
  <c r="D227" i="13"/>
  <c r="F226" i="13"/>
  <c r="D226" i="13"/>
  <c r="F225" i="13"/>
  <c r="D225" i="13"/>
  <c r="F224" i="13"/>
  <c r="D224" i="13"/>
  <c r="D223" i="13"/>
  <c r="F223" i="13"/>
  <c r="F222" i="13"/>
  <c r="D222" i="13"/>
  <c r="F70" i="13"/>
  <c r="D70" i="13"/>
  <c r="D67" i="13"/>
  <c r="F67" i="13"/>
  <c r="F66" i="13"/>
  <c r="D66" i="13"/>
  <c r="D65" i="13"/>
  <c r="F65" i="13"/>
  <c r="F64" i="13"/>
  <c r="D64" i="13"/>
  <c r="F63" i="13"/>
  <c r="D63" i="13"/>
  <c r="F62" i="13"/>
  <c r="D62" i="13"/>
  <c r="F61" i="13"/>
  <c r="D61" i="13"/>
  <c r="D60" i="13"/>
  <c r="F60" i="13"/>
  <c r="F59" i="13"/>
  <c r="D59" i="13"/>
  <c r="D58" i="13"/>
  <c r="F58" i="13"/>
  <c r="D57" i="13"/>
  <c r="F57" i="13"/>
  <c r="D56" i="13"/>
  <c r="F56" i="13"/>
  <c r="F55" i="13"/>
  <c r="D55" i="13"/>
  <c r="F54" i="13"/>
  <c r="D54" i="13"/>
  <c r="F53" i="13"/>
  <c r="D53" i="13"/>
  <c r="D52" i="13"/>
  <c r="F52" i="13"/>
  <c r="F51" i="13"/>
  <c r="D51" i="13"/>
  <c r="F50" i="13"/>
  <c r="D50" i="13"/>
  <c r="D49" i="13"/>
  <c r="F49" i="13"/>
  <c r="D48" i="13"/>
  <c r="F48" i="13"/>
  <c r="F47" i="13"/>
  <c r="D47" i="13"/>
  <c r="F46" i="13"/>
  <c r="D46" i="13"/>
  <c r="F45" i="13"/>
  <c r="D45" i="13"/>
  <c r="D44" i="13"/>
  <c r="F44" i="13"/>
  <c r="D43" i="13"/>
  <c r="F43" i="13"/>
  <c r="F42" i="13"/>
  <c r="D42" i="13"/>
  <c r="F41" i="13"/>
  <c r="D41" i="13"/>
  <c r="D40" i="13"/>
  <c r="F40" i="13"/>
  <c r="F39" i="13"/>
  <c r="D39" i="13"/>
  <c r="F38" i="13"/>
  <c r="D38" i="13"/>
  <c r="F37" i="13"/>
  <c r="D37" i="13"/>
  <c r="F36" i="13"/>
  <c r="D36" i="13"/>
  <c r="D35" i="13"/>
  <c r="F35" i="13"/>
  <c r="F34" i="13"/>
  <c r="D34" i="13"/>
  <c r="D33" i="13"/>
  <c r="F33" i="13"/>
  <c r="D32" i="13"/>
  <c r="F32" i="13"/>
  <c r="D31" i="13"/>
  <c r="F31" i="13"/>
  <c r="F30" i="13"/>
  <c r="D30" i="13"/>
  <c r="F29" i="13"/>
  <c r="D29" i="13"/>
  <c r="F28" i="13"/>
  <c r="D28" i="13"/>
  <c r="F27" i="13"/>
  <c r="D27" i="13"/>
  <c r="F26" i="13"/>
  <c r="D26" i="13"/>
  <c r="F25" i="13"/>
  <c r="D25" i="13"/>
  <c r="F24" i="13"/>
  <c r="D24" i="13"/>
  <c r="F23" i="13"/>
  <c r="D23" i="13"/>
  <c r="F22" i="13"/>
  <c r="D22" i="13"/>
  <c r="D21" i="13"/>
  <c r="F21" i="13"/>
  <c r="F20" i="13"/>
  <c r="D20" i="13"/>
  <c r="D19" i="13"/>
  <c r="F19" i="13"/>
  <c r="D18" i="13"/>
  <c r="F18" i="13"/>
  <c r="F17" i="13"/>
  <c r="D17" i="13"/>
  <c r="F16" i="13"/>
  <c r="D16" i="13"/>
  <c r="F15" i="13"/>
  <c r="D15" i="13"/>
  <c r="F14" i="13"/>
  <c r="D14" i="13"/>
  <c r="D13" i="13"/>
  <c r="F13" i="13"/>
  <c r="D12" i="13"/>
  <c r="F12" i="13"/>
  <c r="F11" i="13"/>
  <c r="D11" i="13"/>
  <c r="F10" i="13"/>
  <c r="D10" i="13"/>
  <c r="F9" i="13"/>
  <c r="D9" i="13"/>
  <c r="F8" i="13"/>
  <c r="D8" i="13"/>
  <c r="F7" i="13"/>
  <c r="D7" i="13"/>
  <c r="D6" i="13"/>
  <c r="F6" i="13"/>
  <c r="D5" i="13"/>
  <c r="F5" i="13"/>
  <c r="F10" i="11"/>
  <c r="E10" i="11"/>
  <c r="D10" i="11"/>
  <c r="C10" i="11"/>
  <c r="F9" i="11"/>
  <c r="D9" i="11"/>
  <c r="C9" i="11"/>
  <c r="E9" i="11"/>
  <c r="N35" i="14"/>
  <c r="N39" i="14" s="1"/>
  <c r="B54" i="17" s="1"/>
  <c r="B35" i="14"/>
  <c r="B11" i="11"/>
  <c r="B17" i="11"/>
  <c r="N17" i="11" s="1"/>
  <c r="C8" i="11"/>
  <c r="D8" i="11"/>
  <c r="E8" i="11"/>
  <c r="E11" i="11" s="1"/>
  <c r="F8" i="11"/>
  <c r="F11" i="11" s="1"/>
  <c r="B28" i="11"/>
  <c r="B21" i="11"/>
  <c r="B20" i="11"/>
  <c r="B18" i="11"/>
  <c r="K151" i="7"/>
  <c r="J151" i="7"/>
  <c r="L151" i="7"/>
  <c r="M151" i="7" s="1"/>
  <c r="X151" i="7"/>
  <c r="W151" i="7"/>
  <c r="V151" i="7"/>
  <c r="U151" i="7"/>
  <c r="T151" i="7"/>
  <c r="S151" i="7"/>
  <c r="N151" i="7"/>
  <c r="X150" i="7"/>
  <c r="V150" i="7"/>
  <c r="W150" i="7"/>
  <c r="S150" i="7"/>
  <c r="J150" i="7"/>
  <c r="K150" i="7"/>
  <c r="L150" i="7"/>
  <c r="M150" i="7"/>
  <c r="N150" i="7"/>
  <c r="T150" i="7"/>
  <c r="U150" i="7"/>
  <c r="W149" i="7"/>
  <c r="X149" i="7"/>
  <c r="J149" i="7"/>
  <c r="K149" i="7"/>
  <c r="L149" i="7"/>
  <c r="M149" i="7" s="1"/>
  <c r="N149" i="7"/>
  <c r="S149" i="7"/>
  <c r="T149" i="7"/>
  <c r="U149" i="7"/>
  <c r="V149" i="7"/>
  <c r="U148" i="7"/>
  <c r="K148" i="7"/>
  <c r="J148" i="7"/>
  <c r="X148" i="7"/>
  <c r="W148" i="7"/>
  <c r="V148" i="7"/>
  <c r="T148" i="7"/>
  <c r="S148" i="7"/>
  <c r="N148" i="7"/>
  <c r="L148" i="7"/>
  <c r="M148" i="7" s="1"/>
  <c r="J147" i="7"/>
  <c r="X147" i="7"/>
  <c r="W147" i="7"/>
  <c r="S147" i="7"/>
  <c r="N147" i="7"/>
  <c r="V147" i="7"/>
  <c r="L147" i="7"/>
  <c r="M147" i="7" s="1"/>
  <c r="K147" i="7"/>
  <c r="U147" i="7"/>
  <c r="T147" i="7"/>
  <c r="L146" i="7"/>
  <c r="M146" i="7" s="1"/>
  <c r="K146" i="7"/>
  <c r="J146" i="7"/>
  <c r="N146" i="7"/>
  <c r="W146" i="7"/>
  <c r="T146" i="7"/>
  <c r="U146" i="7"/>
  <c r="V146" i="7"/>
  <c r="X146" i="7"/>
  <c r="S146" i="7"/>
  <c r="X145" i="7"/>
  <c r="W145" i="7"/>
  <c r="V145" i="7"/>
  <c r="T145" i="7"/>
  <c r="S145" i="7"/>
  <c r="N145" i="7"/>
  <c r="J145" i="7"/>
  <c r="K145" i="7"/>
  <c r="L145" i="7"/>
  <c r="M145" i="7" s="1"/>
  <c r="U145" i="7"/>
  <c r="K144" i="7"/>
  <c r="L144" i="7"/>
  <c r="N144" i="7"/>
  <c r="S144" i="7"/>
  <c r="T144" i="7"/>
  <c r="U144" i="7"/>
  <c r="V144" i="7"/>
  <c r="W144" i="7"/>
  <c r="X144" i="7"/>
  <c r="J144" i="7"/>
  <c r="M144" i="7"/>
  <c r="T143" i="7"/>
  <c r="X143" i="7"/>
  <c r="U143" i="7"/>
  <c r="N143" i="7"/>
  <c r="L143" i="7"/>
  <c r="M143" i="7" s="1"/>
  <c r="K143" i="7"/>
  <c r="J143" i="7"/>
  <c r="V143" i="7"/>
  <c r="W143" i="7"/>
  <c r="S143" i="7"/>
  <c r="X142" i="7"/>
  <c r="W142" i="7"/>
  <c r="V142" i="7"/>
  <c r="U142" i="7"/>
  <c r="T142" i="7"/>
  <c r="S142" i="7"/>
  <c r="L142" i="7"/>
  <c r="M142" i="7" s="1"/>
  <c r="K142" i="7"/>
  <c r="J142" i="7"/>
  <c r="N142" i="7"/>
  <c r="X141" i="7"/>
  <c r="W141" i="7"/>
  <c r="V141" i="7"/>
  <c r="U141" i="7"/>
  <c r="T141" i="7"/>
  <c r="S141" i="7"/>
  <c r="N141" i="7"/>
  <c r="L141" i="7"/>
  <c r="M141" i="7" s="1"/>
  <c r="K141" i="7"/>
  <c r="J141" i="7"/>
  <c r="X140" i="7"/>
  <c r="W140" i="7"/>
  <c r="V140" i="7"/>
  <c r="U140" i="7"/>
  <c r="T140" i="7"/>
  <c r="S140" i="7"/>
  <c r="N140" i="7"/>
  <c r="L140" i="7"/>
  <c r="M140" i="7" s="1"/>
  <c r="K140" i="7"/>
  <c r="J140" i="7"/>
  <c r="X139" i="7"/>
  <c r="W139" i="7"/>
  <c r="V139" i="7"/>
  <c r="U139" i="7"/>
  <c r="T139" i="7"/>
  <c r="S139" i="7"/>
  <c r="N139" i="7"/>
  <c r="L139" i="7"/>
  <c r="M139" i="7" s="1"/>
  <c r="K139" i="7"/>
  <c r="J139" i="7"/>
  <c r="X138" i="7"/>
  <c r="W138" i="7"/>
  <c r="V138" i="7"/>
  <c r="U138" i="7"/>
  <c r="T138" i="7"/>
  <c r="S138" i="7"/>
  <c r="N138" i="7"/>
  <c r="L138" i="7"/>
  <c r="M138" i="7" s="1"/>
  <c r="K138" i="7"/>
  <c r="J138" i="7"/>
  <c r="X137" i="7"/>
  <c r="W137" i="7"/>
  <c r="V137" i="7"/>
  <c r="U137" i="7"/>
  <c r="T137" i="7"/>
  <c r="S137" i="7"/>
  <c r="N137" i="7"/>
  <c r="L137" i="7"/>
  <c r="M137" i="7" s="1"/>
  <c r="K137" i="7"/>
  <c r="J137" i="7"/>
  <c r="W136" i="7"/>
  <c r="V136" i="7"/>
  <c r="N136" i="7"/>
  <c r="J136" i="7"/>
  <c r="K136" i="7"/>
  <c r="L136" i="7"/>
  <c r="M136" i="7" s="1"/>
  <c r="U136" i="7"/>
  <c r="T136" i="7"/>
  <c r="S136" i="7"/>
  <c r="X136" i="7"/>
  <c r="S135" i="7"/>
  <c r="T135" i="7"/>
  <c r="U135" i="7"/>
  <c r="V135" i="7"/>
  <c r="W135" i="7"/>
  <c r="X135" i="7"/>
  <c r="N135" i="7"/>
  <c r="L135" i="7"/>
  <c r="M135" i="7" s="1"/>
  <c r="K135" i="7"/>
  <c r="J135" i="7"/>
  <c r="X134" i="7"/>
  <c r="K134" i="7"/>
  <c r="J134" i="7"/>
  <c r="U134" i="7"/>
  <c r="L134" i="7"/>
  <c r="M134" i="7" s="1"/>
  <c r="W134" i="7"/>
  <c r="V134" i="7"/>
  <c r="T134" i="7"/>
  <c r="S134" i="7"/>
  <c r="N134" i="7"/>
  <c r="J133" i="7"/>
  <c r="K133" i="7"/>
  <c r="L133" i="7"/>
  <c r="M133" i="7" s="1"/>
  <c r="N133" i="7"/>
  <c r="U133" i="7"/>
  <c r="S133" i="7"/>
  <c r="T133" i="7"/>
  <c r="V133" i="7"/>
  <c r="W133" i="7"/>
  <c r="X133" i="7"/>
  <c r="T132" i="7"/>
  <c r="U132" i="7"/>
  <c r="V132" i="7"/>
  <c r="W132" i="7"/>
  <c r="X132" i="7"/>
  <c r="L132" i="7"/>
  <c r="M132" i="7" s="1"/>
  <c r="J132" i="7"/>
  <c r="K132" i="7"/>
  <c r="N132" i="7"/>
  <c r="S132" i="7"/>
  <c r="N131" i="7"/>
  <c r="S131" i="7"/>
  <c r="K131" i="7"/>
  <c r="L131" i="7"/>
  <c r="M131" i="7" s="1"/>
  <c r="J131" i="7"/>
  <c r="W131" i="7"/>
  <c r="X131" i="7"/>
  <c r="V131" i="7"/>
  <c r="U131" i="7"/>
  <c r="T131" i="7"/>
  <c r="V130" i="7"/>
  <c r="W130" i="7"/>
  <c r="X130" i="7"/>
  <c r="L130" i="7"/>
  <c r="S130" i="7"/>
  <c r="J130" i="7"/>
  <c r="K130" i="7"/>
  <c r="M130" i="7"/>
  <c r="N130" i="7"/>
  <c r="T130" i="7"/>
  <c r="U130" i="7"/>
  <c r="X129" i="7"/>
  <c r="W129" i="7"/>
  <c r="V129" i="7"/>
  <c r="U129" i="7"/>
  <c r="J129" i="7"/>
  <c r="N129" i="7"/>
  <c r="K129" i="7"/>
  <c r="L129" i="7"/>
  <c r="M129" i="7" s="1"/>
  <c r="T129" i="7"/>
  <c r="S129" i="7"/>
  <c r="X128" i="7"/>
  <c r="W128" i="7"/>
  <c r="V128" i="7"/>
  <c r="U128" i="7"/>
  <c r="J128" i="7"/>
  <c r="K128" i="7"/>
  <c r="L128" i="7"/>
  <c r="M128" i="7" s="1"/>
  <c r="N128" i="7"/>
  <c r="S128" i="7"/>
  <c r="T128" i="7"/>
  <c r="K127" i="7"/>
  <c r="J127" i="7"/>
  <c r="W127" i="7"/>
  <c r="X127" i="7"/>
  <c r="V127" i="7"/>
  <c r="U127" i="7"/>
  <c r="T127" i="7"/>
  <c r="S127" i="7"/>
  <c r="N127" i="7"/>
  <c r="L127" i="7"/>
  <c r="M127" i="7" s="1"/>
  <c r="X126" i="7"/>
  <c r="W126" i="7"/>
  <c r="V126" i="7"/>
  <c r="U126" i="7"/>
  <c r="T126" i="7"/>
  <c r="K126" i="7"/>
  <c r="S126" i="7"/>
  <c r="N126" i="7"/>
  <c r="L126" i="7"/>
  <c r="M126" i="7" s="1"/>
  <c r="J126" i="7"/>
  <c r="W125" i="7"/>
  <c r="X125" i="7"/>
  <c r="J125" i="7"/>
  <c r="K125" i="7"/>
  <c r="L125" i="7"/>
  <c r="M125" i="7" s="1"/>
  <c r="N125" i="7"/>
  <c r="S125" i="7"/>
  <c r="T125" i="7"/>
  <c r="U125" i="7"/>
  <c r="V125" i="7"/>
  <c r="T124" i="7"/>
  <c r="N124" i="7"/>
  <c r="W124" i="7"/>
  <c r="V124" i="7"/>
  <c r="U124" i="7"/>
  <c r="X124" i="7"/>
  <c r="L124" i="7"/>
  <c r="M124" i="7" s="1"/>
  <c r="S124" i="7"/>
  <c r="K124" i="7"/>
  <c r="J124" i="7"/>
  <c r="N123" i="7"/>
  <c r="L123" i="7"/>
  <c r="M123" i="7" s="1"/>
  <c r="K123" i="7"/>
  <c r="J123" i="7"/>
  <c r="U123" i="7"/>
  <c r="S123" i="7"/>
  <c r="T123" i="7"/>
  <c r="V123" i="7"/>
  <c r="W123" i="7"/>
  <c r="X123" i="7"/>
  <c r="J122" i="7"/>
  <c r="X122" i="7"/>
  <c r="W122" i="7"/>
  <c r="V122" i="7"/>
  <c r="T122" i="7"/>
  <c r="K122" i="7"/>
  <c r="U122" i="7"/>
  <c r="S122" i="7"/>
  <c r="N122" i="7"/>
  <c r="L122" i="7"/>
  <c r="M122" i="7" s="1"/>
  <c r="L121" i="7"/>
  <c r="M121" i="7"/>
  <c r="N121" i="7"/>
  <c r="J121" i="7"/>
  <c r="S121" i="7"/>
  <c r="K121" i="7"/>
  <c r="T121" i="7"/>
  <c r="U121" i="7"/>
  <c r="V121" i="7"/>
  <c r="W121" i="7"/>
  <c r="X121" i="7"/>
  <c r="X120" i="7"/>
  <c r="W120" i="7"/>
  <c r="V120" i="7"/>
  <c r="U120" i="7"/>
  <c r="T120" i="7"/>
  <c r="S120" i="7"/>
  <c r="L120" i="7"/>
  <c r="M120" i="7" s="1"/>
  <c r="K120" i="7"/>
  <c r="J120" i="7"/>
  <c r="N120" i="7"/>
  <c r="L119" i="7"/>
  <c r="N119" i="7"/>
  <c r="J119" i="7"/>
  <c r="K119" i="7"/>
  <c r="T119" i="7"/>
  <c r="W119" i="7"/>
  <c r="M119" i="7"/>
  <c r="S119" i="7"/>
  <c r="X119" i="7"/>
  <c r="V119" i="7"/>
  <c r="U119" i="7"/>
  <c r="N118" i="7"/>
  <c r="S118" i="7"/>
  <c r="T118" i="7"/>
  <c r="L118" i="7"/>
  <c r="U118" i="7"/>
  <c r="X118" i="7"/>
  <c r="V118" i="7"/>
  <c r="W118" i="7"/>
  <c r="M118" i="7"/>
  <c r="J118" i="7"/>
  <c r="K118" i="7"/>
  <c r="N117" i="7"/>
  <c r="L117" i="7"/>
  <c r="M117" i="7" s="1"/>
  <c r="J117" i="7"/>
  <c r="T117" i="7"/>
  <c r="V117" i="7"/>
  <c r="W117" i="7"/>
  <c r="X117" i="7"/>
  <c r="K117" i="7"/>
  <c r="U117" i="7"/>
  <c r="S117" i="7"/>
  <c r="W116" i="7"/>
  <c r="V116" i="7"/>
  <c r="U116" i="7"/>
  <c r="T116" i="7"/>
  <c r="S116" i="7"/>
  <c r="X116" i="7"/>
  <c r="N116" i="7"/>
  <c r="L116" i="7"/>
  <c r="M116" i="7" s="1"/>
  <c r="K116" i="7"/>
  <c r="J116" i="7"/>
  <c r="K115" i="7"/>
  <c r="X115" i="7"/>
  <c r="U115" i="7"/>
  <c r="V115" i="7"/>
  <c r="L115" i="7"/>
  <c r="W115" i="7"/>
  <c r="T115" i="7"/>
  <c r="S115" i="7"/>
  <c r="N115" i="7"/>
  <c r="M115" i="7"/>
  <c r="J115" i="7"/>
  <c r="N114" i="7"/>
  <c r="S114" i="7"/>
  <c r="T114" i="7"/>
  <c r="U114" i="7"/>
  <c r="V114" i="7"/>
  <c r="W114" i="7"/>
  <c r="X114" i="7"/>
  <c r="J114" i="7"/>
  <c r="K114" i="7"/>
  <c r="L114" i="7"/>
  <c r="M114" i="7" s="1"/>
  <c r="S113" i="7"/>
  <c r="W113" i="7"/>
  <c r="N113" i="7"/>
  <c r="T113" i="7"/>
  <c r="X113" i="7"/>
  <c r="V113" i="7"/>
  <c r="U113" i="7"/>
  <c r="L113" i="7"/>
  <c r="M113" i="7" s="1"/>
  <c r="K113" i="7"/>
  <c r="J113" i="7"/>
  <c r="N112" i="7"/>
  <c r="S112" i="7"/>
  <c r="T112" i="7"/>
  <c r="U112" i="7"/>
  <c r="V112" i="7"/>
  <c r="X112" i="7"/>
  <c r="W112" i="7"/>
  <c r="J112" i="7"/>
  <c r="K112" i="7"/>
  <c r="L112" i="7"/>
  <c r="M112" i="7" s="1"/>
  <c r="L111" i="7"/>
  <c r="M111" i="7" s="1"/>
  <c r="W111" i="7"/>
  <c r="N111" i="7"/>
  <c r="S111" i="7"/>
  <c r="T111" i="7"/>
  <c r="V111" i="7"/>
  <c r="J111" i="7"/>
  <c r="X111" i="7"/>
  <c r="K111" i="7"/>
  <c r="U111" i="7"/>
  <c r="N110" i="7"/>
  <c r="L110" i="7"/>
  <c r="M110" i="7" s="1"/>
  <c r="K110" i="7"/>
  <c r="J110" i="7"/>
  <c r="S110" i="7"/>
  <c r="X110" i="7"/>
  <c r="W110" i="7"/>
  <c r="V110" i="7"/>
  <c r="U110" i="7"/>
  <c r="T110" i="7"/>
  <c r="T109" i="7"/>
  <c r="S109" i="7"/>
  <c r="L109" i="7"/>
  <c r="M109" i="7" s="1"/>
  <c r="K109" i="7"/>
  <c r="J109" i="7"/>
  <c r="N109" i="7"/>
  <c r="U109" i="7"/>
  <c r="V109" i="7"/>
  <c r="W109" i="7"/>
  <c r="X109" i="7"/>
  <c r="X108" i="7"/>
  <c r="W108" i="7"/>
  <c r="U108" i="7"/>
  <c r="T108" i="7"/>
  <c r="S108" i="7"/>
  <c r="N108" i="7"/>
  <c r="L108" i="7"/>
  <c r="M108" i="7" s="1"/>
  <c r="K108" i="7"/>
  <c r="J108" i="7"/>
  <c r="V108" i="7"/>
  <c r="S107" i="7"/>
  <c r="N107" i="7"/>
  <c r="L107" i="7"/>
  <c r="M107" i="7" s="1"/>
  <c r="X107" i="7"/>
  <c r="J107" i="7"/>
  <c r="K107" i="7"/>
  <c r="W107" i="7"/>
  <c r="V107" i="7"/>
  <c r="U107" i="7"/>
  <c r="T107" i="7"/>
  <c r="X106" i="7"/>
  <c r="L106" i="7"/>
  <c r="M106" i="7" s="1"/>
  <c r="K106" i="7"/>
  <c r="W106" i="7"/>
  <c r="N106" i="7"/>
  <c r="V106" i="7"/>
  <c r="U106" i="7"/>
  <c r="T106" i="7"/>
  <c r="S106" i="7"/>
  <c r="J106" i="7"/>
  <c r="S105" i="7"/>
  <c r="T105" i="7"/>
  <c r="U105" i="7"/>
  <c r="V105" i="7"/>
  <c r="W105" i="7"/>
  <c r="X105" i="7"/>
  <c r="J105" i="7"/>
  <c r="K105" i="7"/>
  <c r="L105" i="7"/>
  <c r="M105" i="7" s="1"/>
  <c r="N105" i="7"/>
  <c r="N104" i="7"/>
  <c r="L104" i="7"/>
  <c r="M104" i="7" s="1"/>
  <c r="K104" i="7"/>
  <c r="J104" i="7"/>
  <c r="T104" i="7"/>
  <c r="W104" i="7"/>
  <c r="S104" i="7"/>
  <c r="U104" i="7"/>
  <c r="V104" i="7"/>
  <c r="X104" i="7"/>
  <c r="X103" i="7"/>
  <c r="W103" i="7"/>
  <c r="V103" i="7"/>
  <c r="U103" i="7"/>
  <c r="T103" i="7"/>
  <c r="S103" i="7"/>
  <c r="L103" i="7"/>
  <c r="K103" i="7"/>
  <c r="J103" i="7"/>
  <c r="M103" i="7"/>
  <c r="N103" i="7"/>
  <c r="S102" i="7"/>
  <c r="T102" i="7"/>
  <c r="U102" i="7"/>
  <c r="W102" i="7"/>
  <c r="V102" i="7"/>
  <c r="N102" i="7"/>
  <c r="J102" i="7"/>
  <c r="K102" i="7"/>
  <c r="L102" i="7"/>
  <c r="M102" i="7" s="1"/>
  <c r="X102" i="7"/>
  <c r="V101" i="7"/>
  <c r="J101" i="7"/>
  <c r="K101" i="7"/>
  <c r="L101" i="7"/>
  <c r="M101" i="7" s="1"/>
  <c r="X101" i="7"/>
  <c r="W101" i="7"/>
  <c r="U101" i="7"/>
  <c r="T101" i="7"/>
  <c r="S101" i="7"/>
  <c r="N101" i="7"/>
  <c r="W100" i="7"/>
  <c r="V100" i="7"/>
  <c r="U100" i="7"/>
  <c r="T100" i="7"/>
  <c r="S100" i="7"/>
  <c r="N100" i="7"/>
  <c r="L100" i="7"/>
  <c r="M100" i="7" s="1"/>
  <c r="K100" i="7"/>
  <c r="J100" i="7"/>
  <c r="X100" i="7"/>
  <c r="K99" i="7"/>
  <c r="V99" i="7"/>
  <c r="S99" i="7"/>
  <c r="J99" i="7"/>
  <c r="N99" i="7"/>
  <c r="U99" i="7"/>
  <c r="L99" i="7"/>
  <c r="M99" i="7" s="1"/>
  <c r="T99" i="7"/>
  <c r="X99" i="7"/>
  <c r="W99" i="7"/>
  <c r="W98" i="7"/>
  <c r="X98" i="7"/>
  <c r="J98" i="7"/>
  <c r="L98" i="7"/>
  <c r="K98" i="7"/>
  <c r="M98" i="7"/>
  <c r="N98" i="7"/>
  <c r="S98" i="7"/>
  <c r="T98" i="7"/>
  <c r="U98" i="7"/>
  <c r="V98" i="7"/>
  <c r="T97" i="7"/>
  <c r="U97" i="7"/>
  <c r="X97" i="7"/>
  <c r="W97" i="7"/>
  <c r="V97" i="7"/>
  <c r="J97" i="7"/>
  <c r="K97" i="7"/>
  <c r="L97" i="7"/>
  <c r="M97" i="7"/>
  <c r="N97" i="7"/>
  <c r="S97" i="7"/>
  <c r="N96" i="7"/>
  <c r="S96" i="7"/>
  <c r="T96" i="7"/>
  <c r="U96" i="7"/>
  <c r="W96" i="7"/>
  <c r="X96" i="7"/>
  <c r="V96" i="7"/>
  <c r="J96" i="7"/>
  <c r="K96" i="7"/>
  <c r="L96" i="7"/>
  <c r="M96" i="7" s="1"/>
  <c r="J95" i="7"/>
  <c r="K95" i="7"/>
  <c r="L95" i="7"/>
  <c r="M95" i="7" s="1"/>
  <c r="S95" i="7"/>
  <c r="U95" i="7"/>
  <c r="X95" i="7"/>
  <c r="W95" i="7"/>
  <c r="V95" i="7"/>
  <c r="T95" i="7"/>
  <c r="N95" i="7"/>
  <c r="V94" i="7"/>
  <c r="W94" i="7"/>
  <c r="X94" i="7"/>
  <c r="T94" i="7"/>
  <c r="U94" i="7"/>
  <c r="N94" i="7"/>
  <c r="S94" i="7"/>
  <c r="K94" i="7"/>
  <c r="J94" i="7"/>
  <c r="L94" i="7"/>
  <c r="M94" i="7" s="1"/>
  <c r="L93" i="7"/>
  <c r="M93" i="7" s="1"/>
  <c r="K93" i="7"/>
  <c r="J93" i="7"/>
  <c r="N92" i="7"/>
  <c r="L92" i="7"/>
  <c r="M92" i="7" s="1"/>
  <c r="K92" i="7"/>
  <c r="J92" i="7"/>
  <c r="U92" i="7"/>
  <c r="X92" i="7"/>
  <c r="W92" i="7"/>
  <c r="V92" i="7"/>
  <c r="T92" i="7"/>
  <c r="S92" i="7"/>
  <c r="N91" i="7"/>
  <c r="L91" i="7"/>
  <c r="M91" i="7" s="1"/>
  <c r="K91" i="7"/>
  <c r="J91" i="7"/>
  <c r="U91" i="7"/>
  <c r="W91" i="7"/>
  <c r="V91" i="7"/>
  <c r="X91" i="7"/>
  <c r="T91" i="7"/>
  <c r="S91" i="7"/>
  <c r="X90" i="7"/>
  <c r="W90" i="7"/>
  <c r="V90" i="7"/>
  <c r="U90" i="7"/>
  <c r="S90" i="7"/>
  <c r="N90" i="7"/>
  <c r="L90" i="7"/>
  <c r="M90" i="7" s="1"/>
  <c r="K90" i="7"/>
  <c r="J90" i="7"/>
  <c r="T90" i="7"/>
  <c r="N89" i="7"/>
  <c r="L89" i="7"/>
  <c r="M89" i="7" s="1"/>
  <c r="K89" i="7"/>
  <c r="J89" i="7"/>
  <c r="X89" i="7"/>
  <c r="W89" i="7"/>
  <c r="V89" i="7"/>
  <c r="U89" i="7"/>
  <c r="T89" i="7"/>
  <c r="S89" i="7"/>
  <c r="N88" i="7"/>
  <c r="L88" i="7"/>
  <c r="M88" i="7" s="1"/>
  <c r="K88" i="7"/>
  <c r="J88" i="7"/>
  <c r="S88" i="7"/>
  <c r="X88" i="7"/>
  <c r="W88" i="7"/>
  <c r="V88" i="7"/>
  <c r="U88" i="7"/>
  <c r="T88" i="7"/>
  <c r="X87" i="7"/>
  <c r="W87" i="7"/>
  <c r="V87" i="7"/>
  <c r="U87" i="7"/>
  <c r="T87" i="7"/>
  <c r="S87" i="7"/>
  <c r="N87" i="7"/>
  <c r="L87" i="7"/>
  <c r="M87" i="7" s="1"/>
  <c r="K87" i="7"/>
  <c r="J87" i="7"/>
  <c r="N86" i="7"/>
  <c r="L86" i="7"/>
  <c r="M86" i="7" s="1"/>
  <c r="K86" i="7"/>
  <c r="J86" i="7"/>
  <c r="X86" i="7"/>
  <c r="W86" i="7"/>
  <c r="V86" i="7"/>
  <c r="U86" i="7"/>
  <c r="T86" i="7"/>
  <c r="S86" i="7"/>
  <c r="X85" i="7"/>
  <c r="L85" i="7"/>
  <c r="M85" i="7" s="1"/>
  <c r="K85" i="7"/>
  <c r="W85" i="7"/>
  <c r="N85" i="7"/>
  <c r="V85" i="7"/>
  <c r="U85" i="7"/>
  <c r="T85" i="7"/>
  <c r="S85" i="7"/>
  <c r="J85" i="7"/>
  <c r="N84" i="7"/>
  <c r="L84" i="7"/>
  <c r="M84" i="7" s="1"/>
  <c r="K84" i="7"/>
  <c r="J84" i="7"/>
  <c r="X84" i="7"/>
  <c r="W84" i="7"/>
  <c r="V84" i="7"/>
  <c r="U84" i="7"/>
  <c r="T84" i="7"/>
  <c r="S84" i="7"/>
  <c r="N83" i="7"/>
  <c r="L83" i="7"/>
  <c r="M83" i="7" s="1"/>
  <c r="K83" i="7"/>
  <c r="J83" i="7"/>
  <c r="X83" i="7"/>
  <c r="W83" i="7"/>
  <c r="V83" i="7"/>
  <c r="U83" i="7"/>
  <c r="T83" i="7"/>
  <c r="S83" i="7"/>
  <c r="X82" i="7"/>
  <c r="W82" i="7"/>
  <c r="U82" i="7"/>
  <c r="T82" i="7"/>
  <c r="S82" i="7"/>
  <c r="N82" i="7"/>
  <c r="L82" i="7"/>
  <c r="M82" i="7" s="1"/>
  <c r="K82" i="7"/>
  <c r="J82" i="7"/>
  <c r="V82" i="7"/>
  <c r="N81" i="7"/>
  <c r="L81" i="7"/>
  <c r="M81" i="7" s="1"/>
  <c r="K81" i="7"/>
  <c r="J81" i="7"/>
  <c r="W81" i="7"/>
  <c r="V81" i="7"/>
  <c r="U81" i="7"/>
  <c r="T81" i="7"/>
  <c r="X81" i="7"/>
  <c r="S81" i="7"/>
  <c r="L80" i="7"/>
  <c r="X80" i="7"/>
  <c r="W80" i="7"/>
  <c r="V80" i="7"/>
  <c r="U80" i="7"/>
  <c r="T80" i="7"/>
  <c r="S80" i="7"/>
  <c r="N80" i="7"/>
  <c r="M80" i="7"/>
  <c r="K80" i="7"/>
  <c r="J80" i="7"/>
  <c r="J79" i="7"/>
  <c r="X79" i="7"/>
  <c r="W79" i="7"/>
  <c r="V79" i="7"/>
  <c r="U79" i="7"/>
  <c r="T79" i="7"/>
  <c r="S79" i="7"/>
  <c r="N79" i="7"/>
  <c r="L79" i="7"/>
  <c r="M79" i="7" s="1"/>
  <c r="K79" i="7"/>
  <c r="L78" i="7"/>
  <c r="X78" i="7"/>
  <c r="W78" i="7"/>
  <c r="V78" i="7"/>
  <c r="U78" i="7"/>
  <c r="T78" i="7"/>
  <c r="S78" i="7"/>
  <c r="N78" i="7"/>
  <c r="M78" i="7"/>
  <c r="K78" i="7"/>
  <c r="J78" i="7"/>
  <c r="J77" i="7"/>
  <c r="X77" i="7"/>
  <c r="W77" i="7"/>
  <c r="V77" i="7"/>
  <c r="U77" i="7"/>
  <c r="T77" i="7"/>
  <c r="S77" i="7"/>
  <c r="N77" i="7"/>
  <c r="L77" i="7"/>
  <c r="M77" i="7" s="1"/>
  <c r="K77" i="7"/>
  <c r="X76" i="7"/>
  <c r="W76" i="7"/>
  <c r="V76" i="7"/>
  <c r="U76" i="7"/>
  <c r="T76" i="7"/>
  <c r="S76" i="7"/>
  <c r="N76" i="7"/>
  <c r="J76" i="7"/>
  <c r="L76" i="7"/>
  <c r="M76" i="7" s="1"/>
  <c r="K76" i="7"/>
  <c r="T75" i="7"/>
  <c r="X75" i="7"/>
  <c r="W75" i="7"/>
  <c r="V75" i="7"/>
  <c r="U75" i="7"/>
  <c r="K75" i="7"/>
  <c r="S75" i="7"/>
  <c r="N75" i="7"/>
  <c r="L75" i="7"/>
  <c r="M75" i="7" s="1"/>
  <c r="J75" i="7"/>
  <c r="K74" i="7"/>
  <c r="X74" i="7"/>
  <c r="W74" i="7"/>
  <c r="V74" i="7"/>
  <c r="J74" i="7"/>
  <c r="T74" i="7"/>
  <c r="U74" i="7"/>
  <c r="L74" i="7"/>
  <c r="M74" i="7"/>
  <c r="N74" i="7"/>
  <c r="S74" i="7"/>
  <c r="N73" i="7"/>
  <c r="L73" i="7"/>
  <c r="M73" i="7" s="1"/>
  <c r="K73" i="7"/>
  <c r="J73" i="7"/>
  <c r="S73" i="7"/>
  <c r="X73" i="7"/>
  <c r="W73" i="7"/>
  <c r="V73" i="7"/>
  <c r="U73" i="7"/>
  <c r="T73" i="7"/>
  <c r="W72" i="7"/>
  <c r="L72" i="7"/>
  <c r="M72" i="7" s="1"/>
  <c r="K72" i="7"/>
  <c r="J72" i="7"/>
  <c r="N72" i="7"/>
  <c r="V72" i="7"/>
  <c r="U72" i="7"/>
  <c r="T72" i="7"/>
  <c r="X72" i="7"/>
  <c r="S72" i="7"/>
  <c r="N71" i="7"/>
  <c r="L71" i="7"/>
  <c r="M71" i="7" s="1"/>
  <c r="K71" i="7"/>
  <c r="J71" i="7"/>
  <c r="X71" i="7"/>
  <c r="W71" i="7"/>
  <c r="V71" i="7"/>
  <c r="U71" i="7"/>
  <c r="T71" i="7"/>
  <c r="S71" i="7"/>
  <c r="N70" i="7"/>
  <c r="L70" i="7"/>
  <c r="M70" i="7" s="1"/>
  <c r="K70" i="7"/>
  <c r="J70" i="7"/>
  <c r="X70" i="7"/>
  <c r="W70" i="7"/>
  <c r="V70" i="7"/>
  <c r="U70" i="7"/>
  <c r="T70" i="7"/>
  <c r="S70" i="7"/>
  <c r="X69" i="7"/>
  <c r="W69" i="7"/>
  <c r="V69" i="7"/>
  <c r="U69" i="7"/>
  <c r="T69" i="7"/>
  <c r="S69" i="7"/>
  <c r="N69" i="7"/>
  <c r="L69" i="7"/>
  <c r="M69" i="7" s="1"/>
  <c r="K69" i="7"/>
  <c r="J69" i="7"/>
  <c r="N68" i="7"/>
  <c r="L68" i="7"/>
  <c r="M68" i="7" s="1"/>
  <c r="W68" i="7"/>
  <c r="J68" i="7"/>
  <c r="K68" i="7"/>
  <c r="V68" i="7"/>
  <c r="U68" i="7"/>
  <c r="T68" i="7"/>
  <c r="S68" i="7"/>
  <c r="X68" i="7"/>
  <c r="N67" i="7"/>
  <c r="L67" i="7"/>
  <c r="M67" i="7" s="1"/>
  <c r="K67" i="7"/>
  <c r="J67" i="7"/>
  <c r="X67" i="7"/>
  <c r="W67" i="7"/>
  <c r="V67" i="7"/>
  <c r="U67" i="7"/>
  <c r="T67" i="7"/>
  <c r="S67" i="7"/>
  <c r="N66" i="7"/>
  <c r="X66" i="7"/>
  <c r="L66" i="7"/>
  <c r="K66" i="7"/>
  <c r="J66" i="7"/>
  <c r="M66" i="7"/>
  <c r="W66" i="7"/>
  <c r="V66" i="7"/>
  <c r="U66" i="7"/>
  <c r="T66" i="7"/>
  <c r="S66" i="7"/>
  <c r="W65" i="7"/>
  <c r="V65" i="7"/>
  <c r="U65" i="7"/>
  <c r="T65" i="7"/>
  <c r="S65" i="7"/>
  <c r="N65" i="7"/>
  <c r="X65" i="7"/>
  <c r="K65" i="7"/>
  <c r="J65" i="7"/>
  <c r="L65" i="7"/>
  <c r="M65" i="7" s="1"/>
  <c r="N64" i="7"/>
  <c r="L64" i="7"/>
  <c r="M64" i="7" s="1"/>
  <c r="K64" i="7"/>
  <c r="J64" i="7"/>
  <c r="X64" i="7"/>
  <c r="W64" i="7"/>
  <c r="V64" i="7"/>
  <c r="U64" i="7"/>
  <c r="T64" i="7"/>
  <c r="S64" i="7"/>
  <c r="N63" i="7"/>
  <c r="L63" i="7"/>
  <c r="M63" i="7" s="1"/>
  <c r="K63" i="7"/>
  <c r="J63" i="7"/>
  <c r="T63" i="7"/>
  <c r="S63" i="7"/>
  <c r="U63" i="7"/>
  <c r="V63" i="7"/>
  <c r="X63" i="7"/>
  <c r="W63" i="7"/>
  <c r="W62" i="7"/>
  <c r="V62" i="7"/>
  <c r="U62" i="7"/>
  <c r="T62" i="7"/>
  <c r="S62" i="7"/>
  <c r="N62" i="7"/>
  <c r="L62" i="7"/>
  <c r="M62" i="7" s="1"/>
  <c r="K62" i="7"/>
  <c r="J62" i="7"/>
  <c r="X62" i="7"/>
  <c r="X61" i="7"/>
  <c r="L61" i="7"/>
  <c r="M61" i="7" s="1"/>
  <c r="K61" i="7"/>
  <c r="J61" i="7"/>
  <c r="S61" i="7"/>
  <c r="N61" i="7"/>
  <c r="U61" i="7"/>
  <c r="T61" i="7"/>
  <c r="V61" i="7"/>
  <c r="W61" i="7"/>
  <c r="X60" i="7"/>
  <c r="W60" i="7"/>
  <c r="V60" i="7"/>
  <c r="U60" i="7"/>
  <c r="T60" i="7"/>
  <c r="S60" i="7"/>
  <c r="L60" i="7"/>
  <c r="M60" i="7" s="1"/>
  <c r="K60" i="7"/>
  <c r="J60" i="7"/>
  <c r="N60" i="7"/>
  <c r="N59" i="7"/>
  <c r="L59" i="7"/>
  <c r="M59" i="7" s="1"/>
  <c r="K59" i="7"/>
  <c r="J59" i="7"/>
  <c r="X59" i="7"/>
  <c r="W59" i="7"/>
  <c r="V59" i="7"/>
  <c r="U59" i="7"/>
  <c r="T59" i="7"/>
  <c r="S59" i="7"/>
  <c r="N58" i="7"/>
  <c r="L58" i="7"/>
  <c r="M58" i="7" s="1"/>
  <c r="X58" i="7"/>
  <c r="J58" i="7"/>
  <c r="K58" i="7"/>
  <c r="W58" i="7"/>
  <c r="V58" i="7"/>
  <c r="U58" i="7"/>
  <c r="T58" i="7"/>
  <c r="S58" i="7"/>
  <c r="X57" i="7"/>
  <c r="W57" i="7"/>
  <c r="V57" i="7"/>
  <c r="U57" i="7"/>
  <c r="T57" i="7"/>
  <c r="S57" i="7"/>
  <c r="N57" i="7"/>
  <c r="L57" i="7"/>
  <c r="M57" i="7" s="1"/>
  <c r="K57" i="7"/>
  <c r="J57" i="7"/>
  <c r="N56" i="7"/>
  <c r="L56" i="7"/>
  <c r="M56" i="7" s="1"/>
  <c r="K56" i="7"/>
  <c r="J56" i="7"/>
  <c r="X56" i="7"/>
  <c r="W56" i="7"/>
  <c r="V56" i="7"/>
  <c r="U56" i="7"/>
  <c r="T56" i="7"/>
  <c r="S56" i="7"/>
  <c r="N55" i="7"/>
  <c r="L55" i="7"/>
  <c r="M55" i="7" s="1"/>
  <c r="K55" i="7"/>
  <c r="J55" i="7"/>
  <c r="T55" i="7"/>
  <c r="W55" i="7"/>
  <c r="V55" i="7"/>
  <c r="U55" i="7"/>
  <c r="X55" i="7"/>
  <c r="S55" i="7"/>
  <c r="X54" i="7"/>
  <c r="W54" i="7"/>
  <c r="V54" i="7"/>
  <c r="U54" i="7"/>
  <c r="T54" i="7"/>
  <c r="S54" i="7"/>
  <c r="N54" i="7"/>
  <c r="L54" i="7"/>
  <c r="M54" i="7" s="1"/>
  <c r="K54" i="7"/>
  <c r="J54" i="7"/>
  <c r="N53" i="7"/>
  <c r="W53" i="7"/>
  <c r="K53" i="7"/>
  <c r="J53" i="7"/>
  <c r="L53" i="7"/>
  <c r="M53" i="7" s="1"/>
  <c r="V53" i="7"/>
  <c r="U53" i="7"/>
  <c r="T53" i="7"/>
  <c r="S53" i="7"/>
  <c r="X53" i="7"/>
  <c r="N52" i="7"/>
  <c r="L52" i="7"/>
  <c r="M52" i="7" s="1"/>
  <c r="K52" i="7"/>
  <c r="J52" i="7"/>
  <c r="X52" i="7"/>
  <c r="W52" i="7"/>
  <c r="V52" i="7"/>
  <c r="U52" i="7"/>
  <c r="T52" i="7"/>
  <c r="S52" i="7"/>
  <c r="N51" i="7"/>
  <c r="X51" i="7"/>
  <c r="K51" i="7"/>
  <c r="J51" i="7"/>
  <c r="L51" i="7"/>
  <c r="M51" i="7" s="1"/>
  <c r="W51" i="7"/>
  <c r="V51" i="7"/>
  <c r="U51" i="7"/>
  <c r="T51" i="7"/>
  <c r="S51" i="7"/>
  <c r="W50" i="7"/>
  <c r="V50" i="7"/>
  <c r="U50" i="7"/>
  <c r="T50" i="7"/>
  <c r="S50" i="7"/>
  <c r="N50" i="7"/>
  <c r="X50" i="7"/>
  <c r="K50" i="7"/>
  <c r="J50" i="7"/>
  <c r="L50" i="7"/>
  <c r="M50" i="7" s="1"/>
  <c r="N49" i="7"/>
  <c r="L49" i="7"/>
  <c r="M49" i="7" s="1"/>
  <c r="K49" i="7"/>
  <c r="J49" i="7"/>
  <c r="S49" i="7"/>
  <c r="X49" i="7"/>
  <c r="W49" i="7"/>
  <c r="V49" i="7"/>
  <c r="U49" i="7"/>
  <c r="T49" i="7"/>
  <c r="N48" i="7"/>
  <c r="L48" i="7"/>
  <c r="M48" i="7" s="1"/>
  <c r="K48" i="7"/>
  <c r="J48" i="7"/>
  <c r="U48" i="7"/>
  <c r="T48" i="7"/>
  <c r="S48" i="7"/>
  <c r="X48" i="7"/>
  <c r="W48" i="7"/>
  <c r="V48" i="7"/>
  <c r="X47" i="7"/>
  <c r="W47" i="7"/>
  <c r="V47" i="7"/>
  <c r="U47" i="7"/>
  <c r="T47" i="7"/>
  <c r="S47" i="7"/>
  <c r="N47" i="7"/>
  <c r="L47" i="7"/>
  <c r="M47" i="7" s="1"/>
  <c r="K47" i="7"/>
  <c r="J47" i="7"/>
  <c r="N46" i="7"/>
  <c r="L46" i="7"/>
  <c r="M46" i="7" s="1"/>
  <c r="K46" i="7"/>
  <c r="J46" i="7"/>
  <c r="W46" i="7"/>
  <c r="V46" i="7"/>
  <c r="U46" i="7"/>
  <c r="T46" i="7"/>
  <c r="S46" i="7"/>
  <c r="X46" i="7"/>
  <c r="N45" i="7"/>
  <c r="L45" i="7"/>
  <c r="M45" i="7" s="1"/>
  <c r="K45" i="7"/>
  <c r="J45" i="7"/>
  <c r="X45" i="7"/>
  <c r="W45" i="7"/>
  <c r="V45" i="7"/>
  <c r="U45" i="7"/>
  <c r="T45" i="7"/>
  <c r="S45" i="7"/>
  <c r="N44" i="7"/>
  <c r="L44" i="7"/>
  <c r="M44" i="7" s="1"/>
  <c r="K44" i="7"/>
  <c r="J44" i="7"/>
  <c r="X44" i="7"/>
  <c r="W44" i="7"/>
  <c r="V44" i="7"/>
  <c r="U44" i="7"/>
  <c r="T44" i="7"/>
  <c r="S44" i="7"/>
  <c r="W43" i="7"/>
  <c r="V43" i="7"/>
  <c r="U43" i="7"/>
  <c r="T43" i="7"/>
  <c r="S43" i="7"/>
  <c r="N43" i="7"/>
  <c r="X43" i="7"/>
  <c r="K43" i="7"/>
  <c r="J43" i="7"/>
  <c r="L43" i="7"/>
  <c r="M43" i="7" s="1"/>
  <c r="N42" i="7"/>
  <c r="L42" i="7"/>
  <c r="M42" i="7" s="1"/>
  <c r="K42" i="7"/>
  <c r="J42" i="7"/>
  <c r="X42" i="7"/>
  <c r="W42" i="7"/>
  <c r="V42" i="7"/>
  <c r="U42" i="7"/>
  <c r="T42" i="7"/>
  <c r="S42" i="7"/>
  <c r="N41" i="7"/>
  <c r="L41" i="7"/>
  <c r="M41" i="7" s="1"/>
  <c r="K41" i="7"/>
  <c r="J41" i="7"/>
  <c r="X41" i="7"/>
  <c r="W41" i="7"/>
  <c r="V41" i="7"/>
  <c r="U41" i="7"/>
  <c r="T41" i="7"/>
  <c r="S41" i="7"/>
  <c r="X40" i="7"/>
  <c r="W40" i="7"/>
  <c r="V40" i="7"/>
  <c r="U40" i="7"/>
  <c r="T40" i="7"/>
  <c r="S40" i="7"/>
  <c r="N40" i="7"/>
  <c r="L40" i="7"/>
  <c r="M40" i="7" s="1"/>
  <c r="K40" i="7"/>
  <c r="J40" i="7"/>
  <c r="W39" i="7"/>
  <c r="L39" i="7"/>
  <c r="M39" i="7" s="1"/>
  <c r="K39" i="7"/>
  <c r="J39" i="7"/>
  <c r="N39" i="7"/>
  <c r="V39" i="7"/>
  <c r="U39" i="7"/>
  <c r="T39" i="7"/>
  <c r="S39" i="7"/>
  <c r="X39" i="7"/>
  <c r="N38" i="7"/>
  <c r="L38" i="7"/>
  <c r="M38" i="7" s="1"/>
  <c r="K38" i="7"/>
  <c r="J38" i="7"/>
  <c r="X38" i="7"/>
  <c r="W38" i="7"/>
  <c r="V38" i="7"/>
  <c r="U38" i="7"/>
  <c r="T38" i="7"/>
  <c r="S38" i="7"/>
  <c r="N37" i="7"/>
  <c r="L37" i="7"/>
  <c r="M37" i="7" s="1"/>
  <c r="K37" i="7"/>
  <c r="J37" i="7"/>
  <c r="W37" i="7"/>
  <c r="V37" i="7"/>
  <c r="U37" i="7"/>
  <c r="T37" i="7"/>
  <c r="S37" i="7"/>
  <c r="X37" i="7"/>
  <c r="N36" i="7"/>
  <c r="L36" i="7"/>
  <c r="M36" i="7" s="1"/>
  <c r="K36" i="7"/>
  <c r="J36" i="7"/>
  <c r="X36" i="7"/>
  <c r="W36" i="7"/>
  <c r="V36" i="7"/>
  <c r="U36" i="7"/>
  <c r="T36" i="7"/>
  <c r="S36" i="7"/>
  <c r="N35" i="7"/>
  <c r="L35" i="7"/>
  <c r="M35" i="7" s="1"/>
  <c r="K35" i="7"/>
  <c r="J35" i="7"/>
  <c r="S35" i="7"/>
  <c r="X35" i="7"/>
  <c r="W35" i="7"/>
  <c r="V35" i="7"/>
  <c r="U35" i="7"/>
  <c r="T35" i="7"/>
  <c r="X34" i="7"/>
  <c r="W34" i="7"/>
  <c r="V34" i="7"/>
  <c r="U34" i="7"/>
  <c r="T34" i="7"/>
  <c r="S34" i="7"/>
  <c r="N34" i="7"/>
  <c r="L34" i="7"/>
  <c r="M34" i="7" s="1"/>
  <c r="K34" i="7"/>
  <c r="J34" i="7"/>
  <c r="N33" i="7"/>
  <c r="L33" i="7"/>
  <c r="M33" i="7" s="1"/>
  <c r="K33" i="7"/>
  <c r="J33" i="7"/>
  <c r="W33" i="7"/>
  <c r="V33" i="7"/>
  <c r="U33" i="7"/>
  <c r="T33" i="7"/>
  <c r="S33" i="7"/>
  <c r="X33" i="7"/>
  <c r="N32" i="7"/>
  <c r="L32" i="7"/>
  <c r="M32" i="7" s="1"/>
  <c r="K32" i="7"/>
  <c r="J32" i="7"/>
  <c r="X32" i="7"/>
  <c r="W32" i="7"/>
  <c r="V32" i="7"/>
  <c r="U32" i="7"/>
  <c r="T32" i="7"/>
  <c r="S32" i="7"/>
  <c r="N31" i="7"/>
  <c r="L31" i="7"/>
  <c r="M31" i="7" s="1"/>
  <c r="K31" i="7"/>
  <c r="J31" i="7"/>
  <c r="X31" i="7"/>
  <c r="W31" i="7"/>
  <c r="V31" i="7"/>
  <c r="U31" i="7"/>
  <c r="T31" i="7"/>
  <c r="S31" i="7"/>
  <c r="W30" i="7"/>
  <c r="V30" i="7"/>
  <c r="U30" i="7"/>
  <c r="T30" i="7"/>
  <c r="N30" i="7"/>
  <c r="X30" i="7"/>
  <c r="K30" i="7"/>
  <c r="J30" i="7"/>
  <c r="S30" i="7"/>
  <c r="L30" i="7"/>
  <c r="M30" i="7" s="1"/>
  <c r="N29" i="7"/>
  <c r="L29" i="7"/>
  <c r="M29" i="7" s="1"/>
  <c r="K29" i="7"/>
  <c r="J29" i="7"/>
  <c r="X29" i="7"/>
  <c r="W29" i="7"/>
  <c r="V29" i="7"/>
  <c r="U29" i="7"/>
  <c r="T29" i="7"/>
  <c r="S29" i="7"/>
  <c r="N28" i="7"/>
  <c r="L28" i="7"/>
  <c r="M28" i="7" s="1"/>
  <c r="K28" i="7"/>
  <c r="J28" i="7"/>
  <c r="X28" i="7"/>
  <c r="W28" i="7"/>
  <c r="V28" i="7"/>
  <c r="U28" i="7"/>
  <c r="T28" i="7"/>
  <c r="S28" i="7"/>
  <c r="W27" i="7"/>
  <c r="V27" i="7"/>
  <c r="U27" i="7"/>
  <c r="T27" i="7"/>
  <c r="X27" i="7"/>
  <c r="N27" i="7"/>
  <c r="L27" i="7"/>
  <c r="M27" i="7" s="1"/>
  <c r="K27" i="7"/>
  <c r="J27" i="7"/>
  <c r="S27" i="7"/>
  <c r="N26" i="7"/>
  <c r="L26" i="7"/>
  <c r="M26" i="7" s="1"/>
  <c r="K26" i="7"/>
  <c r="J26" i="7"/>
  <c r="X26" i="7"/>
  <c r="W26" i="7"/>
  <c r="V26" i="7"/>
  <c r="U26" i="7"/>
  <c r="T26" i="7"/>
  <c r="S26" i="7"/>
  <c r="X25" i="7"/>
  <c r="L25" i="7"/>
  <c r="M25" i="7" s="1"/>
  <c r="K25" i="7"/>
  <c r="J25" i="7"/>
  <c r="N25" i="7"/>
  <c r="V25" i="7"/>
  <c r="U25" i="7"/>
  <c r="T25" i="7"/>
  <c r="S25" i="7"/>
  <c r="W25" i="7"/>
  <c r="N24" i="7"/>
  <c r="L24" i="7"/>
  <c r="M24" i="7" s="1"/>
  <c r="K24" i="7"/>
  <c r="J24" i="7"/>
  <c r="S24" i="7"/>
  <c r="X24" i="7"/>
  <c r="W24" i="7"/>
  <c r="V24" i="7"/>
  <c r="U24" i="7"/>
  <c r="T24" i="7"/>
  <c r="N23" i="7"/>
  <c r="L23" i="7"/>
  <c r="M23" i="7" s="1"/>
  <c r="K23" i="7"/>
  <c r="J23" i="7"/>
  <c r="T23" i="7"/>
  <c r="S23" i="7"/>
  <c r="X23" i="7"/>
  <c r="W23" i="7"/>
  <c r="V23" i="7"/>
  <c r="U23" i="7"/>
  <c r="X22" i="7"/>
  <c r="W22" i="7"/>
  <c r="V22" i="7"/>
  <c r="U22" i="7"/>
  <c r="T22" i="7"/>
  <c r="S22" i="7"/>
  <c r="N22" i="7"/>
  <c r="L22" i="7"/>
  <c r="M22" i="7" s="1"/>
  <c r="K22" i="7"/>
  <c r="J22" i="7"/>
  <c r="N21" i="7"/>
  <c r="L21" i="7"/>
  <c r="M21" i="7" s="1"/>
  <c r="K21" i="7"/>
  <c r="J21" i="7"/>
  <c r="W21" i="7"/>
  <c r="V21" i="7"/>
  <c r="U21" i="7"/>
  <c r="T21" i="7"/>
  <c r="S21" i="7"/>
  <c r="X21" i="7"/>
  <c r="N20" i="7"/>
  <c r="L20" i="7"/>
  <c r="M20" i="7" s="1"/>
  <c r="K20" i="7"/>
  <c r="J20" i="7"/>
  <c r="X20" i="7"/>
  <c r="W20" i="7"/>
  <c r="V20" i="7"/>
  <c r="U20" i="7"/>
  <c r="T20" i="7"/>
  <c r="S20" i="7"/>
  <c r="N19" i="7"/>
  <c r="L19" i="7"/>
  <c r="M19" i="7" s="1"/>
  <c r="K19" i="7"/>
  <c r="J19" i="7"/>
  <c r="X19" i="7"/>
  <c r="W19" i="7"/>
  <c r="V19" i="7"/>
  <c r="U19" i="7"/>
  <c r="T19" i="7"/>
  <c r="S19" i="7"/>
  <c r="W18" i="7"/>
  <c r="V18" i="7"/>
  <c r="U18" i="7"/>
  <c r="T18" i="7"/>
  <c r="S18" i="7"/>
  <c r="N18" i="7"/>
  <c r="X18" i="7"/>
  <c r="K18" i="7"/>
  <c r="J18" i="7"/>
  <c r="L18" i="7"/>
  <c r="M18" i="7" s="1"/>
  <c r="N17" i="7"/>
  <c r="L17" i="7"/>
  <c r="M17" i="7" s="1"/>
  <c r="K17" i="7"/>
  <c r="J17" i="7"/>
  <c r="X17" i="7"/>
  <c r="W17" i="7"/>
  <c r="V17" i="7"/>
  <c r="U17" i="7"/>
  <c r="T17" i="7"/>
  <c r="S17" i="7"/>
  <c r="N16" i="7"/>
  <c r="L16" i="7"/>
  <c r="M16" i="7" s="1"/>
  <c r="K16" i="7"/>
  <c r="J16" i="7"/>
  <c r="X16" i="7"/>
  <c r="W16" i="7"/>
  <c r="V16" i="7"/>
  <c r="U16" i="7"/>
  <c r="T16" i="7"/>
  <c r="S16" i="7"/>
  <c r="X15" i="7"/>
  <c r="W15" i="7"/>
  <c r="V15" i="7"/>
  <c r="U15" i="7"/>
  <c r="T15" i="7"/>
  <c r="S15" i="7"/>
  <c r="N15" i="7"/>
  <c r="L15" i="7"/>
  <c r="M15" i="7" s="1"/>
  <c r="K15" i="7"/>
  <c r="J15" i="7"/>
  <c r="W14" i="7"/>
  <c r="L14" i="7"/>
  <c r="M14" i="7" s="1"/>
  <c r="K14" i="7"/>
  <c r="J14" i="7"/>
  <c r="N14" i="7"/>
  <c r="V14" i="7"/>
  <c r="U14" i="7"/>
  <c r="T14" i="7"/>
  <c r="S14" i="7"/>
  <c r="X14" i="7"/>
  <c r="N13" i="7"/>
  <c r="L13" i="7"/>
  <c r="M13" i="7" s="1"/>
  <c r="K13" i="7"/>
  <c r="J13" i="7"/>
  <c r="X13" i="7"/>
  <c r="W13" i="7"/>
  <c r="V13" i="7"/>
  <c r="U13" i="7"/>
  <c r="T13" i="7"/>
  <c r="S13" i="7"/>
  <c r="N12" i="7"/>
  <c r="L12" i="7"/>
  <c r="M12" i="7" s="1"/>
  <c r="W12" i="7"/>
  <c r="J12" i="7"/>
  <c r="K12" i="7"/>
  <c r="V12" i="7"/>
  <c r="U12" i="7"/>
  <c r="T12" i="7"/>
  <c r="S12" i="7"/>
  <c r="X12" i="7"/>
  <c r="N11" i="7"/>
  <c r="L11" i="7"/>
  <c r="M11" i="7" s="1"/>
  <c r="K11" i="7"/>
  <c r="J11" i="7"/>
  <c r="X11" i="7"/>
  <c r="W11" i="7"/>
  <c r="V11" i="7"/>
  <c r="U11" i="7"/>
  <c r="T11" i="7"/>
  <c r="S11" i="7"/>
  <c r="N10" i="7"/>
  <c r="L10" i="7"/>
  <c r="M10" i="7" s="1"/>
  <c r="K10" i="7"/>
  <c r="J10" i="7"/>
  <c r="S10" i="7"/>
  <c r="X10" i="7"/>
  <c r="W10" i="7"/>
  <c r="V10" i="7"/>
  <c r="U10" i="7"/>
  <c r="T10" i="7"/>
  <c r="X9" i="7"/>
  <c r="W9" i="7"/>
  <c r="V9" i="7"/>
  <c r="U9" i="7"/>
  <c r="T9" i="7"/>
  <c r="S9" i="7"/>
  <c r="N9" i="7"/>
  <c r="L9" i="7"/>
  <c r="M9" i="7" s="1"/>
  <c r="K9" i="7"/>
  <c r="J9" i="7"/>
  <c r="N8" i="7"/>
  <c r="L8" i="7"/>
  <c r="M8" i="7" s="1"/>
  <c r="K8" i="7"/>
  <c r="J8" i="7"/>
  <c r="W8" i="7"/>
  <c r="V8" i="7"/>
  <c r="U8" i="7"/>
  <c r="T8" i="7"/>
  <c r="S8" i="7"/>
  <c r="X8" i="7"/>
  <c r="N7" i="7"/>
  <c r="L7" i="7"/>
  <c r="M7" i="7" s="1"/>
  <c r="K7" i="7"/>
  <c r="J7" i="7"/>
  <c r="X7" i="7"/>
  <c r="W7" i="7"/>
  <c r="V7" i="7"/>
  <c r="U7" i="7"/>
  <c r="T7" i="7"/>
  <c r="S7" i="7"/>
  <c r="K6" i="7"/>
  <c r="J6" i="7"/>
  <c r="K5" i="7"/>
  <c r="J5" i="7"/>
  <c r="X5" i="7"/>
  <c r="L124" i="6"/>
  <c r="K124" i="6"/>
  <c r="J124" i="6"/>
  <c r="I124" i="6"/>
  <c r="H124" i="6"/>
  <c r="F124" i="6"/>
  <c r="G124" i="6" s="1"/>
  <c r="K123" i="6"/>
  <c r="J123" i="6"/>
  <c r="I123" i="6"/>
  <c r="F123" i="6"/>
  <c r="G123" i="6" s="1"/>
  <c r="H123" i="6"/>
  <c r="L123" i="6"/>
  <c r="K122" i="6"/>
  <c r="J122" i="6"/>
  <c r="I122" i="6"/>
  <c r="H122" i="6"/>
  <c r="F122" i="6"/>
  <c r="G122" i="6" s="1"/>
  <c r="L122" i="6"/>
  <c r="K121" i="6"/>
  <c r="J121" i="6"/>
  <c r="I121" i="6"/>
  <c r="H121" i="6"/>
  <c r="F121" i="6"/>
  <c r="G121" i="6" s="1"/>
  <c r="L121" i="6"/>
  <c r="I120" i="6"/>
  <c r="K120" i="6"/>
  <c r="J120" i="6"/>
  <c r="H120" i="6"/>
  <c r="F120" i="6"/>
  <c r="G120" i="6" s="1"/>
  <c r="L120" i="6"/>
  <c r="J119" i="6"/>
  <c r="I119" i="6"/>
  <c r="H119" i="6"/>
  <c r="F119" i="6"/>
  <c r="G119" i="6" s="1"/>
  <c r="K119" i="6"/>
  <c r="L119" i="6"/>
  <c r="L118" i="6"/>
  <c r="K118" i="6"/>
  <c r="J118" i="6"/>
  <c r="I118" i="6"/>
  <c r="H118" i="6"/>
  <c r="F118" i="6"/>
  <c r="G118" i="6" s="1"/>
  <c r="L117" i="6"/>
  <c r="K117" i="6"/>
  <c r="F117" i="6"/>
  <c r="G117" i="6" s="1"/>
  <c r="H117" i="6"/>
  <c r="I117" i="6"/>
  <c r="J117" i="6"/>
  <c r="I116" i="6"/>
  <c r="H116" i="6"/>
  <c r="F116" i="6"/>
  <c r="G116" i="6" s="1"/>
  <c r="L116" i="6"/>
  <c r="J116" i="6"/>
  <c r="K116" i="6"/>
  <c r="L115" i="6"/>
  <c r="K115" i="6"/>
  <c r="J115" i="6"/>
  <c r="I115" i="6"/>
  <c r="H115" i="6"/>
  <c r="F115" i="6"/>
  <c r="G115" i="6" s="1"/>
  <c r="K114" i="6"/>
  <c r="J114" i="6"/>
  <c r="I114" i="6"/>
  <c r="H114" i="6"/>
  <c r="F114" i="6"/>
  <c r="G114" i="6" s="1"/>
  <c r="L114" i="6"/>
  <c r="L113" i="6"/>
  <c r="K113" i="6"/>
  <c r="J113" i="6"/>
  <c r="I113" i="6"/>
  <c r="H113" i="6"/>
  <c r="F113" i="6"/>
  <c r="G113" i="6" s="1"/>
  <c r="K112" i="6"/>
  <c r="J112" i="6"/>
  <c r="I112" i="6"/>
  <c r="H112" i="6"/>
  <c r="F112" i="6"/>
  <c r="G112" i="6" s="1"/>
  <c r="L112" i="6"/>
  <c r="L111" i="6"/>
  <c r="K111" i="6"/>
  <c r="I111" i="6"/>
  <c r="H111" i="6"/>
  <c r="F111" i="6"/>
  <c r="G111" i="6" s="1"/>
  <c r="J111" i="6"/>
  <c r="L110" i="6"/>
  <c r="K110" i="6"/>
  <c r="J110" i="6"/>
  <c r="I110" i="6"/>
  <c r="F110" i="6"/>
  <c r="G110" i="6" s="1"/>
  <c r="H110" i="6"/>
  <c r="K109" i="6"/>
  <c r="J109" i="6"/>
  <c r="I109" i="6"/>
  <c r="H109" i="6"/>
  <c r="F109" i="6"/>
  <c r="G109" i="6" s="1"/>
  <c r="L109" i="6"/>
  <c r="L108" i="6"/>
  <c r="K108" i="6"/>
  <c r="J108" i="6"/>
  <c r="I108" i="6"/>
  <c r="H108" i="6"/>
  <c r="F108" i="6"/>
  <c r="G108" i="6" s="1"/>
  <c r="K107" i="6"/>
  <c r="J107" i="6"/>
  <c r="I107" i="6"/>
  <c r="H107" i="6"/>
  <c r="F107" i="6"/>
  <c r="G107" i="6" s="1"/>
  <c r="L107" i="6"/>
  <c r="L106" i="6"/>
  <c r="K106" i="6"/>
  <c r="J106" i="6"/>
  <c r="I106" i="6"/>
  <c r="H106" i="6"/>
  <c r="F106" i="6"/>
  <c r="G106" i="6" s="1"/>
  <c r="L105" i="6"/>
  <c r="K105" i="6"/>
  <c r="J105" i="6"/>
  <c r="I105" i="6"/>
  <c r="H105" i="6"/>
  <c r="F105" i="6"/>
  <c r="G105" i="6" s="1"/>
  <c r="L104" i="6"/>
  <c r="K104" i="6"/>
  <c r="J104" i="6"/>
  <c r="I104" i="6"/>
  <c r="H104" i="6"/>
  <c r="F104" i="6"/>
  <c r="G104" i="6" s="1"/>
  <c r="K103" i="6"/>
  <c r="J103" i="6"/>
  <c r="I103" i="6"/>
  <c r="H103" i="6"/>
  <c r="F103" i="6"/>
  <c r="G103" i="6" s="1"/>
  <c r="L103" i="6"/>
  <c r="L102" i="6"/>
  <c r="K102" i="6"/>
  <c r="J102" i="6"/>
  <c r="I102" i="6"/>
  <c r="H102" i="6"/>
  <c r="F102" i="6"/>
  <c r="G102" i="6" s="1"/>
  <c r="K101" i="6"/>
  <c r="J101" i="6"/>
  <c r="H101" i="6"/>
  <c r="F101" i="6"/>
  <c r="G101" i="6" s="1"/>
  <c r="I101" i="6"/>
  <c r="L101" i="6"/>
  <c r="K100" i="6"/>
  <c r="J100" i="6"/>
  <c r="I100" i="6"/>
  <c r="H100" i="6"/>
  <c r="F100" i="6"/>
  <c r="G100" i="6" s="1"/>
  <c r="L100" i="6"/>
  <c r="K99" i="6"/>
  <c r="J99" i="6"/>
  <c r="I99" i="6"/>
  <c r="H99" i="6"/>
  <c r="F99" i="6"/>
  <c r="G99" i="6" s="1"/>
  <c r="L99" i="6"/>
  <c r="F98" i="6"/>
  <c r="G98" i="6" s="1"/>
  <c r="K98" i="6"/>
  <c r="L98" i="6"/>
  <c r="H98" i="6"/>
  <c r="I98" i="6"/>
  <c r="J98" i="6"/>
  <c r="J97" i="6"/>
  <c r="I97" i="6"/>
  <c r="H97" i="6"/>
  <c r="F97" i="6"/>
  <c r="G97" i="6" s="1"/>
  <c r="K97" i="6"/>
  <c r="L97" i="6"/>
  <c r="L96" i="6"/>
  <c r="K96" i="6"/>
  <c r="J96" i="6"/>
  <c r="I96" i="6"/>
  <c r="H96" i="6"/>
  <c r="F96" i="6"/>
  <c r="G96" i="6" s="1"/>
  <c r="L95" i="6"/>
  <c r="K95" i="6"/>
  <c r="F95" i="6"/>
  <c r="G95" i="6" s="1"/>
  <c r="H95" i="6"/>
  <c r="I95" i="6"/>
  <c r="J95" i="6"/>
  <c r="I94" i="6"/>
  <c r="H94" i="6"/>
  <c r="F94" i="6"/>
  <c r="G94" i="6" s="1"/>
  <c r="J94" i="6"/>
  <c r="L94" i="6"/>
  <c r="K94" i="6"/>
  <c r="L93" i="6"/>
  <c r="K93" i="6"/>
  <c r="J93" i="6"/>
  <c r="I93" i="6"/>
  <c r="H93" i="6"/>
  <c r="F93" i="6"/>
  <c r="G93" i="6" s="1"/>
  <c r="K92" i="6"/>
  <c r="J92" i="6"/>
  <c r="I92" i="6"/>
  <c r="H92" i="6"/>
  <c r="F92" i="6"/>
  <c r="G92" i="6" s="1"/>
  <c r="L92" i="6"/>
  <c r="L91" i="6"/>
  <c r="K91" i="6"/>
  <c r="J91" i="6"/>
  <c r="I91" i="6"/>
  <c r="H91" i="6"/>
  <c r="F91" i="6"/>
  <c r="G91" i="6" s="1"/>
  <c r="K90" i="6"/>
  <c r="J90" i="6"/>
  <c r="I90" i="6"/>
  <c r="F90" i="6"/>
  <c r="G90" i="6" s="1"/>
  <c r="H90" i="6"/>
  <c r="L90" i="6"/>
  <c r="K89" i="6"/>
  <c r="J89" i="6"/>
  <c r="I89" i="6"/>
  <c r="H89" i="6"/>
  <c r="L89" i="6"/>
  <c r="F89" i="6"/>
  <c r="G89" i="6" s="1"/>
  <c r="K88" i="6"/>
  <c r="J88" i="6"/>
  <c r="I88" i="6"/>
  <c r="H88" i="6"/>
  <c r="F88" i="6"/>
  <c r="G88" i="6" s="1"/>
  <c r="L88" i="6"/>
  <c r="L87" i="6"/>
  <c r="J87" i="6"/>
  <c r="K87" i="6"/>
  <c r="I87" i="6"/>
  <c r="H87" i="6"/>
  <c r="F87" i="6"/>
  <c r="G87" i="6" s="1"/>
  <c r="K86" i="6"/>
  <c r="J86" i="6"/>
  <c r="I86" i="6"/>
  <c r="H86" i="6"/>
  <c r="F86" i="6"/>
  <c r="G86" i="6" s="1"/>
  <c r="L86" i="6"/>
  <c r="L85" i="6"/>
  <c r="K85" i="6"/>
  <c r="J85" i="6"/>
  <c r="I85" i="6"/>
  <c r="H85" i="6"/>
  <c r="F85" i="6"/>
  <c r="G85" i="6" s="1"/>
  <c r="K84" i="6"/>
  <c r="J84" i="6"/>
  <c r="I84" i="6"/>
  <c r="H84" i="6"/>
  <c r="F84" i="6"/>
  <c r="G84" i="6" s="1"/>
  <c r="L84" i="6"/>
  <c r="K83" i="6"/>
  <c r="J83" i="6"/>
  <c r="I83" i="6"/>
  <c r="H83" i="6"/>
  <c r="F83" i="6"/>
  <c r="G83" i="6" s="1"/>
  <c r="L83" i="6"/>
  <c r="K82" i="6"/>
  <c r="J82" i="6"/>
  <c r="F82" i="6"/>
  <c r="G82" i="6" s="1"/>
  <c r="I82" i="6"/>
  <c r="H82" i="6"/>
  <c r="L82" i="6"/>
  <c r="K81" i="6"/>
  <c r="I81" i="6"/>
  <c r="H81" i="6"/>
  <c r="F81" i="6"/>
  <c r="G81" i="6" s="1"/>
  <c r="L81" i="6"/>
  <c r="J81" i="6"/>
  <c r="K80" i="6"/>
  <c r="J80" i="6"/>
  <c r="I80" i="6"/>
  <c r="H80" i="6"/>
  <c r="F80" i="6"/>
  <c r="G80" i="6" s="1"/>
  <c r="L80" i="6"/>
  <c r="F79" i="6"/>
  <c r="G79" i="6" s="1"/>
  <c r="H79" i="6"/>
  <c r="J79" i="6"/>
  <c r="K79" i="6"/>
  <c r="L79" i="6"/>
  <c r="I79" i="6"/>
  <c r="K78" i="6"/>
  <c r="J78" i="6"/>
  <c r="I78" i="6"/>
  <c r="H78" i="6"/>
  <c r="F78" i="6"/>
  <c r="G78" i="6" s="1"/>
  <c r="L78" i="6"/>
  <c r="K76" i="6"/>
  <c r="J76" i="6"/>
  <c r="I76" i="6"/>
  <c r="H76" i="6"/>
  <c r="F76" i="6"/>
  <c r="G76" i="6" s="1"/>
  <c r="L76" i="6"/>
  <c r="F75" i="6"/>
  <c r="G75" i="6" s="1"/>
  <c r="H75" i="6"/>
  <c r="I75" i="6"/>
  <c r="J75" i="6"/>
  <c r="L75" i="6"/>
  <c r="K75" i="6"/>
  <c r="K74" i="6"/>
  <c r="F74" i="6"/>
  <c r="G74" i="6" s="1"/>
  <c r="H74" i="6"/>
  <c r="I74" i="6"/>
  <c r="J74" i="6"/>
  <c r="L74" i="6"/>
  <c r="J73" i="6"/>
  <c r="L73" i="6"/>
  <c r="K73" i="6"/>
  <c r="F73" i="6"/>
  <c r="G73" i="6" s="1"/>
  <c r="H73" i="6"/>
  <c r="I73" i="6"/>
  <c r="K72" i="6"/>
  <c r="J72" i="6"/>
  <c r="H72" i="6"/>
  <c r="F72" i="6"/>
  <c r="G72" i="6" s="1"/>
  <c r="L72" i="6"/>
  <c r="I72" i="6"/>
  <c r="L71" i="6"/>
  <c r="K71" i="6"/>
  <c r="J71" i="6"/>
  <c r="I71" i="6"/>
  <c r="H71" i="6"/>
  <c r="F71" i="6"/>
  <c r="G71" i="6" s="1"/>
  <c r="L70" i="6"/>
  <c r="K70" i="6"/>
  <c r="J70" i="6"/>
  <c r="I70" i="6"/>
  <c r="H70" i="6"/>
  <c r="F70" i="6"/>
  <c r="G70" i="6" s="1"/>
  <c r="F69" i="6"/>
  <c r="G69" i="6" s="1"/>
  <c r="H69" i="6"/>
  <c r="I69" i="6"/>
  <c r="J69" i="6"/>
  <c r="K69" i="6"/>
  <c r="L69" i="6"/>
  <c r="L68" i="6"/>
  <c r="K68" i="6"/>
  <c r="J68" i="6"/>
  <c r="I68" i="6"/>
  <c r="H68" i="6"/>
  <c r="F68" i="6"/>
  <c r="G68" i="6" s="1"/>
  <c r="L67" i="6"/>
  <c r="K67" i="6"/>
  <c r="J67" i="6"/>
  <c r="H67" i="6"/>
  <c r="F67" i="6"/>
  <c r="G67" i="6" s="1"/>
  <c r="I67" i="6"/>
  <c r="L66" i="6"/>
  <c r="K66" i="6"/>
  <c r="J66" i="6"/>
  <c r="I66" i="6"/>
  <c r="H66" i="6"/>
  <c r="F66" i="6"/>
  <c r="G66" i="6" s="1"/>
  <c r="L65" i="6"/>
  <c r="K65" i="6"/>
  <c r="J65" i="6"/>
  <c r="I65" i="6"/>
  <c r="H65" i="6"/>
  <c r="F65" i="6"/>
  <c r="G65" i="6" s="1"/>
  <c r="L64" i="6"/>
  <c r="K64" i="6"/>
  <c r="J64" i="6"/>
  <c r="I64" i="6"/>
  <c r="H64" i="6"/>
  <c r="F64" i="6"/>
  <c r="G64" i="6" s="1"/>
  <c r="L63" i="6"/>
  <c r="K63" i="6"/>
  <c r="J63" i="6"/>
  <c r="I63" i="6"/>
  <c r="H63" i="6"/>
  <c r="F63" i="6"/>
  <c r="G63" i="6" s="1"/>
  <c r="L62" i="6"/>
  <c r="K62" i="6"/>
  <c r="J62" i="6"/>
  <c r="H62" i="6"/>
  <c r="F62" i="6"/>
  <c r="G62" i="6" s="1"/>
  <c r="I62" i="6"/>
  <c r="L61" i="6"/>
  <c r="K61" i="6"/>
  <c r="J61" i="6"/>
  <c r="I61" i="6"/>
  <c r="H61" i="6"/>
  <c r="F61" i="6"/>
  <c r="G61" i="6" s="1"/>
  <c r="L60" i="6"/>
  <c r="K60" i="6"/>
  <c r="J60" i="6"/>
  <c r="I60" i="6"/>
  <c r="H60" i="6"/>
  <c r="F60" i="6"/>
  <c r="G60" i="6" s="1"/>
  <c r="L59" i="6"/>
  <c r="K59" i="6"/>
  <c r="J59" i="6"/>
  <c r="I59" i="6"/>
  <c r="H59" i="6"/>
  <c r="F59" i="6"/>
  <c r="G59" i="6" s="1"/>
  <c r="F58" i="6"/>
  <c r="G58" i="6" s="1"/>
  <c r="L58" i="6"/>
  <c r="K58" i="6"/>
  <c r="J58" i="6"/>
  <c r="I58" i="6"/>
  <c r="H58" i="6"/>
  <c r="J57" i="6"/>
  <c r="I57" i="6"/>
  <c r="H57" i="6"/>
  <c r="F57" i="6"/>
  <c r="G57" i="6" s="1"/>
  <c r="K57" i="6"/>
  <c r="L57" i="6"/>
  <c r="K56" i="6"/>
  <c r="F56" i="6"/>
  <c r="G56" i="6" s="1"/>
  <c r="H56" i="6"/>
  <c r="I56" i="6"/>
  <c r="J56" i="6"/>
  <c r="L56" i="6"/>
  <c r="L55" i="6"/>
  <c r="F55" i="6"/>
  <c r="G55" i="6" s="1"/>
  <c r="I55" i="6"/>
  <c r="H55" i="6"/>
  <c r="J55" i="6"/>
  <c r="K55" i="6"/>
  <c r="I54" i="6"/>
  <c r="J54" i="6"/>
  <c r="K54" i="6"/>
  <c r="L54" i="6"/>
  <c r="F54" i="6"/>
  <c r="G54" i="6" s="1"/>
  <c r="H54" i="6"/>
  <c r="K53" i="6"/>
  <c r="J53" i="6"/>
  <c r="I53" i="6"/>
  <c r="L53" i="6"/>
  <c r="H53" i="6"/>
  <c r="F53" i="6"/>
  <c r="G53" i="6" s="1"/>
  <c r="L52" i="6"/>
  <c r="F52" i="6"/>
  <c r="G52" i="6" s="1"/>
  <c r="H52" i="6"/>
  <c r="I52" i="6"/>
  <c r="K52" i="6"/>
  <c r="J52" i="6"/>
  <c r="K51" i="6"/>
  <c r="L51" i="6"/>
  <c r="F51" i="6"/>
  <c r="G51" i="6" s="1"/>
  <c r="H51" i="6"/>
  <c r="I51" i="6"/>
  <c r="J51" i="6"/>
  <c r="K50" i="6"/>
  <c r="F50" i="6"/>
  <c r="G50" i="6" s="1"/>
  <c r="H50" i="6"/>
  <c r="I50" i="6"/>
  <c r="J50" i="6"/>
  <c r="L50" i="6"/>
  <c r="L49" i="6"/>
  <c r="K49" i="6"/>
  <c r="J49" i="6"/>
  <c r="I49" i="6"/>
  <c r="H49" i="6"/>
  <c r="F49" i="6"/>
  <c r="G49" i="6" s="1"/>
  <c r="J48" i="6"/>
  <c r="F48" i="6"/>
  <c r="G48" i="6" s="1"/>
  <c r="H48" i="6"/>
  <c r="I48" i="6"/>
  <c r="L48" i="6"/>
  <c r="K48" i="6"/>
  <c r="F47" i="6"/>
  <c r="G47" i="6" s="1"/>
  <c r="H47" i="6"/>
  <c r="I47" i="6"/>
  <c r="K47" i="6"/>
  <c r="L47" i="6"/>
  <c r="J47" i="6"/>
  <c r="K46" i="6"/>
  <c r="J46" i="6"/>
  <c r="L46" i="6"/>
  <c r="I46" i="6"/>
  <c r="H46" i="6"/>
  <c r="F46" i="6"/>
  <c r="G46" i="6" s="1"/>
  <c r="K45" i="6"/>
  <c r="L45" i="6"/>
  <c r="J45" i="6"/>
  <c r="I45" i="6"/>
  <c r="H45" i="6"/>
  <c r="F45" i="6"/>
  <c r="G45" i="6" s="1"/>
  <c r="F44" i="6"/>
  <c r="G44" i="6" s="1"/>
  <c r="H44" i="6"/>
  <c r="I44" i="6"/>
  <c r="J44" i="6"/>
  <c r="L44" i="6"/>
  <c r="K44" i="6"/>
  <c r="K43" i="6"/>
  <c r="J43" i="6"/>
  <c r="H43" i="6"/>
  <c r="I43" i="6"/>
  <c r="L43" i="6"/>
  <c r="F43" i="6"/>
  <c r="G43" i="6" s="1"/>
  <c r="F42" i="6"/>
  <c r="G42" i="6" s="1"/>
  <c r="I42" i="6"/>
  <c r="L42" i="6"/>
  <c r="K42" i="6"/>
  <c r="J42" i="6"/>
  <c r="H42" i="6"/>
  <c r="H41" i="6"/>
  <c r="F41" i="6"/>
  <c r="G41" i="6" s="1"/>
  <c r="L41" i="6"/>
  <c r="K41" i="6"/>
  <c r="J41" i="6"/>
  <c r="I41" i="6"/>
  <c r="F40" i="6"/>
  <c r="G40" i="6" s="1"/>
  <c r="H40" i="6"/>
  <c r="I40" i="6"/>
  <c r="J40" i="6"/>
  <c r="K40" i="6"/>
  <c r="L40" i="6"/>
  <c r="K39" i="6"/>
  <c r="L39" i="6"/>
  <c r="J39" i="6"/>
  <c r="I39" i="6"/>
  <c r="H39" i="6"/>
  <c r="F39" i="6"/>
  <c r="G39" i="6" s="1"/>
  <c r="K38" i="6"/>
  <c r="L38" i="6"/>
  <c r="F38" i="6"/>
  <c r="G38" i="6" s="1"/>
  <c r="H38" i="6"/>
  <c r="I38" i="6"/>
  <c r="J38" i="6"/>
  <c r="F37" i="6"/>
  <c r="G37" i="6" s="1"/>
  <c r="H37" i="6"/>
  <c r="I37" i="6"/>
  <c r="K37" i="6"/>
  <c r="L37" i="6"/>
  <c r="J37" i="6"/>
  <c r="F36" i="6"/>
  <c r="G36" i="6" s="1"/>
  <c r="H36" i="6"/>
  <c r="I36" i="6"/>
  <c r="J36" i="6"/>
  <c r="K36" i="6"/>
  <c r="L36" i="6"/>
  <c r="I35" i="6"/>
  <c r="J35" i="6"/>
  <c r="L35" i="6"/>
  <c r="K35" i="6"/>
  <c r="F35" i="6"/>
  <c r="G35" i="6" s="1"/>
  <c r="H35" i="6"/>
  <c r="F34" i="6"/>
  <c r="G34" i="6" s="1"/>
  <c r="H34" i="6"/>
  <c r="I34" i="6"/>
  <c r="J34" i="6"/>
  <c r="K34" i="6"/>
  <c r="L34" i="6"/>
  <c r="I33" i="6"/>
  <c r="F33" i="6"/>
  <c r="G33" i="6" s="1"/>
  <c r="H33" i="6"/>
  <c r="J33" i="6"/>
  <c r="K33" i="6"/>
  <c r="L33" i="6"/>
  <c r="J32" i="6"/>
  <c r="K32" i="6"/>
  <c r="L32" i="6"/>
  <c r="I32" i="6"/>
  <c r="F32" i="6"/>
  <c r="G32" i="6" s="1"/>
  <c r="H32" i="6"/>
  <c r="J31" i="6"/>
  <c r="I31" i="6"/>
  <c r="H31" i="6"/>
  <c r="F31" i="6"/>
  <c r="G31" i="6" s="1"/>
  <c r="L31" i="6"/>
  <c r="K31" i="6"/>
  <c r="F30" i="6"/>
  <c r="G30" i="6" s="1"/>
  <c r="L30" i="6"/>
  <c r="K30" i="6"/>
  <c r="J30" i="6"/>
  <c r="I30" i="6"/>
  <c r="H30" i="6"/>
  <c r="L29" i="6"/>
  <c r="F29" i="6"/>
  <c r="G29" i="6" s="1"/>
  <c r="I29" i="6"/>
  <c r="J29" i="6"/>
  <c r="H29" i="6"/>
  <c r="K29" i="6"/>
  <c r="K28" i="6"/>
  <c r="J28" i="6"/>
  <c r="I28" i="6"/>
  <c r="H28" i="6"/>
  <c r="L28" i="6"/>
  <c r="F28" i="6"/>
  <c r="G28" i="6" s="1"/>
  <c r="F27" i="6"/>
  <c r="G27" i="6" s="1"/>
  <c r="I27" i="6"/>
  <c r="J27" i="6"/>
  <c r="H27" i="6"/>
  <c r="L27" i="6"/>
  <c r="K27" i="6"/>
  <c r="F26" i="6"/>
  <c r="G26" i="6" s="1"/>
  <c r="H26" i="6"/>
  <c r="I26" i="6"/>
  <c r="J26" i="6"/>
  <c r="K26" i="6"/>
  <c r="L26" i="6"/>
  <c r="J25" i="6"/>
  <c r="K25" i="6"/>
  <c r="L25" i="6"/>
  <c r="F25" i="6"/>
  <c r="G25" i="6" s="1"/>
  <c r="H25" i="6"/>
  <c r="I25" i="6"/>
  <c r="F24" i="6"/>
  <c r="G24" i="6" s="1"/>
  <c r="L24" i="6"/>
  <c r="K24" i="6"/>
  <c r="J24" i="6"/>
  <c r="I24" i="6"/>
  <c r="H24" i="6"/>
  <c r="L23" i="6"/>
  <c r="J23" i="6"/>
  <c r="F23" i="6"/>
  <c r="G23" i="6" s="1"/>
  <c r="H23" i="6"/>
  <c r="I23" i="6"/>
  <c r="K23" i="6"/>
  <c r="K22" i="6"/>
  <c r="J22" i="6"/>
  <c r="I22" i="6"/>
  <c r="H22" i="6"/>
  <c r="F22" i="6"/>
  <c r="G22" i="6" s="1"/>
  <c r="L22" i="6"/>
  <c r="K21" i="6"/>
  <c r="J21" i="6"/>
  <c r="I21" i="6"/>
  <c r="F21" i="6"/>
  <c r="G21" i="6" s="1"/>
  <c r="L21" i="6"/>
  <c r="H21" i="6"/>
  <c r="L20" i="6"/>
  <c r="K20" i="6"/>
  <c r="J20" i="6"/>
  <c r="I20" i="6"/>
  <c r="H20" i="6"/>
  <c r="F20" i="6"/>
  <c r="G20" i="6" s="1"/>
  <c r="L19" i="6"/>
  <c r="K19" i="6"/>
  <c r="J19" i="6"/>
  <c r="I19" i="6"/>
  <c r="F19" i="6"/>
  <c r="G19" i="6" s="1"/>
  <c r="H19" i="6"/>
  <c r="K18" i="6"/>
  <c r="L18" i="6"/>
  <c r="J18" i="6"/>
  <c r="I18" i="6"/>
  <c r="H18" i="6"/>
  <c r="F18" i="6"/>
  <c r="G18" i="6" s="1"/>
  <c r="L17" i="6"/>
  <c r="K17" i="6"/>
  <c r="J17" i="6"/>
  <c r="I17" i="6"/>
  <c r="H17" i="6"/>
  <c r="F17" i="6"/>
  <c r="G17" i="6" s="1"/>
  <c r="L16" i="6"/>
  <c r="K16" i="6"/>
  <c r="J16" i="6"/>
  <c r="I16" i="6"/>
  <c r="H16" i="6"/>
  <c r="F16" i="6"/>
  <c r="G16" i="6" s="1"/>
  <c r="L15" i="6"/>
  <c r="K15" i="6"/>
  <c r="J15" i="6"/>
  <c r="I15" i="6"/>
  <c r="H15" i="6"/>
  <c r="F15" i="6"/>
  <c r="G15" i="6" s="1"/>
  <c r="L14" i="6"/>
  <c r="K14" i="6"/>
  <c r="J14" i="6"/>
  <c r="I14" i="6"/>
  <c r="H14" i="6"/>
  <c r="F14" i="6"/>
  <c r="G14" i="6" s="1"/>
  <c r="F13" i="6"/>
  <c r="G13" i="6" s="1"/>
  <c r="L13" i="6"/>
  <c r="K13" i="6"/>
  <c r="J13" i="6"/>
  <c r="I13" i="6"/>
  <c r="H13" i="6"/>
  <c r="H12" i="6"/>
  <c r="F12" i="6"/>
  <c r="G12" i="6" s="1"/>
  <c r="I12" i="6"/>
  <c r="J12" i="6"/>
  <c r="K12" i="6"/>
  <c r="L12" i="6"/>
  <c r="L11" i="6"/>
  <c r="K11" i="6"/>
  <c r="J11" i="6"/>
  <c r="I11" i="6"/>
  <c r="H11" i="6"/>
  <c r="F11" i="6"/>
  <c r="G11" i="6" s="1"/>
  <c r="F10" i="6"/>
  <c r="G10" i="6" s="1"/>
  <c r="K10" i="6"/>
  <c r="I10" i="6"/>
  <c r="L10" i="6"/>
  <c r="J10" i="6"/>
  <c r="H10" i="6"/>
  <c r="H9" i="6"/>
  <c r="J9" i="6"/>
  <c r="F9" i="6"/>
  <c r="G9" i="6" s="1"/>
  <c r="I9" i="6"/>
  <c r="K9" i="6"/>
  <c r="L9" i="6"/>
  <c r="K8" i="6"/>
  <c r="L8" i="6"/>
  <c r="J8" i="6"/>
  <c r="I8" i="6"/>
  <c r="H8" i="6"/>
  <c r="F8" i="6"/>
  <c r="G8" i="6" s="1"/>
  <c r="I7" i="6"/>
  <c r="H7" i="6"/>
  <c r="F7" i="6"/>
  <c r="G7" i="6" s="1"/>
  <c r="L7" i="6"/>
  <c r="K7" i="6"/>
  <c r="J7" i="6"/>
  <c r="L6" i="6"/>
  <c r="F6" i="6"/>
  <c r="G6" i="6" s="1"/>
  <c r="H6" i="6"/>
  <c r="I6" i="6"/>
  <c r="J6" i="6"/>
  <c r="K6" i="6"/>
  <c r="K5" i="6"/>
  <c r="I5" i="6"/>
  <c r="H5" i="6"/>
  <c r="F5" i="6"/>
  <c r="G5" i="6" s="1"/>
  <c r="L5" i="6"/>
  <c r="J5" i="6"/>
  <c r="E48" i="2"/>
  <c r="I48" i="2"/>
  <c r="C48" i="2"/>
  <c r="M48" i="2"/>
  <c r="G48" i="2"/>
  <c r="G47" i="2"/>
  <c r="M47" i="2"/>
  <c r="E47" i="2"/>
  <c r="C47" i="2"/>
  <c r="I47" i="2"/>
  <c r="G46" i="2"/>
  <c r="G49" i="2" s="1"/>
  <c r="C46" i="2"/>
  <c r="C49" i="2" s="1"/>
  <c r="M46" i="2"/>
  <c r="E46" i="2"/>
  <c r="E49" i="2" s="1"/>
  <c r="I46" i="2"/>
  <c r="A154" i="13"/>
  <c r="A155" i="13"/>
  <c r="A156" i="13"/>
  <c r="A157" i="13"/>
  <c r="A158" i="13"/>
  <c r="A159" i="13"/>
  <c r="A209" i="13"/>
  <c r="A210" i="13"/>
  <c r="A211" i="13"/>
  <c r="A212" i="13"/>
  <c r="A213" i="13"/>
  <c r="A139" i="13"/>
  <c r="A138" i="13"/>
  <c r="A137" i="13"/>
  <c r="A136" i="13"/>
  <c r="A135" i="13"/>
  <c r="A134" i="13"/>
  <c r="A214"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201" i="13"/>
  <c r="A200" i="13"/>
  <c r="A215" i="13"/>
  <c r="A198" i="13"/>
  <c r="A197" i="13"/>
  <c r="A196" i="13"/>
  <c r="A195" i="13"/>
  <c r="A71" i="13"/>
  <c r="A72" i="13"/>
  <c r="A73" i="13"/>
  <c r="A74" i="13"/>
  <c r="A75" i="13"/>
  <c r="A76" i="13"/>
  <c r="A77" i="13"/>
  <c r="A78" i="13"/>
  <c r="A79" i="13"/>
  <c r="A80" i="13"/>
  <c r="A81" i="13"/>
  <c r="A216" i="13"/>
  <c r="A217" i="13"/>
  <c r="A219" i="13"/>
  <c r="A220" i="13"/>
  <c r="A221" i="13"/>
  <c r="A207" i="13"/>
  <c r="A202" i="13"/>
  <c r="A206" i="13"/>
  <c r="A83" i="13"/>
  <c r="A142" i="13"/>
  <c r="A141" i="13"/>
  <c r="A140" i="13"/>
  <c r="A205" i="13"/>
  <c r="A204" i="13"/>
  <c r="A203" i="13"/>
  <c r="A194" i="13"/>
  <c r="A193" i="13"/>
  <c r="A192" i="13"/>
  <c r="A191" i="13"/>
  <c r="A190" i="13"/>
  <c r="A189" i="13"/>
  <c r="A188" i="13"/>
  <c r="A187" i="13"/>
  <c r="A186" i="13"/>
  <c r="A185" i="13"/>
  <c r="A199"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208" i="13"/>
  <c r="A218" i="13"/>
  <c r="A143" i="13"/>
  <c r="A144" i="13"/>
  <c r="A145" i="13"/>
  <c r="A146" i="13"/>
  <c r="A147" i="13"/>
  <c r="A148" i="13"/>
  <c r="A149" i="13"/>
  <c r="A150" i="13"/>
  <c r="A151" i="13"/>
  <c r="A82" i="13"/>
  <c r="A152" i="13"/>
  <c r="A153" i="13"/>
  <c r="A133" i="13"/>
  <c r="G17" i="25"/>
  <c r="G16" i="25"/>
  <c r="G14" i="25"/>
  <c r="G13" i="25"/>
  <c r="G12" i="25"/>
  <c r="G11" i="25"/>
  <c r="D22" i="2" l="1"/>
  <c r="N9" i="14"/>
  <c r="D23" i="2"/>
  <c r="D20" i="2"/>
  <c r="D17" i="2"/>
  <c r="B29" i="2"/>
  <c r="N8" i="14"/>
  <c r="N10" i="14"/>
  <c r="N17" i="14"/>
  <c r="N25" i="14"/>
  <c r="N30" i="14"/>
  <c r="N11" i="14"/>
  <c r="N20" i="14"/>
  <c r="N25" i="15"/>
  <c r="D24" i="2"/>
  <c r="E17" i="2"/>
  <c r="E18" i="2"/>
  <c r="E22" i="2"/>
  <c r="E23" i="2"/>
  <c r="E21" i="2"/>
  <c r="E20" i="2"/>
  <c r="E19" i="2"/>
  <c r="L6" i="7"/>
  <c r="N6" i="7" s="1"/>
  <c r="X6" i="7"/>
  <c r="I24" i="14"/>
  <c r="N22" i="14"/>
  <c r="E24" i="14"/>
  <c r="L5" i="7"/>
  <c r="N5" i="7" s="1"/>
  <c r="H18" i="22"/>
  <c r="H43" i="14" s="1"/>
  <c r="N31" i="14"/>
  <c r="N19" i="14"/>
  <c r="D24" i="14"/>
  <c r="N21" i="14"/>
  <c r="C25" i="19"/>
  <c r="B19" i="19"/>
  <c r="N18" i="14"/>
  <c r="F24" i="14"/>
  <c r="N23" i="14"/>
  <c r="H24" i="14"/>
  <c r="M49" i="2"/>
  <c r="F18" i="22"/>
  <c r="E37" i="2"/>
  <c r="N12" i="14"/>
  <c r="N28" i="15"/>
  <c r="D29" i="2"/>
  <c r="N8" i="15"/>
  <c r="N9" i="15"/>
  <c r="N20" i="15"/>
  <c r="N24" i="15"/>
  <c r="B39" i="14"/>
  <c r="C24" i="14"/>
  <c r="G24" i="14"/>
  <c r="N12" i="15"/>
  <c r="N14" i="15"/>
  <c r="I29" i="2"/>
  <c r="B41" i="14"/>
  <c r="N41" i="14" s="1"/>
  <c r="N29" i="15"/>
  <c r="B30" i="15"/>
  <c r="B24" i="14"/>
  <c r="N16" i="14"/>
  <c r="C8" i="22"/>
  <c r="T9" i="8"/>
  <c r="S9" i="8"/>
  <c r="C7" i="22"/>
  <c r="S8" i="8"/>
  <c r="T8" i="8"/>
  <c r="I18" i="22"/>
  <c r="N15" i="22"/>
  <c r="C18" i="22"/>
  <c r="C43" i="14" s="1"/>
  <c r="J33" i="19"/>
  <c r="N16" i="22"/>
  <c r="G18" i="22"/>
  <c r="J5" i="12"/>
  <c r="N5" i="12"/>
  <c r="H15" i="14"/>
  <c r="N15" i="14" s="1"/>
  <c r="W5" i="12"/>
  <c r="E18" i="22"/>
  <c r="H13" i="15"/>
  <c r="E7" i="8"/>
  <c r="L7" i="8" s="1"/>
  <c r="D18" i="22"/>
  <c r="N19" i="11"/>
  <c r="N21" i="11"/>
  <c r="F69" i="13"/>
  <c r="D69" i="13"/>
  <c r="D68" i="13"/>
  <c r="F68" i="13"/>
  <c r="N20" i="11"/>
  <c r="B65" i="17" s="1"/>
  <c r="M55" i="2" s="1"/>
  <c r="N18" i="11"/>
  <c r="G29" i="2"/>
  <c r="C29" i="2"/>
  <c r="I49" i="2"/>
  <c r="D6" i="25"/>
  <c r="G18" i="25"/>
  <c r="G6" i="25" s="1"/>
  <c r="G231" i="13"/>
  <c r="E231" i="13"/>
  <c r="G232" i="13"/>
  <c r="E232" i="13"/>
  <c r="N14" i="22"/>
  <c r="B18" i="22"/>
  <c r="E38" i="2"/>
  <c r="K8" i="11"/>
  <c r="D11" i="11"/>
  <c r="D28" i="11"/>
  <c r="B20" i="17"/>
  <c r="B58" i="17"/>
  <c r="F54" i="2" s="1"/>
  <c r="B46" i="17"/>
  <c r="I11" i="25"/>
  <c r="B16" i="17"/>
  <c r="D154" i="13"/>
  <c r="F154" i="13"/>
  <c r="D155" i="13"/>
  <c r="F155" i="13"/>
  <c r="D156" i="13"/>
  <c r="F156" i="13"/>
  <c r="D157" i="13"/>
  <c r="F157" i="13"/>
  <c r="D158" i="13"/>
  <c r="F158" i="13"/>
  <c r="D159" i="13"/>
  <c r="F159" i="13"/>
  <c r="D209" i="13"/>
  <c r="F209" i="13"/>
  <c r="D210" i="13"/>
  <c r="F210" i="13"/>
  <c r="D211" i="13"/>
  <c r="F211" i="13"/>
  <c r="D212" i="13"/>
  <c r="F212" i="13"/>
  <c r="D213" i="13"/>
  <c r="F213" i="13"/>
  <c r="K29" i="2"/>
  <c r="E40" i="2"/>
  <c r="D139" i="13"/>
  <c r="F139" i="13"/>
  <c r="D138" i="13"/>
  <c r="F138" i="13"/>
  <c r="D137" i="13"/>
  <c r="F137" i="13"/>
  <c r="D136" i="13"/>
  <c r="F136" i="13"/>
  <c r="D135" i="13"/>
  <c r="F135" i="13"/>
  <c r="D134" i="13"/>
  <c r="F134" i="13"/>
  <c r="D214" i="13"/>
  <c r="F214" i="13"/>
  <c r="D132" i="13"/>
  <c r="F132" i="13"/>
  <c r="D131" i="13"/>
  <c r="F131" i="13"/>
  <c r="D130" i="13"/>
  <c r="F130" i="13"/>
  <c r="D129" i="13"/>
  <c r="F129" i="13"/>
  <c r="D128" i="13"/>
  <c r="F128" i="13"/>
  <c r="D127" i="13"/>
  <c r="F127" i="13"/>
  <c r="D126" i="13"/>
  <c r="F126" i="13"/>
  <c r="D125" i="13"/>
  <c r="F125" i="13"/>
  <c r="D124" i="13"/>
  <c r="F124" i="13"/>
  <c r="D123" i="13"/>
  <c r="F123" i="13"/>
  <c r="D122" i="13"/>
  <c r="F122" i="13"/>
  <c r="D121" i="13"/>
  <c r="F121" i="13"/>
  <c r="D120" i="13"/>
  <c r="F120" i="13"/>
  <c r="D119" i="13"/>
  <c r="F119" i="13"/>
  <c r="D118" i="13"/>
  <c r="F118" i="13"/>
  <c r="D117" i="13"/>
  <c r="F117" i="13"/>
  <c r="D116" i="13"/>
  <c r="F116" i="13"/>
  <c r="D115" i="13"/>
  <c r="F115" i="13"/>
  <c r="D114" i="13"/>
  <c r="F114" i="13"/>
  <c r="D113" i="13"/>
  <c r="F113" i="13"/>
  <c r="D112" i="13"/>
  <c r="F112" i="13"/>
  <c r="D111" i="13"/>
  <c r="F111" i="13"/>
  <c r="D110" i="13"/>
  <c r="F110" i="13"/>
  <c r="D109" i="13"/>
  <c r="F109" i="13"/>
  <c r="D108" i="13"/>
  <c r="F108" i="13"/>
  <c r="D107" i="13"/>
  <c r="F107" i="13"/>
  <c r="D106" i="13"/>
  <c r="F106" i="13"/>
  <c r="D105" i="13"/>
  <c r="F105" i="13"/>
  <c r="D104" i="13"/>
  <c r="F104" i="13"/>
  <c r="D103" i="13"/>
  <c r="F103" i="13"/>
  <c r="D102" i="13"/>
  <c r="F102" i="13"/>
  <c r="D101" i="13"/>
  <c r="F101" i="13"/>
  <c r="D100" i="13"/>
  <c r="F100" i="13"/>
  <c r="D99" i="13"/>
  <c r="F99" i="13"/>
  <c r="D98" i="13"/>
  <c r="F98" i="13"/>
  <c r="D97" i="13"/>
  <c r="F97" i="13"/>
  <c r="D96" i="13"/>
  <c r="F96" i="13"/>
  <c r="D95" i="13"/>
  <c r="F95" i="13"/>
  <c r="D94" i="13"/>
  <c r="F94" i="13"/>
  <c r="D93" i="13"/>
  <c r="F93" i="13"/>
  <c r="D92" i="13"/>
  <c r="F92" i="13"/>
  <c r="D91" i="13"/>
  <c r="F91" i="13"/>
  <c r="D90" i="13"/>
  <c r="F90" i="13"/>
  <c r="D89" i="13"/>
  <c r="F89" i="13"/>
  <c r="D88" i="13"/>
  <c r="F88" i="13"/>
  <c r="D87" i="13"/>
  <c r="F87" i="13"/>
  <c r="D86" i="13"/>
  <c r="F86" i="13"/>
  <c r="D85" i="13"/>
  <c r="F85" i="13"/>
  <c r="D84" i="13"/>
  <c r="F84" i="13"/>
  <c r="D201" i="13"/>
  <c r="F201" i="13"/>
  <c r="D200" i="13"/>
  <c r="F200" i="13"/>
  <c r="D215" i="13"/>
  <c r="F215" i="13"/>
  <c r="D198" i="13"/>
  <c r="F198" i="13"/>
  <c r="D197" i="13"/>
  <c r="F197" i="13"/>
  <c r="D196" i="13"/>
  <c r="F196" i="13"/>
  <c r="D195" i="13"/>
  <c r="F195" i="13"/>
  <c r="D71" i="13"/>
  <c r="F71" i="13"/>
  <c r="D72" i="13"/>
  <c r="F72" i="13"/>
  <c r="D73" i="13"/>
  <c r="F73" i="13"/>
  <c r="D74" i="13"/>
  <c r="F74" i="13"/>
  <c r="D75" i="13"/>
  <c r="F75" i="13"/>
  <c r="D76" i="13"/>
  <c r="F76" i="13"/>
  <c r="D77" i="13"/>
  <c r="F77" i="13"/>
  <c r="D78" i="13"/>
  <c r="F78" i="13"/>
  <c r="D79" i="13"/>
  <c r="F79" i="13"/>
  <c r="D80" i="13"/>
  <c r="F80" i="13"/>
  <c r="D81" i="13"/>
  <c r="F81" i="13"/>
  <c r="D216" i="13"/>
  <c r="F216" i="13"/>
  <c r="D217" i="13"/>
  <c r="F217" i="13"/>
  <c r="D219" i="13"/>
  <c r="F219" i="13"/>
  <c r="D220" i="13"/>
  <c r="F220" i="13"/>
  <c r="D221" i="13"/>
  <c r="F221" i="13"/>
  <c r="D207" i="13"/>
  <c r="F207" i="13"/>
  <c r="D202" i="13"/>
  <c r="F202" i="13"/>
  <c r="D206" i="13"/>
  <c r="F206" i="13"/>
  <c r="D83" i="13"/>
  <c r="F83" i="13"/>
  <c r="D142" i="13"/>
  <c r="F142" i="13"/>
  <c r="D141" i="13"/>
  <c r="F141" i="13"/>
  <c r="D140" i="13"/>
  <c r="F140" i="13"/>
  <c r="D205" i="13"/>
  <c r="F205" i="13"/>
  <c r="D204" i="13"/>
  <c r="F204" i="13"/>
  <c r="D203" i="13"/>
  <c r="F203" i="13"/>
  <c r="D194" i="13"/>
  <c r="F194" i="13"/>
  <c r="D193" i="13"/>
  <c r="F193" i="13"/>
  <c r="D192" i="13"/>
  <c r="F192" i="13"/>
  <c r="D191" i="13"/>
  <c r="F191" i="13"/>
  <c r="D190" i="13"/>
  <c r="F190" i="13"/>
  <c r="D189" i="13"/>
  <c r="F189" i="13"/>
  <c r="D188" i="13"/>
  <c r="F188" i="13"/>
  <c r="D187" i="13"/>
  <c r="F187" i="13"/>
  <c r="D186" i="13"/>
  <c r="F186" i="13"/>
  <c r="D185" i="13"/>
  <c r="F185" i="13"/>
  <c r="D199" i="13"/>
  <c r="F199" i="13"/>
  <c r="D184" i="13"/>
  <c r="F184" i="13"/>
  <c r="D183" i="13"/>
  <c r="F183" i="13"/>
  <c r="D182" i="13"/>
  <c r="F182" i="13"/>
  <c r="D181" i="13"/>
  <c r="F181" i="13"/>
  <c r="D180" i="13"/>
  <c r="F180" i="13"/>
  <c r="D179" i="13"/>
  <c r="F179" i="13"/>
  <c r="D178" i="13"/>
  <c r="F178" i="13"/>
  <c r="D177" i="13"/>
  <c r="F177" i="13"/>
  <c r="D176" i="13"/>
  <c r="F176" i="13"/>
  <c r="D175" i="13"/>
  <c r="F175" i="13"/>
  <c r="D174" i="13"/>
  <c r="F174" i="13"/>
  <c r="D173" i="13"/>
  <c r="F173" i="13"/>
  <c r="D172" i="13"/>
  <c r="F172" i="13"/>
  <c r="D171" i="13"/>
  <c r="F171" i="13"/>
  <c r="D170" i="13"/>
  <c r="F170" i="13"/>
  <c r="D169" i="13"/>
  <c r="F169" i="13"/>
  <c r="D168" i="13"/>
  <c r="F168" i="13"/>
  <c r="D167" i="13"/>
  <c r="F167" i="13"/>
  <c r="D166" i="13"/>
  <c r="F166" i="13"/>
  <c r="D165" i="13"/>
  <c r="F165" i="13"/>
  <c r="D164" i="13"/>
  <c r="F164" i="13"/>
  <c r="D163" i="13"/>
  <c r="F163" i="13"/>
  <c r="D162" i="13"/>
  <c r="F162" i="13"/>
  <c r="D161" i="13"/>
  <c r="F161" i="13"/>
  <c r="D160" i="13"/>
  <c r="F160" i="13"/>
  <c r="D208" i="13"/>
  <c r="F208" i="13"/>
  <c r="D218" i="13"/>
  <c r="F218" i="13"/>
  <c r="D143" i="13"/>
  <c r="F143" i="13"/>
  <c r="L37" i="2"/>
  <c r="E39" i="2"/>
  <c r="J29" i="2"/>
  <c r="D144" i="13"/>
  <c r="F144" i="13"/>
  <c r="D145" i="13"/>
  <c r="F145" i="13"/>
  <c r="D146" i="13"/>
  <c r="F146" i="13"/>
  <c r="D147" i="13"/>
  <c r="F147" i="13"/>
  <c r="D148" i="13"/>
  <c r="F148" i="13"/>
  <c r="D149" i="13"/>
  <c r="F149" i="13"/>
  <c r="D150" i="13"/>
  <c r="F150" i="13"/>
  <c r="D151" i="13"/>
  <c r="F151" i="13"/>
  <c r="D82" i="13"/>
  <c r="F82" i="13"/>
  <c r="D152" i="13"/>
  <c r="F152" i="13"/>
  <c r="D153" i="13"/>
  <c r="F153" i="13"/>
  <c r="D133" i="13"/>
  <c r="F133" i="13"/>
  <c r="G9" i="11"/>
  <c r="I13" i="25"/>
  <c r="E14" i="24"/>
  <c r="G10" i="11"/>
  <c r="E230" i="13"/>
  <c r="G230" i="13"/>
  <c r="E229" i="13"/>
  <c r="G229" i="13"/>
  <c r="E228" i="13"/>
  <c r="G228" i="13"/>
  <c r="G227" i="13"/>
  <c r="E227" i="13"/>
  <c r="E226" i="13"/>
  <c r="G226" i="13"/>
  <c r="G225" i="13"/>
  <c r="E225" i="13"/>
  <c r="G224" i="13"/>
  <c r="E224" i="13"/>
  <c r="G223" i="13"/>
  <c r="E223" i="13"/>
  <c r="G222" i="13"/>
  <c r="E222" i="13"/>
  <c r="G70" i="13"/>
  <c r="E70" i="13"/>
  <c r="E67" i="13"/>
  <c r="G67" i="13"/>
  <c r="G66" i="13"/>
  <c r="E66" i="13"/>
  <c r="E65" i="13"/>
  <c r="G65" i="13"/>
  <c r="G64" i="13"/>
  <c r="E64" i="13"/>
  <c r="G63" i="13"/>
  <c r="E63" i="13"/>
  <c r="G62" i="13"/>
  <c r="E62" i="13"/>
  <c r="G61" i="13"/>
  <c r="E61" i="13"/>
  <c r="G60" i="13"/>
  <c r="E60" i="13"/>
  <c r="G59" i="13"/>
  <c r="E59" i="13"/>
  <c r="G58" i="13"/>
  <c r="E58" i="13"/>
  <c r="E57" i="13"/>
  <c r="G57" i="13"/>
  <c r="G56" i="13"/>
  <c r="E56" i="13"/>
  <c r="G55" i="13"/>
  <c r="E55" i="13"/>
  <c r="E54" i="13"/>
  <c r="G54" i="13"/>
  <c r="G53" i="13"/>
  <c r="E53" i="13"/>
  <c r="G52" i="13"/>
  <c r="E52" i="13"/>
  <c r="G51" i="13"/>
  <c r="E51" i="13"/>
  <c r="G50" i="13"/>
  <c r="E50" i="13"/>
  <c r="E49" i="13"/>
  <c r="G49" i="13"/>
  <c r="E48" i="13"/>
  <c r="G48" i="13"/>
  <c r="E47" i="13"/>
  <c r="G47" i="13"/>
  <c r="E46" i="13"/>
  <c r="G46" i="13"/>
  <c r="E45" i="13"/>
  <c r="G45" i="13"/>
  <c r="G44" i="13"/>
  <c r="E44" i="13"/>
  <c r="G43" i="13"/>
  <c r="E43" i="13"/>
  <c r="E42" i="13"/>
  <c r="G42" i="13"/>
  <c r="E41" i="13"/>
  <c r="G41" i="13"/>
  <c r="G40" i="13"/>
  <c r="E40" i="13"/>
  <c r="E39" i="13"/>
  <c r="G39" i="13"/>
  <c r="G38" i="13"/>
  <c r="E38" i="13"/>
  <c r="G37" i="13"/>
  <c r="E37" i="13"/>
  <c r="E36" i="13"/>
  <c r="G36" i="13"/>
  <c r="E35" i="13"/>
  <c r="G35" i="13"/>
  <c r="E34" i="13"/>
  <c r="G34" i="13"/>
  <c r="E33" i="13"/>
  <c r="G33" i="13"/>
  <c r="G32" i="13"/>
  <c r="E32" i="13"/>
  <c r="E31" i="13"/>
  <c r="G31" i="13"/>
  <c r="E30" i="13"/>
  <c r="G30" i="13"/>
  <c r="G29" i="13"/>
  <c r="E29" i="13"/>
  <c r="E28" i="13"/>
  <c r="G28" i="13"/>
  <c r="E27" i="13"/>
  <c r="G27" i="13"/>
  <c r="E26" i="13"/>
  <c r="G26" i="13"/>
  <c r="E25" i="13"/>
  <c r="G25" i="13"/>
  <c r="G24" i="13"/>
  <c r="E24" i="13"/>
  <c r="E23" i="13"/>
  <c r="G23" i="13"/>
  <c r="G22" i="13"/>
  <c r="E22" i="13"/>
  <c r="G21" i="13"/>
  <c r="E21" i="13"/>
  <c r="E20" i="13"/>
  <c r="G20" i="13"/>
  <c r="G19" i="13"/>
  <c r="E19" i="13"/>
  <c r="E18" i="13"/>
  <c r="G18" i="13"/>
  <c r="G17" i="13"/>
  <c r="E17" i="13"/>
  <c r="G16" i="13"/>
  <c r="E16" i="13"/>
  <c r="G15" i="13"/>
  <c r="E15" i="13"/>
  <c r="E14" i="13"/>
  <c r="G14" i="13"/>
  <c r="E13" i="13"/>
  <c r="G13" i="13"/>
  <c r="E12" i="13"/>
  <c r="G12" i="13"/>
  <c r="E11" i="13"/>
  <c r="G11" i="13"/>
  <c r="E10" i="13"/>
  <c r="G10" i="13"/>
  <c r="E9" i="13"/>
  <c r="G9" i="13"/>
  <c r="G8" i="13"/>
  <c r="E8" i="13"/>
  <c r="E7" i="13"/>
  <c r="G7" i="13"/>
  <c r="E6" i="13"/>
  <c r="G6" i="13"/>
  <c r="E5" i="13"/>
  <c r="G5" i="13"/>
  <c r="C11" i="11"/>
  <c r="G8" i="11"/>
  <c r="E69" i="13" l="1"/>
  <c r="G69" i="13"/>
  <c r="E68" i="13"/>
  <c r="G68" i="13"/>
  <c r="L35" i="2"/>
  <c r="E24" i="2"/>
  <c r="E29" i="2" s="1" a="1"/>
  <c r="S6" i="7"/>
  <c r="M6" i="7"/>
  <c r="S5" i="7"/>
  <c r="M5" i="7"/>
  <c r="K7" i="2"/>
  <c r="E30" i="24"/>
  <c r="L40" i="2"/>
  <c r="C35" i="14"/>
  <c r="C39" i="14" s="1"/>
  <c r="D35" i="14" s="1"/>
  <c r="D39" i="14" s="1"/>
  <c r="B26" i="17"/>
  <c r="B28" i="17"/>
  <c r="X5" i="12"/>
  <c r="O5" i="12"/>
  <c r="I43" i="14"/>
  <c r="I19" i="22"/>
  <c r="I26" i="15" s="1"/>
  <c r="L24" i="2" s="1" a="1"/>
  <c r="E41" i="2" s="1"/>
  <c r="C29" i="15"/>
  <c r="H19" i="22"/>
  <c r="H26" i="15" s="1"/>
  <c r="L23" i="2" s="1" a="1"/>
  <c r="G43" i="14"/>
  <c r="B42" i="14"/>
  <c r="F43" i="14"/>
  <c r="G19" i="22"/>
  <c r="G26" i="15" s="1"/>
  <c r="L22" i="2" s="1" a="1"/>
  <c r="D7" i="22"/>
  <c r="E7" i="22"/>
  <c r="I7" i="22" s="1"/>
  <c r="K47" i="2" s="1"/>
  <c r="N24" i="14"/>
  <c r="E43" i="14"/>
  <c r="F19" i="22"/>
  <c r="F26" i="15" s="1"/>
  <c r="L21" i="2" s="1" a="1"/>
  <c r="D8" i="22"/>
  <c r="E8" i="22"/>
  <c r="I8" i="22" s="1"/>
  <c r="K48" i="2" s="1"/>
  <c r="C19" i="22"/>
  <c r="C26" i="15" s="1"/>
  <c r="L18" i="2" s="1" a="1"/>
  <c r="I35" i="19"/>
  <c r="E31" i="24"/>
  <c r="F15" i="21"/>
  <c r="P5" i="12"/>
  <c r="G15" i="21" s="1"/>
  <c r="H29" i="2"/>
  <c r="N13" i="15"/>
  <c r="S7" i="8"/>
  <c r="T7" i="8"/>
  <c r="C6" i="22"/>
  <c r="E19" i="22"/>
  <c r="E26" i="15" s="1"/>
  <c r="L20" i="2" s="1" a="1"/>
  <c r="D43" i="14"/>
  <c r="D19" i="22"/>
  <c r="D26" i="15" s="1"/>
  <c r="L19" i="2" s="1" a="1"/>
  <c r="E134" i="13"/>
  <c r="G134" i="13"/>
  <c r="E220" i="13"/>
  <c r="G220" i="13"/>
  <c r="E221" i="13"/>
  <c r="G221" i="13"/>
  <c r="G207" i="13"/>
  <c r="E207" i="13"/>
  <c r="E202" i="13"/>
  <c r="G202" i="13"/>
  <c r="G206" i="13"/>
  <c r="E206" i="13"/>
  <c r="E83" i="13"/>
  <c r="G83" i="13"/>
  <c r="E142" i="13"/>
  <c r="G142" i="13"/>
  <c r="E141" i="13"/>
  <c r="G141" i="13"/>
  <c r="E140" i="13"/>
  <c r="G140" i="13"/>
  <c r="E205" i="13"/>
  <c r="G205" i="13"/>
  <c r="E204" i="13"/>
  <c r="G204" i="13"/>
  <c r="E152" i="13"/>
  <c r="G152" i="13"/>
  <c r="E153" i="13"/>
  <c r="G153" i="13"/>
  <c r="E133" i="13"/>
  <c r="G133" i="13"/>
  <c r="E113" i="13"/>
  <c r="G113" i="13"/>
  <c r="E112" i="13"/>
  <c r="G112" i="13"/>
  <c r="E111" i="13"/>
  <c r="G111" i="13"/>
  <c r="E110" i="13"/>
  <c r="G110" i="13"/>
  <c r="E109" i="13"/>
  <c r="G109" i="13"/>
  <c r="G108" i="13"/>
  <c r="E108" i="13"/>
  <c r="E107" i="13"/>
  <c r="G107" i="13"/>
  <c r="E106" i="13"/>
  <c r="G106" i="13"/>
  <c r="E105" i="13"/>
  <c r="G105" i="13"/>
  <c r="E104" i="13"/>
  <c r="G104" i="13"/>
  <c r="E103" i="13"/>
  <c r="G103" i="13"/>
  <c r="G102" i="13"/>
  <c r="E102" i="13"/>
  <c r="G101" i="13"/>
  <c r="E101" i="13"/>
  <c r="G100" i="13"/>
  <c r="E100" i="13"/>
  <c r="E99" i="13"/>
  <c r="G99" i="13"/>
  <c r="G98" i="13"/>
  <c r="E98" i="13"/>
  <c r="E97" i="13"/>
  <c r="G97" i="13"/>
  <c r="E96" i="13"/>
  <c r="G96" i="13"/>
  <c r="E95" i="13"/>
  <c r="G95" i="13"/>
  <c r="G94" i="13"/>
  <c r="E94" i="13"/>
  <c r="G203" i="13"/>
  <c r="E203" i="13"/>
  <c r="E194" i="13"/>
  <c r="G194" i="13"/>
  <c r="G193" i="13"/>
  <c r="E193" i="13"/>
  <c r="E192" i="13"/>
  <c r="G192" i="13"/>
  <c r="G191" i="13"/>
  <c r="E191" i="13"/>
  <c r="E190" i="13"/>
  <c r="G190" i="13"/>
  <c r="G189" i="13"/>
  <c r="E189" i="13"/>
  <c r="G188" i="13"/>
  <c r="E188" i="13"/>
  <c r="G187" i="13"/>
  <c r="E187" i="13"/>
  <c r="E186" i="13"/>
  <c r="G186" i="13"/>
  <c r="E185" i="13"/>
  <c r="G185" i="13"/>
  <c r="E199" i="13"/>
  <c r="G199" i="13"/>
  <c r="G184" i="13"/>
  <c r="E184" i="13"/>
  <c r="E183" i="13"/>
  <c r="G183" i="13"/>
  <c r="E182" i="13"/>
  <c r="G182" i="13"/>
  <c r="E181" i="13"/>
  <c r="G181" i="13"/>
  <c r="E180" i="13"/>
  <c r="G180" i="13"/>
  <c r="E179" i="13"/>
  <c r="G179" i="13"/>
  <c r="G178" i="13"/>
  <c r="E178" i="13"/>
  <c r="G177" i="13"/>
  <c r="E177" i="13"/>
  <c r="E176" i="13"/>
  <c r="G176" i="13"/>
  <c r="E175" i="13"/>
  <c r="G175" i="13"/>
  <c r="E174" i="13"/>
  <c r="G174" i="13"/>
  <c r="G173" i="13"/>
  <c r="E173" i="13"/>
  <c r="E172" i="13"/>
  <c r="G172" i="13"/>
  <c r="G171" i="13"/>
  <c r="E171" i="13"/>
  <c r="G170" i="13"/>
  <c r="E170" i="13"/>
  <c r="G169" i="13"/>
  <c r="E169" i="13"/>
  <c r="G168" i="13"/>
  <c r="E168" i="13"/>
  <c r="E167" i="13"/>
  <c r="G167" i="13"/>
  <c r="E166" i="13"/>
  <c r="G166" i="13"/>
  <c r="G165" i="13"/>
  <c r="E165" i="13"/>
  <c r="E164" i="13"/>
  <c r="G164" i="13"/>
  <c r="E163" i="13"/>
  <c r="G163" i="13"/>
  <c r="E162" i="13"/>
  <c r="G162" i="13"/>
  <c r="E161" i="13"/>
  <c r="G161" i="13"/>
  <c r="E160" i="13"/>
  <c r="G160" i="13"/>
  <c r="G208" i="13"/>
  <c r="E208" i="13"/>
  <c r="E218" i="13"/>
  <c r="G218" i="13"/>
  <c r="E143" i="13"/>
  <c r="G143" i="13"/>
  <c r="E144" i="13"/>
  <c r="G144" i="13"/>
  <c r="G145" i="13"/>
  <c r="E145" i="13"/>
  <c r="E146" i="13"/>
  <c r="G146" i="13"/>
  <c r="E147" i="13"/>
  <c r="G147" i="13"/>
  <c r="G148" i="13"/>
  <c r="E148" i="13"/>
  <c r="E149" i="13"/>
  <c r="G149" i="13"/>
  <c r="E150" i="13"/>
  <c r="G150" i="13"/>
  <c r="E151" i="13"/>
  <c r="G151" i="13"/>
  <c r="G82" i="13"/>
  <c r="E82" i="13"/>
  <c r="N18" i="22"/>
  <c r="B19" i="22"/>
  <c r="B43" i="14"/>
  <c r="L8" i="11"/>
  <c r="B31" i="11"/>
  <c r="D31" i="11" s="1"/>
  <c r="B30" i="11"/>
  <c r="D30" i="11" s="1"/>
  <c r="G11" i="11"/>
  <c r="M8" i="11" s="1"/>
  <c r="I6" i="25"/>
  <c r="E154" i="13"/>
  <c r="G154" i="13"/>
  <c r="E155" i="13"/>
  <c r="G155" i="13"/>
  <c r="E156" i="13"/>
  <c r="G156" i="13"/>
  <c r="E157" i="13"/>
  <c r="G157" i="13"/>
  <c r="E158" i="13"/>
  <c r="G158" i="13"/>
  <c r="E159" i="13"/>
  <c r="G159" i="13"/>
  <c r="E209" i="13"/>
  <c r="G209" i="13"/>
  <c r="E210" i="13"/>
  <c r="G210" i="13"/>
  <c r="G211" i="13"/>
  <c r="E211" i="13"/>
  <c r="E212" i="13"/>
  <c r="G212" i="13"/>
  <c r="E213" i="13"/>
  <c r="G213" i="13"/>
  <c r="E139" i="13"/>
  <c r="G139" i="13"/>
  <c r="E138" i="13"/>
  <c r="G138" i="13"/>
  <c r="E137" i="13"/>
  <c r="G137" i="13"/>
  <c r="E136" i="13"/>
  <c r="G136" i="13"/>
  <c r="E135" i="13"/>
  <c r="G135" i="13"/>
  <c r="E214" i="13"/>
  <c r="G214" i="13"/>
  <c r="E132" i="13"/>
  <c r="G132" i="13"/>
  <c r="E131" i="13"/>
  <c r="G131" i="13"/>
  <c r="E130" i="13"/>
  <c r="G130" i="13"/>
  <c r="E129" i="13"/>
  <c r="G129" i="13"/>
  <c r="E128" i="13"/>
  <c r="G128" i="13"/>
  <c r="G127" i="13"/>
  <c r="E127" i="13"/>
  <c r="E126" i="13"/>
  <c r="G126" i="13"/>
  <c r="G125" i="13"/>
  <c r="E125" i="13"/>
  <c r="G124" i="13"/>
  <c r="E124" i="13"/>
  <c r="E123" i="13"/>
  <c r="G123" i="13"/>
  <c r="E122" i="13"/>
  <c r="G122" i="13"/>
  <c r="G121" i="13"/>
  <c r="E121" i="13"/>
  <c r="E120" i="13"/>
  <c r="G120" i="13"/>
  <c r="G119" i="13"/>
  <c r="E119" i="13"/>
  <c r="G118" i="13"/>
  <c r="E118" i="13"/>
  <c r="E117" i="13"/>
  <c r="G117" i="13"/>
  <c r="G116" i="13"/>
  <c r="E116" i="13"/>
  <c r="G115" i="13"/>
  <c r="E115" i="13"/>
  <c r="E114" i="13"/>
  <c r="G114" i="13"/>
  <c r="G93" i="13"/>
  <c r="E93" i="13"/>
  <c r="E92" i="13"/>
  <c r="G92" i="13"/>
  <c r="G91" i="13"/>
  <c r="E91" i="13"/>
  <c r="G90" i="13"/>
  <c r="E90" i="13"/>
  <c r="G89" i="13"/>
  <c r="E89" i="13"/>
  <c r="E88" i="13"/>
  <c r="G88" i="13"/>
  <c r="G87" i="13"/>
  <c r="E87" i="13"/>
  <c r="G86" i="13"/>
  <c r="E86" i="13"/>
  <c r="G85" i="13"/>
  <c r="E85" i="13"/>
  <c r="G84" i="13"/>
  <c r="E84" i="13"/>
  <c r="G201" i="13"/>
  <c r="E201" i="13"/>
  <c r="G200" i="13"/>
  <c r="E200" i="13"/>
  <c r="G215" i="13"/>
  <c r="E215" i="13"/>
  <c r="G198" i="13"/>
  <c r="E198" i="13"/>
  <c r="E197" i="13"/>
  <c r="G197" i="13"/>
  <c r="E196" i="13"/>
  <c r="G196" i="13"/>
  <c r="E195" i="13"/>
  <c r="G195" i="13"/>
  <c r="E71" i="13"/>
  <c r="G71" i="13"/>
  <c r="G72" i="13"/>
  <c r="E72" i="13"/>
  <c r="G73" i="13"/>
  <c r="E73" i="13"/>
  <c r="G74" i="13"/>
  <c r="E74" i="13"/>
  <c r="E75" i="13"/>
  <c r="G75" i="13"/>
  <c r="E76" i="13"/>
  <c r="G76" i="13"/>
  <c r="E77" i="13"/>
  <c r="G77" i="13"/>
  <c r="E78" i="13"/>
  <c r="G78" i="13"/>
  <c r="G79" i="13"/>
  <c r="E79" i="13"/>
  <c r="E80" i="13"/>
  <c r="G80" i="13"/>
  <c r="G81" i="13"/>
  <c r="E81" i="13"/>
  <c r="E216" i="13"/>
  <c r="G216" i="13"/>
  <c r="E217" i="13"/>
  <c r="G217" i="13"/>
  <c r="G219" i="13"/>
  <c r="E219" i="13"/>
  <c r="C30" i="15" l="1"/>
  <c r="C41" i="14"/>
  <c r="U6" i="7"/>
  <c r="V6" i="7"/>
  <c r="W6" i="7"/>
  <c r="T6" i="7"/>
  <c r="T5" i="7"/>
  <c r="U5" i="7"/>
  <c r="V5" i="7"/>
  <c r="W5" i="7"/>
  <c r="E35" i="14"/>
  <c r="E39" i="14" s="1"/>
  <c r="B9" i="17"/>
  <c r="I21" i="19"/>
  <c r="B6" i="21"/>
  <c r="C6" i="21"/>
  <c r="H15" i="21"/>
  <c r="B36" i="17"/>
  <c r="M53" i="2" s="1"/>
  <c r="E6" i="24"/>
  <c r="C9" i="22"/>
  <c r="E6" i="22"/>
  <c r="D6" i="22"/>
  <c r="D9" i="22" s="1"/>
  <c r="N19" i="22"/>
  <c r="B26" i="15"/>
  <c r="M17" i="2" s="1" a="1"/>
  <c r="F18" i="2" s="1"/>
  <c r="N8" i="11"/>
  <c r="B38" i="17"/>
  <c r="B17" i="17"/>
  <c r="C42" i="14" l="1"/>
  <c r="D29" i="15"/>
  <c r="M18" i="2" a="1"/>
  <c r="N26" i="15"/>
  <c r="L17" i="2" a="1"/>
  <c r="N17" i="2" s="1"/>
  <c r="F35" i="14"/>
  <c r="F39" i="14" s="1"/>
  <c r="B7" i="21"/>
  <c r="C7" i="21"/>
  <c r="B9" i="21"/>
  <c r="C9" i="21"/>
  <c r="C10" i="21"/>
  <c r="B10" i="21"/>
  <c r="C8" i="21"/>
  <c r="B8" i="21"/>
  <c r="A11" i="2"/>
  <c r="E10" i="24"/>
  <c r="E9" i="22"/>
  <c r="I6" i="22"/>
  <c r="F53" i="2"/>
  <c r="B29" i="11"/>
  <c r="E22" i="24"/>
  <c r="L39" i="2"/>
  <c r="D30" i="15" l="1"/>
  <c r="D41" i="14"/>
  <c r="N18" i="2"/>
  <c r="F19" i="2"/>
  <c r="M19" i="2" s="1" a="1"/>
  <c r="L29" i="2"/>
  <c r="G35" i="14"/>
  <c r="G39" i="14" s="1"/>
  <c r="C11" i="21"/>
  <c r="B31" i="17" s="1"/>
  <c r="B11" i="21"/>
  <c r="I9" i="22"/>
  <c r="K46" i="2"/>
  <c r="K49" i="2" s="1"/>
  <c r="D29" i="11"/>
  <c r="B21" i="17"/>
  <c r="M52" i="2" s="1"/>
  <c r="E29" i="15" l="1"/>
  <c r="D42" i="14"/>
  <c r="F20" i="2"/>
  <c r="N19" i="2"/>
  <c r="H35" i="14"/>
  <c r="H39" i="14" s="1"/>
  <c r="L38" i="2"/>
  <c r="G11" i="2"/>
  <c r="E13" i="24"/>
  <c r="E19" i="24" s="1"/>
  <c r="E24" i="24" s="1"/>
  <c r="E26" i="24" s="1"/>
  <c r="E30" i="15" l="1"/>
  <c r="E41" i="14"/>
  <c r="M20" i="2" a="1"/>
  <c r="I35" i="14"/>
  <c r="I39" i="14" s="1"/>
  <c r="B32" i="17"/>
  <c r="G26" i="24"/>
  <c r="F29" i="15" l="1"/>
  <c r="E42" i="14"/>
  <c r="F21" i="2"/>
  <c r="N20" i="2"/>
  <c r="G51" i="14"/>
  <c r="F41" i="14" l="1"/>
  <c r="F30" i="15"/>
  <c r="M21" i="2" a="1"/>
  <c r="F42" i="14" l="1"/>
  <c r="G29" i="15"/>
  <c r="N21" i="2"/>
  <c r="F22" i="2"/>
  <c r="M22" i="2" s="1" a="1"/>
  <c r="G30" i="15" l="1"/>
  <c r="G41" i="14"/>
  <c r="N22" i="2"/>
  <c r="F23" i="2"/>
  <c r="G42" i="14" l="1"/>
  <c r="H29" i="15"/>
  <c r="M23" i="2" a="1"/>
  <c r="N23" i="2" s="1"/>
  <c r="H41" i="14" l="1"/>
  <c r="H30" i="15"/>
  <c r="F24" i="2"/>
  <c r="F29" i="2" s="1" a="1"/>
  <c r="H42" i="14" l="1"/>
  <c r="I29" i="15"/>
  <c r="M24" i="2" a="1"/>
  <c r="E35" i="2"/>
  <c r="I30" i="15" l="1"/>
  <c r="I41" i="14"/>
  <c r="N24" i="2"/>
  <c r="M29" i="2" a="1"/>
  <c r="E42" i="2"/>
  <c r="N30" i="15" l="1"/>
  <c r="B23" i="17" s="1"/>
  <c r="I42" i="14"/>
  <c r="L36" i="2"/>
  <c r="K51" i="14" l="1"/>
  <c r="N42" i="14"/>
  <c r="B55" i="17" s="1"/>
  <c r="N29" i="2"/>
  <c r="B61" i="17"/>
  <c r="L41" i="2"/>
  <c r="F52" i="2" l="1"/>
  <c r="A68" i="17"/>
  <c r="F55" i="2"/>
  <c r="H4" i="2" l="1"/>
  <c r="L42" i="2"/>
  <c r="A5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<sst xmlns="http://schemas.openxmlformats.org/spreadsheetml/2006/main" count="3030" uniqueCount="1023">
  <si>
    <t>R | P | K   PANDUAN SISTEM KEUANGAN</t>
  </si>
  <si>
    <t>Panduan operasional untuk pemasukan, pengeluaran, penggajian, reimburse, piutang, kas/bank, dana klien, partner, ekuitas dan laporan manajemen.</t>
  </si>
  <si>
    <t>URUTAN PENCATATAN YANG DISARANKAN</t>
  </si>
  <si>
    <t>No.</t>
  </si>
  <si>
    <t>Aktivitas</t>
  </si>
  <si>
    <t>Cara Mencatat</t>
  </si>
  <si>
    <t>01</t>
  </si>
  <si>
    <t>Tetapkan master data</t>
  </si>
  <si>
    <t>Periksa partner, rekening, kategori biaya, periode laporan, dan parameter di MASTER.</t>
  </si>
  <si>
    <t>02</t>
  </si>
  <si>
    <t>Daftarkan perkara dan kontrak</t>
  </si>
  <si>
    <t>Isi ID perkara dan nama klien satu kali di PERKARA. Pilih ID pada sheet transaksi; nama klien terisi otomatis dan ikut berubah jika master diperbarui.</t>
  </si>
  <si>
    <t>03</t>
  </si>
  <si>
    <t>Terbitkan invoice</t>
  </si>
  <si>
    <t>Catat tagihan dan jatuh tempo pada INVOICE_PIUTANG agar piutang dapat dipantau.</t>
  </si>
  <si>
    <t>04</t>
  </si>
  <si>
    <t>Catat penerimaan uang</t>
  </si>
  <si>
    <t>Isi PEMASUKAN. Pilih jenis yang tepat: jasa hukum, reimburse, dana klien, modal, atau pinjaman.</t>
  </si>
  <si>
    <t>05</t>
  </si>
  <si>
    <t>Catat biaya dasar</t>
  </si>
  <si>
    <t>Isi PENGELUARAN satu kali dan bedakan beban Kantor, Klien, atau Partner.</t>
  </si>
  <si>
    <t>06</t>
  </si>
  <si>
    <t>Ajukan reimbursement</t>
  </si>
  <si>
    <t>Buat ID di REIMBURSE, lalu masukkan ID yang sama pada PENGELUARAN terkait.</t>
  </si>
  <si>
    <t>07</t>
  </si>
  <si>
    <t>Proses gaji tenaga kerja</t>
  </si>
  <si>
    <t>Isi GAJI untuk pegawai dan tenaga lepas; pembagian laba partner dicatat di PARTNER.</t>
  </si>
  <si>
    <t>08</t>
  </si>
  <si>
    <t>Pisahkan dana milik klien</t>
  </si>
  <si>
    <t>Setiap titipan dicatat di PEMASUKAN dan DANA_KLIEN; pembayaran klien dicatat hanya di DANA_KLIEN.</t>
  </si>
  <si>
    <t>09</t>
  </si>
  <si>
    <t>Catat pajak dan utang</t>
  </si>
  <si>
    <t>Isi KEWAJIBAN sesuai nilai nyata dan tanggal jatuh tempo; hindari menebak tarif pajak.</t>
  </si>
  <si>
    <t>10</t>
  </si>
  <si>
    <t>Rekonsiliasi kas dan bank</t>
  </si>
  <si>
    <t>Isi saldo awal serta saldo fisik/rekening di KAS_BANK; telusuri seluruh selisih.</t>
  </si>
  <si>
    <t>11</t>
  </si>
  <si>
    <t>Pantau anggaran dan laporan</t>
  </si>
  <si>
    <t>Tinjau DASHBOARD, ANGGARAN, LABA_RUGI, ARUS_KAS, dan profitabilitas per PERKARA.</t>
  </si>
  <si>
    <t>12</t>
  </si>
  <si>
    <t>Tutup periode dengan kontrol</t>
  </si>
  <si>
    <t>Buka KONTROL dan tindak lanjuti invoice jatuh tempo, bukti kurang, selisih kas, atau dana klien negatif.</t>
  </si>
  <si>
    <t>EMPAT PEMISAHAN YANG WAJIB DIJAGA</t>
  </si>
  <si>
    <t>Pendapatan jasa hukum</t>
  </si>
  <si>
    <t>Honorarium, retainer, success fee dan konsultasi merupakan pendapatan operasional kantor.</t>
  </si>
  <si>
    <t>Reimburse biaya</t>
  </si>
  <si>
    <t>Penggantian biaya bukan honorarium baru; pembayaran reimburse partner juga bukan biaya kedua.</t>
  </si>
  <si>
    <t>Dana titipan klien</t>
  </si>
  <si>
    <t>Dana klien merupakan kewajiban/dana terbatas, tidak boleh digunakan sebagai kas bebas kantor.</t>
  </si>
  <si>
    <t>Partner dan pegawai</t>
  </si>
  <si>
    <t>Gaji pegawai adalah beban; setoran modal, prive dan pembagian laba partner adalah transaksi ekuitas.</t>
  </si>
  <si>
    <t>KETERANGAN WARNA &amp; BATASAN</t>
  </si>
  <si>
    <t>Krem / teks biru</t>
  </si>
  <si>
    <t>Sel input yang diisi atau diperbarui pengguna.</t>
  </si>
  <si>
    <t>Abu-abu</t>
  </si>
  <si>
    <t>Rumus otomatis; jangan dihapus atau ditimpa.</t>
  </si>
  <si>
    <t>Merah</t>
  </si>
  <si>
    <t>Pengecualian atau hal yang perlu ditindaklanjuti.</t>
  </si>
  <si>
    <t>Catatan pajak</t>
  </si>
  <si>
    <t>PPh, PPN dan BPJS diisi sesuai data aktual; workbook ini bukan penetapan tarif atau opini pajak.</t>
  </si>
  <si>
    <t>R | P | K   MASTER &amp; PROFITABILITAS PERKARA</t>
  </si>
  <si>
    <t>MASTER PERKARA: isi ID/kode perkara dan nama klien satu kali; pilih ID yang sama pada pemasukan, pengeluaran, reimburse, invoice, dana klien, dan partner.</t>
  </si>
  <si>
    <t>Kode Perkara</t>
  </si>
  <si>
    <t>Nama Klien</t>
  </si>
  <si>
    <t>Nama / Jenis Penugasan</t>
  </si>
  <si>
    <t>Partner Penanggung Jawab</t>
  </si>
  <si>
    <t>Tanggal Mulai</t>
  </si>
  <si>
    <t>Status Perkara</t>
  </si>
  <si>
    <t>Nilai Kontrak Jasa</t>
  </si>
  <si>
    <t>Invoice Diterbitkan</t>
  </si>
  <si>
    <t>Honorarium Diterima</t>
  </si>
  <si>
    <t>Sisa Nilai Kontrak</t>
  </si>
  <si>
    <t>Biaya Beban Kantor</t>
  </si>
  <si>
    <t>Biaya Dibebankan Klien</t>
  </si>
  <si>
    <t>Reimburse dari Klien</t>
  </si>
  <si>
    <t>Kontribusi Perkara</t>
  </si>
  <si>
    <t>Margin Kontribusi</t>
  </si>
  <si>
    <t>Piutang Invoice</t>
  </si>
  <si>
    <t>Tanggal Review</t>
  </si>
  <si>
    <t>Catatan</t>
  </si>
  <si>
    <t>R | P | K   REGISTER PEMASUKAN</t>
  </si>
  <si>
    <t>Catat uang benar-benar diterima. Dana titipan, reimburse klien, setoran modal dan pinjaman dipisahkan otomatis dari pendapatan jasa hukum.</t>
  </si>
  <si>
    <t>ID Pemasukan</t>
  </si>
  <si>
    <t>Tanggal Terima</t>
  </si>
  <si>
    <t>Periode</t>
  </si>
  <si>
    <t>Nama Klien/Pembayar</t>
  </si>
  <si>
    <t>Jenis Pemasukan</t>
  </si>
  <si>
    <t>No. Invoice</t>
  </si>
  <si>
    <t>Nilai Bruto</t>
  </si>
  <si>
    <t>Pajak Dipotong Klien</t>
  </si>
  <si>
    <t>Kas Bersih Diterima</t>
  </si>
  <si>
    <t>Akun Penerima</t>
  </si>
  <si>
    <t>Metode Bayar</t>
  </si>
  <si>
    <t>Klasifikasi Akuntansi</t>
  </si>
  <si>
    <t>Bukti Pembayaran</t>
  </si>
  <si>
    <t>Status Bukti</t>
  </si>
  <si>
    <t>R | P | K   REGISTER PENGELUARAN</t>
  </si>
  <si>
    <t>Catat biaya dasar sekali. Gaji dicatat di GAJI; pembayaran kembali reimburse dicatat melalui REIMBURSE agar tidak terjadi penghitungan ganda.</t>
  </si>
  <si>
    <t>ID Pengeluaran</t>
  </si>
  <si>
    <t>Tanggal</t>
  </si>
  <si>
    <t>Klien</t>
  </si>
  <si>
    <t>Uraian Pengeluaran</t>
  </si>
  <si>
    <t>Kategori</t>
  </si>
  <si>
    <t>Dibayar Oleh</t>
  </si>
  <si>
    <t>Sumber Dana / Akun</t>
  </si>
  <si>
    <t>Nilai Pengeluaran</t>
  </si>
  <si>
    <t>Dibebankan Kepada</t>
  </si>
  <si>
    <t>Perlu Reimburse?</t>
  </si>
  <si>
    <t>ID Klaim Reimburse</t>
  </si>
  <si>
    <t>Nama/Link Bukti</t>
  </si>
  <si>
    <t>Nilai Direimburse</t>
  </si>
  <si>
    <t>Sisa Reimburse</t>
  </si>
  <si>
    <t>Tanggal Reimburse</t>
  </si>
  <si>
    <t>Status Reimburse</t>
  </si>
  <si>
    <t>Dapat Ditagih Klien?</t>
  </si>
  <si>
    <t>R | P | K   PENGGAJIAN &amp; HONOR TENAGA KERJA</t>
  </si>
  <si>
    <t>ID Payroll</t>
  </si>
  <si>
    <t>Periode Gaji</t>
  </si>
  <si>
    <t>Nama Pegawai</t>
  </si>
  <si>
    <t>Jabatan</t>
  </si>
  <si>
    <t>Jenis Pegawai</t>
  </si>
  <si>
    <t>Gaji Pokok</t>
  </si>
  <si>
    <t>Tunjangan Tetap</t>
  </si>
  <si>
    <t>Transport/Makan</t>
  </si>
  <si>
    <t>Lembur</t>
  </si>
  <si>
    <t>Bonus/Insentif</t>
  </si>
  <si>
    <t>Penghasilan Bruto</t>
  </si>
  <si>
    <t>PPh 21 Dipotong</t>
  </si>
  <si>
    <t>BPJS Bagian Pegawai</t>
  </si>
  <si>
    <t>Potongan Lain</t>
  </si>
  <si>
    <t>BPJS Bagian Kantor</t>
  </si>
  <si>
    <t>Gaji Bersih Dibayar</t>
  </si>
  <si>
    <t>Total Beban Kantor</t>
  </si>
  <si>
    <t>Status Pembayaran</t>
  </si>
  <si>
    <t>Tanggal Bayar</t>
  </si>
  <si>
    <t>Akun Pembayaran</t>
  </si>
  <si>
    <t>R | P | K   REGISTER KLAIM REIMBURSE</t>
  </si>
  <si>
    <t>Gunakan ID klaim yang sama pada PENGELUARAN. Klaim adalah utang kantor kepada partner/pegawai; bukan biaya kedua.</t>
  </si>
  <si>
    <t>ID Klaim</t>
  </si>
  <si>
    <t>Tanggal Pengajuan</t>
  </si>
  <si>
    <t>Pemohon</t>
  </si>
  <si>
    <t>Periode Mulai</t>
  </si>
  <si>
    <t>Periode Selesai</t>
  </si>
  <si>
    <t>Total Diajukan</t>
  </si>
  <si>
    <t>Total Disetujui</t>
  </si>
  <si>
    <t>Total Dibayar</t>
  </si>
  <si>
    <t>Sisa Klaim</t>
  </si>
  <si>
    <t>Status Klaim</t>
  </si>
  <si>
    <t>Tanggal Pembayaran</t>
  </si>
  <si>
    <t>Rekening Penerima</t>
  </si>
  <si>
    <t>Bukti Transfer</t>
  </si>
  <si>
    <t>R | P | K   INVOICE, PIUTANG &amp; UMUR TAGIHAN</t>
  </si>
  <si>
    <t>Sisa tagihan dihitung dari PEMASUKAN berdasarkan nomor invoice. Isi total tagihan sesuai invoice; jangan menganggap invoice belum dibayar sebagai kas.</t>
  </si>
  <si>
    <t>Tanggal Invoice</t>
  </si>
  <si>
    <t>Jatuh Tempo</t>
  </si>
  <si>
    <t>Jenis Tagihan</t>
  </si>
  <si>
    <t>Nilai Jasa Hukum</t>
  </si>
  <si>
    <t>Nilai Reimburse</t>
  </si>
  <si>
    <t>Pajak/Komponen Lain</t>
  </si>
  <si>
    <t>Total Invoice</t>
  </si>
  <si>
    <t>Penerimaan Tercatat</t>
  </si>
  <si>
    <t>Sisa Piutang</t>
  </si>
  <si>
    <t>Hari Lewat Jatuh Tempo</t>
  </si>
  <si>
    <t>Status Tagihan</t>
  </si>
  <si>
    <t>PIC Penagihan</t>
  </si>
  <si>
    <t>Tanggal Follow-up</t>
  </si>
  <si>
    <t>Kontak Klien</t>
  </si>
  <si>
    <t>R | P | K   KAS, BANK &amp; REKONSILIASI</t>
  </si>
  <si>
    <t>Akun Kas / Bank</t>
  </si>
  <si>
    <t>Saldo Awal</t>
  </si>
  <si>
    <t>Seluruh Pemasukan</t>
  </si>
  <si>
    <t>Pengeluaran Langsung</t>
  </si>
  <si>
    <t>Reimburse Dibayar</t>
  </si>
  <si>
    <t>Dana Klien Keluar</t>
  </si>
  <si>
    <t>Pembayaran Kewajiban</t>
  </si>
  <si>
    <t>Transfer Masuk</t>
  </si>
  <si>
    <t>Transfer Keluar</t>
  </si>
  <si>
    <t>Saldo Menurut Buku</t>
  </si>
  <si>
    <t>Saldo Fisik / Rekening</t>
  </si>
  <si>
    <t>Selisih Rekonsiliasi</t>
  </si>
  <si>
    <t>Status</t>
  </si>
  <si>
    <t>Tanggal Rekonsiliasi</t>
  </si>
  <si>
    <t>Kas Kantor</t>
  </si>
  <si>
    <t>Bank Operasional</t>
  </si>
  <si>
    <t>Kas Fajar</t>
  </si>
  <si>
    <t>Kas Reza</t>
  </si>
  <si>
    <t>Kas Anggara</t>
  </si>
  <si>
    <t>Bank Dana Klien</t>
  </si>
  <si>
    <t>CATATAN PENGENDALIAN KAS</t>
  </si>
  <si>
    <t>Dana di Bank Dana Klien harus diperlakukan sebagai dana terbatas, bukan kas bebas operasional. Isi kolom saldo fisik/rekening setelah memeriksa mutasi bank atau menghitung uang tunai. Transfer antar akun harus seimbang antara transfer masuk dan transfer keluar.</t>
  </si>
  <si>
    <t>R | P | K   DANA TITIPAN KLIEN</t>
  </si>
  <si>
    <t>Pisahkan dana milik klien dari uang operasional. Penerimaan dicatat juga pada PEMASUKAN dengan jenis Dana Titipan Klien; pengeluaran klien tidak menjadi biaya kantor.</t>
  </si>
  <si>
    <t>ID Mutasi Dana</t>
  </si>
  <si>
    <t>Jenis Mutasi</t>
  </si>
  <si>
    <t>Uraian / Tujuan</t>
  </si>
  <si>
    <t>Dana Masuk</t>
  </si>
  <si>
    <t>Dana Keluar</t>
  </si>
  <si>
    <t>Saldo Klien Berjalan</t>
  </si>
  <si>
    <t>Akun Dana Klien</t>
  </si>
  <si>
    <t>Bukti Transaksi</t>
  </si>
  <si>
    <t>No. Referensi</t>
  </si>
  <si>
    <t>ID Transaksi Partner</t>
  </si>
  <si>
    <t>Nama Partner</t>
  </si>
  <si>
    <t>Jenis Transaksi</t>
  </si>
  <si>
    <t>Dasar / Keterangan</t>
  </si>
  <si>
    <t>Hak / Penambahan</t>
  </si>
  <si>
    <t>Pembayaran / Penarikan</t>
  </si>
  <si>
    <t>Saldo Hak Berjalan</t>
  </si>
  <si>
    <t>Bukti / Referensi</t>
  </si>
  <si>
    <t>R | P | K   POSISI EKUITAS FIRMA</t>
  </si>
  <si>
    <t>Ekuitas firma terdiri dari modal partner dan saldo laba. Reimburse, dana titipan klien, pinjaman, dan pengembalian talangan tidak termasuk ekuitas.</t>
  </si>
  <si>
    <t>Tahun Laporan</t>
  </si>
  <si>
    <t>MODAL PER PARTNER</t>
  </si>
  <si>
    <t>SALDO LABA &amp; TOTAL EKUITAS</t>
  </si>
  <si>
    <t>Partner</t>
  </si>
  <si>
    <t>Saldo Modal Awal</t>
  </si>
  <si>
    <t>Setoran Modal</t>
  </si>
  <si>
    <t>Alokasi Laba</t>
  </si>
  <si>
    <t>Prive / Distribusi</t>
  </si>
  <si>
    <t>Koreksi Neto</t>
  </si>
  <si>
    <t>Saldo Modal Akhir</t>
  </si>
  <si>
    <t>Saldo Laba Awal</t>
  </si>
  <si>
    <t>Laba / (Rugi) Tahun Berjalan</t>
  </si>
  <si>
    <t>Laba Dialokasikan ke Partner</t>
  </si>
  <si>
    <t>Saldo Laba Akhir</t>
  </si>
  <si>
    <t>Total Modal Partner</t>
  </si>
  <si>
    <t>TOTAL EKUITAS</t>
  </si>
  <si>
    <t>Saldo laba adalah laba yang belum dialokasikan kepada partner. Alokasi laba memindahkan nilai dari saldo laba ke modal partner sehingga tidak mengubah total ekuitas. Prive atau pembayaran bagi hasil yang sudah dibayar mengurangi ekuitas.</t>
  </si>
  <si>
    <t>TOTAL MODAL PARTNER</t>
  </si>
  <si>
    <t>PERUBAHAN EKUITAS BULANAN</t>
  </si>
  <si>
    <t>Komponen</t>
  </si>
  <si>
    <t>Jan</t>
  </si>
  <si>
    <t>Feb</t>
  </si>
  <si>
    <t>Mar</t>
  </si>
  <si>
    <t>Apr</t>
  </si>
  <si>
    <t>Mei</t>
  </si>
  <si>
    <t>Jun</t>
  </si>
  <si>
    <t>Jul</t>
  </si>
  <si>
    <t>Agu</t>
  </si>
  <si>
    <t>Sep</t>
  </si>
  <si>
    <t>Okt</t>
  </si>
  <si>
    <t>Nov</t>
  </si>
  <si>
    <t>Des</t>
  </si>
  <si>
    <t>TOTAL / AKHIR</t>
  </si>
  <si>
    <t>Saldo Awal Ekuitas</t>
  </si>
  <si>
    <t>Setoran Modal Partner</t>
  </si>
  <si>
    <t>Laba / (Rugi) Berjalan</t>
  </si>
  <si>
    <t>Prive / Distribusi Partner</t>
  </si>
  <si>
    <t>Koreksi Ekuitas Neto</t>
  </si>
  <si>
    <t>Perubahan Ekuitas Neto</t>
  </si>
  <si>
    <t>Saldo Akhir Ekuitas</t>
  </si>
  <si>
    <t>REKONSILIASI &amp; KONTROL EKUITAS</t>
  </si>
  <si>
    <t>Pemeriksaan</t>
  </si>
  <si>
    <t>Nilai / Selisih</t>
  </si>
  <si>
    <t>Lokasi Perbaikan</t>
  </si>
  <si>
    <t>Keterangan</t>
  </si>
  <si>
    <t>Setoran modal: pemasukan vs akun partner</t>
  </si>
  <si>
    <t>PEMASUKAN / PARTNER</t>
  </si>
  <si>
    <t>Setoran modal yang masuk ke kas harus dicatat pula pada akun modal partner.</t>
  </si>
  <si>
    <t>Ekuitas akhir vs laporan bulanan</t>
  </si>
  <si>
    <t>EKUITAS</t>
  </si>
  <si>
    <t>Total ekuitas tahunan harus sama dengan saldo akhir bulan Desember.</t>
  </si>
  <si>
    <t>Partner dengan saldo modal negatif</t>
  </si>
  <si>
    <t>EKUITAS / PARTNER</t>
  </si>
  <si>
    <t>Saldo negatif perlu ditinjau terhadap kesepakatan pembagian dan penarikan partner.</t>
  </si>
  <si>
    <t>Alokasi laba melebihi saldo laba tersedia</t>
  </si>
  <si>
    <t>Alokasi laba tidak boleh melampaui saldo laba awal ditambah laba tahun berjalan.</t>
  </si>
  <si>
    <t>R | P | K   ANGGARAN OPERASIONAL</t>
  </si>
  <si>
    <t>Isi anggaran per bulan dan kategori. Realisasi menghitung biaya kantor saja; pengeluaran milik klien tidak dibebankan sebagai biaya operasional.</t>
  </si>
  <si>
    <t>Kategori Anggaran</t>
  </si>
  <si>
    <t>Anggaran Bulanan</t>
  </si>
  <si>
    <t>Realisasi</t>
  </si>
  <si>
    <t>Selisih Anggaran</t>
  </si>
  <si>
    <t>Pemakaian Anggaran</t>
  </si>
  <si>
    <t>Penanggung Jawab</t>
  </si>
  <si>
    <t>Prioritas</t>
  </si>
  <si>
    <t>R | P | K   LAPORAN LABA RUGI</t>
  </si>
  <si>
    <t>Pendapatan jasa hukum berdasarkan penerimaan bruto. Reimburse klien, dana titipan dan setoran modal tidak dianggap pendapatan kantor. Biaya partner bukan gaji.</t>
  </si>
  <si>
    <t>TOTAL TAHUN</t>
  </si>
  <si>
    <t>PENDAPATAN OPERASIONAL</t>
  </si>
  <si>
    <t>Honorarium</t>
  </si>
  <si>
    <t>Retainer</t>
  </si>
  <si>
    <t>Success Fee</t>
  </si>
  <si>
    <t>Konsultasi</t>
  </si>
  <si>
    <t>Pendapatan Operasional Lain</t>
  </si>
  <si>
    <t>BEBAN OPERASIONAL</t>
  </si>
  <si>
    <t>Gaji dan Honor Tenaga Kerja</t>
  </si>
  <si>
    <t>Sewa Kantor</t>
  </si>
  <si>
    <t>Transportasi</t>
  </si>
  <si>
    <t>Persidangan</t>
  </si>
  <si>
    <t>Notaris</t>
  </si>
  <si>
    <t>Administrasi Instansi</t>
  </si>
  <si>
    <t>Operasional Kantor / ATK</t>
  </si>
  <si>
    <t>Software dan Langganan</t>
  </si>
  <si>
    <t>Pemasaran</t>
  </si>
  <si>
    <t>Beban Operasional Lain</t>
  </si>
  <si>
    <t>LABA / (RUGI) OPERASIONAL</t>
  </si>
  <si>
    <t>MARGIN OPERASIONAL</t>
  </si>
  <si>
    <t>INFORMASI BIAYA KLIEN</t>
  </si>
  <si>
    <t>Reimburse Diterima dari Klien</t>
  </si>
  <si>
    <t>Biaya yang Dibebankan ke Klien</t>
  </si>
  <si>
    <t>R | P | K   LAPORAN ARUS KAS</t>
  </si>
  <si>
    <t>KAS MASUK OPERASIONAL</t>
  </si>
  <si>
    <t>Penerimaan Jasa Hukum (neto)</t>
  </si>
  <si>
    <t>Penerimaan Reimburse Klien</t>
  </si>
  <si>
    <t>KAS KELUAR OPERASIONAL</t>
  </si>
  <si>
    <t>Pengeluaran Langsung dari Kas/Bank</t>
  </si>
  <si>
    <t>Gaji Bersih yang Sudah Dibayar</t>
  </si>
  <si>
    <t>Pembayaran Pajak / Kewajiban</t>
  </si>
  <si>
    <t>ARUS KAS OPERASIONAL BERSIH</t>
  </si>
  <si>
    <t>DANA TITIPAN KLIEN</t>
  </si>
  <si>
    <t>Dana Titipan Diterima</t>
  </si>
  <si>
    <t>Dana Titipan Dikeluarkan</t>
  </si>
  <si>
    <t>PENDANAAN &amp; PARTNER</t>
  </si>
  <si>
    <t>Setoran Modal / Pinjaman</t>
  </si>
  <si>
    <t>PERUBAHAN KAS BERSIH</t>
  </si>
  <si>
    <t>R | P | K   PAJAK &amp; KEWAJIBAN</t>
  </si>
  <si>
    <t>Catat nilai aktual yang harus disetor/dibayar. Tarif tidak diasumsikan. Pembayaran kewajiban mengurangi kas melalui akun yang dipilih.</t>
  </si>
  <si>
    <t>ID Kewajiban</t>
  </si>
  <si>
    <t>Jenis Kewajiban</t>
  </si>
  <si>
    <t>Penerima / Instansi</t>
  </si>
  <si>
    <t>Nilai Terutang</t>
  </si>
  <si>
    <t>Nilai Sudah Dibayar</t>
  </si>
  <si>
    <t>Sisa Kewajiban</t>
  </si>
  <si>
    <t>No. Bukti / NTPN</t>
  </si>
  <si>
    <t>Terkait Payroll / Invoice</t>
  </si>
  <si>
    <t>R | P | K   KONTROL INTERNAL</t>
  </si>
  <si>
    <t>Nilai &gt; 0 adalah pengecualian yang perlu ditindaklanjuti. Beberapa pemeriksaan awal wajar muncul sampai rekening direkonsiliasi.</t>
  </si>
  <si>
    <t>Jumlah / Selisih</t>
  </si>
  <si>
    <t>Penjelasan</t>
  </si>
  <si>
    <t>Reimburse tanpa ID klaim</t>
  </si>
  <si>
    <t>PENGELUARAN kolom N</t>
  </si>
  <si>
    <t>Tinggi</t>
  </si>
  <si>
    <t>Setiap pengeluaran yang perlu reimbursement harus terhubung dengan pengajuan.</t>
  </si>
  <si>
    <t>Pengeluaran tanpa bukti</t>
  </si>
  <si>
    <t>PENGELUARAN kolom O–P</t>
  </si>
  <si>
    <t>Lengkapi kuitansi, nota, invoice atau bukti pembayaran.</t>
  </si>
  <si>
    <t>Pemasukan tanpa akun penerima</t>
  </si>
  <si>
    <t>PEMASUKAN kolom K</t>
  </si>
  <si>
    <t>Seluruh penerimaan harus bisa ditelusuri ke rekening atau kas.</t>
  </si>
  <si>
    <t>Pengeluaran tanpa sumber dana</t>
  </si>
  <si>
    <t>PENGELUARAN kolom I</t>
  </si>
  <si>
    <t>Tentukan apakah biaya berasal dari kas kantor, bank atau dana pribadi.</t>
  </si>
  <si>
    <t>Invoice yang telah jatuh tempo</t>
  </si>
  <si>
    <t>INVOICE_PIUTANG kolom C dan N</t>
  </si>
  <si>
    <t>Lakukan follow-up penagihan atas tagihan yang telah melewati jatuh tempo.</t>
  </si>
  <si>
    <t>Gaji belum dibayar</t>
  </si>
  <si>
    <t>GAJI kolom R–T</t>
  </si>
  <si>
    <t>Pastikan payroll telah dibayarkan dan bukti transfer tersedia.</t>
  </si>
  <si>
    <t>Kewajiban jatuh tempo</t>
  </si>
  <si>
    <t>KEWAJIBAN kolom H–L</t>
  </si>
  <si>
    <t>Prioritaskan penyetoran pajak/BPJS dan pelunasan kewajiban yang jatuh tempo.</t>
  </si>
  <si>
    <t>Saldo dana klien negatif</t>
  </si>
  <si>
    <t>DANA_KLIEN kolom I</t>
  </si>
  <si>
    <t>Kritis</t>
  </si>
  <si>
    <t>Saldo dana milik klien tidak boleh negatif.</t>
  </si>
  <si>
    <t>Selisih catatan penerimaan dana klien</t>
  </si>
  <si>
    <t>PEMASUKAN / DANA_KLIEN</t>
  </si>
  <si>
    <t>Penerimaan dana titipan pada kas harus sama dengan mutasi masuk dana klien.</t>
  </si>
  <si>
    <t>Kas/bank dengan selisih</t>
  </si>
  <si>
    <t>KAS_BANK kolom M–N</t>
  </si>
  <si>
    <t>Bandingkan buku dengan rekening koran dan uang fisik.</t>
  </si>
  <si>
    <t>Selisih transfer antar akun</t>
  </si>
  <si>
    <t>KAS_BANK kolom J–K</t>
  </si>
  <si>
    <t>Jumlah seluruh transfer masuk harus sama dengan transfer keluar.</t>
  </si>
  <si>
    <t>Klaim dibayar tanpa akun pembayaran</t>
  </si>
  <si>
    <t>REIMBURSE kolom O</t>
  </si>
  <si>
    <t>Pembayaran reimbursement harus mengurangi akun kas/bank yang benar.</t>
  </si>
  <si>
    <t>Biaya kantor melebihi anggaran</t>
  </si>
  <si>
    <t>ANGGARAN kolom C–G</t>
  </si>
  <si>
    <t>Sedang</t>
  </si>
  <si>
    <t>Tinjau penyebab pembengkakan biaya dan persetujuan revisi anggaran.</t>
  </si>
  <si>
    <t>Pembayaran gaji tanpa akun</t>
  </si>
  <si>
    <t>GAJI kolom T</t>
  </si>
  <si>
    <t>Gaji berstatus dibayar wajib mencantumkan rekening sumber.</t>
  </si>
  <si>
    <t>Dana klien dipakai untuk operasional</t>
  </si>
  <si>
    <t>PENGELUARAN / DANA_KLIEN</t>
  </si>
  <si>
    <t>Rekening dana titipan tidak boleh dipakai untuk biaya kantor.</t>
  </si>
  <si>
    <t>Selisih setoran modal</t>
  </si>
  <si>
    <t>PEMASUKAN / PARTNER / EKUITAS</t>
  </si>
  <si>
    <t>Setoran modal yang diterima harus sama dengan penambahan modal pada akun partner.</t>
  </si>
  <si>
    <t>Kontrol perubahan ekuitas</t>
  </si>
  <si>
    <t>EKUITAS bagian rekonsiliasi</t>
  </si>
  <si>
    <t>Ekuitas akhir harus dapat direkonsiliasi dan tidak boleh menghasilkan saldo partner negatif atau alokasi laba berlebih.</t>
  </si>
  <si>
    <t>R | P | K   MASTER DATA KEUANGAN</t>
  </si>
  <si>
    <t>Edit daftar pilihan dan parameter di sini. Tarif pajak sengaja tidak diisi otomatis karena bergantung pada status dan ketentuan yang berlaku.</t>
  </si>
  <si>
    <t>PARTNER / PEMOHON</t>
  </si>
  <si>
    <t>JENIS PEMASUKAN</t>
  </si>
  <si>
    <t>KATEGORI PENGELUARAN</t>
  </si>
  <si>
    <t>AKUN KAS / BANK</t>
  </si>
  <si>
    <t>METODE PEMBAYARAN</t>
  </si>
  <si>
    <t>STATUS BUKTI</t>
  </si>
  <si>
    <t>STATUS PERSETUJUAN</t>
  </si>
  <si>
    <t>PEMBEBANAN BIAYA</t>
  </si>
  <si>
    <t>YA / TIDAK</t>
  </si>
  <si>
    <t>JENIS PEGAWAI</t>
  </si>
  <si>
    <t>STATUS PEMBAYARAN</t>
  </si>
  <si>
    <t>JENIS DANA KLIEN</t>
  </si>
  <si>
    <t>JENIS TRANSAKSI PARTNER</t>
  </si>
  <si>
    <t>JENIS KEWAJIBAN</t>
  </si>
  <si>
    <t>STATUS PERKARA</t>
  </si>
  <si>
    <t>PARAMETER KONTROL</t>
  </si>
  <si>
    <t>RONI, PUTRA &amp; KUSUMAH</t>
  </si>
  <si>
    <t>Jl. Bukit Nirwana VII, Blok CC.04</t>
  </si>
  <si>
    <t>Sariwangi, Kabupaten Bandung Barat</t>
  </si>
  <si>
    <t>0852 9560 1417</t>
  </si>
  <si>
    <t>law.rpk@gmail.com</t>
  </si>
  <si>
    <t>INVOICE</t>
  </si>
  <si>
    <t>NOMOR INVOICE</t>
  </si>
  <si>
    <t>Data klien dan perkara mengikuti master PERKARA melalui register invoice</t>
  </si>
  <si>
    <t>Pilih dari daftar</t>
  </si>
  <si>
    <t>DITAGIHKAN KEPADA</t>
  </si>
  <si>
    <t>TANGGAL INVOICE</t>
  </si>
  <si>
    <t>JATUH TEMPO</t>
  </si>
  <si>
    <t>KODE PERKARA</t>
  </si>
  <si>
    <t>JENIS TAGIHAN</t>
  </si>
  <si>
    <t>STATUS TAGIHAN</t>
  </si>
  <si>
    <t>NO.</t>
  </si>
  <si>
    <t>URAIAN JASA / BIAYA</t>
  </si>
  <si>
    <t>QTY</t>
  </si>
  <si>
    <t>JUMLAH</t>
  </si>
  <si>
    <t>Honorarium / jasa hukum</t>
  </si>
  <si>
    <t>Penggantian biaya (reimburse)</t>
  </si>
  <si>
    <t>Pajak / komponen lainnya</t>
  </si>
  <si>
    <t>TOTAL INVOICE</t>
  </si>
  <si>
    <t>SUDAH DIBAYAR</t>
  </si>
  <si>
    <t>SISA TAGIHAN YANG HARUS DIBAYAR</t>
  </si>
  <si>
    <t>INFORMASI PEMBAYARAN</t>
  </si>
  <si>
    <t>CATATAN</t>
  </si>
  <si>
    <t>BANK</t>
  </si>
  <si>
    <t>NO. REKENING</t>
  </si>
  <si>
    <t>ATAS NAMA</t>
  </si>
  <si>
    <t>Mohon mencantumkan nomor invoice</t>
  </si>
  <si>
    <t>pada keterangan pembayaran.</t>
  </si>
  <si>
    <t>Partner / Bagian Keuangan</t>
  </si>
  <si>
    <t>Dokumen tagihan resmi RPK Law Office. Pastikan nomor invoice, nilai tagihan, dan rekening tujuan telah diperiksa sebelum dikirim kepada klien.</t>
  </si>
  <si>
    <t>SLIP GAJI</t>
  </si>
  <si>
    <t>ID PAYROLL</t>
  </si>
  <si>
    <t>Rincian penghasilan dan pembayaran pegawai</t>
  </si>
  <si>
    <t>IDENTITAS PEGAWAI</t>
  </si>
  <si>
    <t>NAMA</t>
  </si>
  <si>
    <t>STATUS</t>
  </si>
  <si>
    <t>JABATAN</t>
  </si>
  <si>
    <t>TGL. BAYAR</t>
  </si>
  <si>
    <t>PERIODE</t>
  </si>
  <si>
    <t>AKUN BAYAR</t>
  </si>
  <si>
    <t>JENIS</t>
  </si>
  <si>
    <t>BUKTI BAYAR</t>
  </si>
  <si>
    <t>PENDAPATAN</t>
  </si>
  <si>
    <t>POTONGAN</t>
  </si>
  <si>
    <t>PPh 21</t>
  </si>
  <si>
    <t>BPJS Pegawai</t>
  </si>
  <si>
    <t>Transport / Makan</t>
  </si>
  <si>
    <t>Bonus / Insentif</t>
  </si>
  <si>
    <t>PENGHASILAN BRUTO</t>
  </si>
  <si>
    <t>TOTAL POTONGAN</t>
  </si>
  <si>
    <t>GAJI BERSIH DITERIMA</t>
  </si>
  <si>
    <t>INFORMASI BEBAN KANTOR — TIDAK MENGURANGI GAJI PEGAWAI</t>
  </si>
  <si>
    <t>BPJS KANTOR</t>
  </si>
  <si>
    <t>TOTAL BEBAN KANTOR</t>
  </si>
  <si>
    <t>Diterima oleh,</t>
  </si>
  <si>
    <t>Disetujui oleh,</t>
  </si>
  <si>
    <t>Pegawai</t>
  </si>
  <si>
    <t>DOKUMEN INTERNAL DAN RAHASIA. Nilai penghasilan, potongan, dan pembayaran mengikuti data aktual pada register GAJI.</t>
  </si>
  <si>
    <t>ALUR DATA YANG SALING TERHUBUNG</t>
  </si>
  <si>
    <t>PERKARA</t>
  </si>
  <si>
    <t>Daftarkan ID perkara, nama klien, kontak, email, dan alamat penagihan satu kali.</t>
  </si>
  <si>
    <t>INVOICE_PIUTANG</t>
  </si>
  <si>
    <t>Isi tanggal, pilih ID perkara, jenis tagihan, dan nilai. Nomor invoice, klien, jatuh tempo, piutang, dan umur tagihan terisi otomatis.</t>
  </si>
  <si>
    <t>PEMASUKAN</t>
  </si>
  <si>
    <t>Pilih nomor invoice; ID perkara dan nama klien mengikuti register invoice. Masukkan tanggal, jenis penerimaan, nominal, dan akun.</t>
  </si>
  <si>
    <t>REIMBURSE / PENGELUARAN</t>
  </si>
  <si>
    <t>Buat klaim dengan tanggal pengajuan; pilih ID klaim yang sama pada setiap pengeluaran terkait.</t>
  </si>
  <si>
    <t>TRANSFER_KAS</t>
  </si>
  <si>
    <t>Catat perpindahan uang antar rekening di satu tempat agar tidak membuat kas/bank tidak seimbang.</t>
  </si>
  <si>
    <t>NERACA / KONTROL</t>
  </si>
  <si>
    <t>Periksa saldo neraca, talangan partner, umur piutang, bukti transaksi, dan rekonsiliasi sebelum menutup bulan.</t>
  </si>
  <si>
    <t>PERSETUJUAN MANUAL &amp; MEMBACA RUGI BULANAN</t>
  </si>
  <si>
    <t>OTORISASI</t>
  </si>
  <si>
    <t>Periksa status, nama partner penyetuju, dan transaksi yang sudah berjalan tetapi belum mempunyai otorisasi lengkap.</t>
  </si>
  <si>
    <t>PENGELUARAN</t>
  </si>
  <si>
    <t>Kolom Status Persetujuan, Nilai Disetujui, Disetujui Oleh, dan Tanggal Persetujuan diisi manual; jangan mengarang data lama.</t>
  </si>
  <si>
    <t>REIMBURSE</t>
  </si>
  <si>
    <t>Setujui klaim dan setiap rincian pengeluaran secara manual; nilai disetujui baru dihitung setelah keduanya lengkap.</t>
  </si>
  <si>
    <t>INVOICE / GAJI</t>
  </si>
  <si>
    <t>Nama penandatangan invoice dan slip gaji mengikuti penyetuju manual pada register sumber.</t>
  </si>
  <si>
    <t>LABA_RUGI</t>
  </si>
  <si>
    <t>Bedakan rugi bulan berjalan dari laba kumulatif dan saldo kas. Dana bulan lalu bukan pemasukan bulan ini.</t>
  </si>
  <si>
    <t>MASTER</t>
  </si>
  <si>
    <t>Ubah Bulan analisis laporan (1–12) untuk mengganti kartu interpretasi otomatis di LABA_RUGI dan DASHBOARD.</t>
  </si>
  <si>
    <t>13</t>
  </si>
  <si>
    <t>PERALATAN KANTOR</t>
  </si>
  <si>
    <t>Pembelian printer/peralatan saat ini dibebankan langsung; telaah kapitalisasi hanya setelah kebijakan, nilai residu, dan umur manfaat ditetapkan.</t>
  </si>
  <si>
    <t>MEMBUKA TAHUN 2027 TANPA MENGHAPUS ARSIP 2026</t>
  </si>
  <si>
    <t>14</t>
  </si>
  <si>
    <t>SALDO_AWAL_2027</t>
  </si>
  <si>
    <t>Sesuaikan saldo kas, bank, talangan, modal, laba ditahan, dan riwayat perkara setelah tutup buku 31 Desember 2026.</t>
  </si>
  <si>
    <t>15</t>
  </si>
  <si>
    <t>Tahun laporan sudah 2027; Bulan analisis harus berupa angka 1–12, bukan format tanggal.</t>
  </si>
  <si>
    <t>16</t>
  </si>
  <si>
    <t>TRANSAKSI 2027</t>
  </si>
  <si>
    <t>Register pemasukan, pengeluaran, payroll, reimburse, partner, transfer, dan invoice lunas dimulai kosong.</t>
  </si>
  <si>
    <t>17</t>
  </si>
  <si>
    <t>ID dan nama klien tetap dipakai; invoice/pembayaran/biaya sebelum 2027 tersimpan di SALDO_AWAL_2027 bagian C.</t>
  </si>
  <si>
    <t>18</t>
  </si>
  <si>
    <t>KAS_BANK / EKUITAS</t>
  </si>
  <si>
    <t>Saldo awal otomatis mengambil angka sheet SALDO_AWAL_2027. Perubahan saldo pembukaan dilakukan pada sel krem.</t>
  </si>
  <si>
    <t>19</t>
  </si>
  <si>
    <t>ARSIP &amp; TAHUN BARU</t>
  </si>
  <si>
    <t>Simpan workbook 2026 sebagai arsip. Workbook 2027 dipakai penuh Januari–Desember tanpa membuat file baru setiap bulan.</t>
  </si>
  <si>
    <t>R | P | K   DASHBOARD KEUANGAN &amp; ARUS KAS PARTNER</t>
  </si>
  <si>
    <t>Laba usaha, saldo awal, pembayaran partner, reimburse, talangan, kas akhir, dan kontrol akuntansi ditampilkan terpisah serta saling terhubung.</t>
  </si>
  <si>
    <t>Bulan Analisis</t>
  </si>
  <si>
    <t>PENDAPATAN JASA HUKUM</t>
  </si>
  <si>
    <t>PIUTANG KLIEN</t>
  </si>
  <si>
    <t>KAS &amp; BANK OPERASIONAL</t>
  </si>
  <si>
    <t>TALANGAN / UTANG PARTNER</t>
  </si>
  <si>
    <t>PAJAK / KEWAJIBAN TERUTANG</t>
  </si>
  <si>
    <t>KINERJA BULANAN — LABA USAHA, PEMBAGIAN PARTNER, DAN PERGERAKAN KAS</t>
  </si>
  <si>
    <t>Bulan</t>
  </si>
  <si>
    <t>Pendapatan Jasa</t>
  </si>
  <si>
    <t>Beban Operasional</t>
  </si>
  <si>
    <t>Laba / (Rugi) Bulan</t>
  </si>
  <si>
    <t>Laba Usaha Kumulatif</t>
  </si>
  <si>
    <t>Kas Awal Bulan</t>
  </si>
  <si>
    <t>Kas Masuk Operasional</t>
  </si>
  <si>
    <t>Biaya + Gaji + Kewajiban</t>
  </si>
  <si>
    <t>Pembagian Partner / Prive</t>
  </si>
  <si>
    <t>Pengembalian Talangan</t>
  </si>
  <si>
    <t>Pendanaan / Mutasi Lain</t>
  </si>
  <si>
    <t>Kas Akhir Bulan</t>
  </si>
  <si>
    <t>Selisih Kontrol</t>
  </si>
  <si>
    <t>Kas awal berasal dari saldo bulan sebelumnya dan BUKAN pendapatan. Pembagian laba / prive mengurangi kas serta ekuitas. Pengembalian talangan mengurangi kas serta utang partner. Pendanaan / mutasi lain mencakup modal, pinjaman, talangan baru, dan perpindahan dana.</t>
  </si>
  <si>
    <t>RINCIAN ARUS KAS BULAN YANG DIPILIH</t>
  </si>
  <si>
    <t>LABA, EKUITAS, DAN KONTROL BULAN TERPILIH</t>
  </si>
  <si>
    <t>Saldo awal dari bulan sebelumnya</t>
  </si>
  <si>
    <t>Laba / rugi bulan berjalan</t>
  </si>
  <si>
    <t>(+) Kas masuk operasional</t>
  </si>
  <si>
    <t>Laba usaha kumulatif</t>
  </si>
  <si>
    <t>(-) Biaya, gaji, dan kewajiban</t>
  </si>
  <si>
    <t>Pembagian partner bulan ini</t>
  </si>
  <si>
    <t>(-) Reimburse dibayarkan</t>
  </si>
  <si>
    <t>Utang / talangan partner berjalan</t>
  </si>
  <si>
    <t>(-) Pembagian partner / prive</t>
  </si>
  <si>
    <t>Ekuitas setelah pembagian</t>
  </si>
  <si>
    <t>(-) Pengembalian talangan partner</t>
  </si>
  <si>
    <t>Piutang klien belum dibayar</t>
  </si>
  <si>
    <t>(+/-) Pendanaan dan mutasi lain</t>
  </si>
  <si>
    <t>Selisih jembatan kas bulan ini</t>
  </si>
  <si>
    <t>SALDO KAS AKHIR BULAN</t>
  </si>
  <si>
    <t>STATUS MODEL KEUANGAN</t>
  </si>
  <si>
    <t>RINGKASAN PARTNER — PEMBAGIAN LABA, REIMBURSE, DAN TALANGAN</t>
  </si>
  <si>
    <t>Alokasi Hak / Laba</t>
  </si>
  <si>
    <t>Prive / Bagi Hasil</t>
  </si>
  <si>
    <t>Utang Talangan Tersisa</t>
  </si>
  <si>
    <t>Saldo Hak Partner</t>
  </si>
  <si>
    <t>TOTAL PARTNER</t>
  </si>
  <si>
    <t>PERINGATAN PENGENDALIAN &amp; REKONSILIASI</t>
  </si>
  <si>
    <t>Temuan kontrol kritis</t>
  </si>
  <si>
    <t>Temuan kontrol prioritas tinggi</t>
  </si>
  <si>
    <t>Data administratif perlu dilengkapi</t>
  </si>
  <si>
    <t>Akun kas aktif belum direkonsiliasi</t>
  </si>
  <si>
    <t>Pembayaran tanpa tanggal lengkap</t>
  </si>
  <si>
    <t>Partner menggunakan tanggal transaksi</t>
  </si>
  <si>
    <t>Total selisih jembatan kas setahun</t>
  </si>
  <si>
    <t>Selisih distribusi vs ekuitas</t>
  </si>
  <si>
    <t>Persetujuan transaksi dan identitas penyetuju selalu diisi manual. Kolom hijau adalah rumus otomatis; kategori partner harus dibedakan antara pembagian laba / prive dan pengembalian talangan.</t>
  </si>
  <si>
    <t>VISUAL KINERJA — PENDAPATAN, BEBAN, LABA, DAN KAS</t>
  </si>
  <si>
    <t>Grafik mengikuti Bulan Analisis; bulan setelah periode tersebut dikosongkan otomatis.</t>
  </si>
  <si>
    <t>Alamat Penagihan</t>
  </si>
  <si>
    <t>Email Klien</t>
  </si>
  <si>
    <t>NPWP Klien</t>
  </si>
  <si>
    <t>Gaji Dialokasikan</t>
  </si>
  <si>
    <t>Laba Setelah Gaji</t>
  </si>
  <si>
    <t>Sisa Kontrak Belum Ditagihkan</t>
  </si>
  <si>
    <t>Status Master</t>
  </si>
  <si>
    <t>001/2026</t>
  </si>
  <si>
    <t>Fajar Roni</t>
  </si>
  <si>
    <t>Aktif</t>
  </si>
  <si>
    <t>Tanggal, akun, dan nilai menunjukkan uang yang benar-benar diterima. Status konfirmasi serta nama pemeriksa harus dipilih manual; rumus hanya merangkum keputusan tersebut.</t>
  </si>
  <si>
    <t>Dikonfirmasi Oleh (Manual)</t>
  </si>
  <si>
    <t>Status Validasi</t>
  </si>
  <si>
    <t>Status Konfirmasi (Manual)</t>
  </si>
  <si>
    <t>Tanggal Konfirmasi</t>
  </si>
  <si>
    <t>Catatan Konfirmasi</t>
  </si>
  <si>
    <t>Status Otorisasi</t>
  </si>
  <si>
    <t>Status, nominal disetujui, nama penyetuju, dan tanggal persetujuan merupakan input manual. Catatan historis tanpa identitas penyetuju diberi tanda untuk dilengkapi.</t>
  </si>
  <si>
    <t>Status Persetujuan (Manual)</t>
  </si>
  <si>
    <t>Nilai Disetujui (Manual)</t>
  </si>
  <si>
    <t>Disetujui Oleh (Manual)</t>
  </si>
  <si>
    <t>Tanggal Persetujuan</t>
  </si>
  <si>
    <t>Catatan Persetujuan</t>
  </si>
  <si>
    <t>Payroll, slip gaji, dan biaya kantor dihitung otomatis. Persetujuan, nama penyetuju, dan tanggal otorisasi diisi manual sebelum pembayaran.</t>
  </si>
  <si>
    <t>Isi Periode Gaji dengan tanggal hari pertama bulan (contoh: 01/07/2026). ID payroll, bruto, gaji bersih, dan beban kantor dihitung otomatis.</t>
  </si>
  <si>
    <t>Kode Perkara (Opsional)</t>
  </si>
  <si>
    <t>Nama Klien / Perkara</t>
  </si>
  <si>
    <t>Buat ID klaim, hubungkan rincian pengeluaran, lalu isi status dan nama penyetuju manual. Total disetujui tetap nol sampai klaim dan setiap rincian benar-benar diotorisasi.</t>
  </si>
  <si>
    <t>Nomor perkara dan nama klien otomatis. Pembayaran invoice tahun sebelumnya ditempatkan di kolom AD; persetujuan tetap harus diisi manual.</t>
  </si>
  <si>
    <t>Belum Jatuh Tempo</t>
  </si>
  <si>
    <t>Lewat 1-30 Hari</t>
  </si>
  <si>
    <t>Lewat 31-60 Hari</t>
  </si>
  <si>
    <t>Lewat 61-90 Hari</t>
  </si>
  <si>
    <t>Lewat &gt;90 Hari</t>
  </si>
  <si>
    <t>Penerimaan Sebelum Tahun Berjalan</t>
  </si>
  <si>
    <t>Saldo awal bersumber dari SALDO_AWAL_2027. Saldo akun partner negatif adalah talangan, bukan kas fisik negatif. Isi saldo pembukaan hanya pada sheet SALDO_AWAL_2027.</t>
  </si>
  <si>
    <t>Saldo Awal hanya diisi sekali pada awal tahun. Saldo buku menghitung seluruh transaksi tahun berjalan; saldo antarbulan dapat dilihat pada ARUS_KAS. Isi saldo fisik/rekening saat rekonsiliasi.</t>
  </si>
  <si>
    <t>Pembayaran Partner</t>
  </si>
  <si>
    <t>Pemulihan Talangan</t>
  </si>
  <si>
    <t>Kas Tersedia</t>
  </si>
  <si>
    <t>Talangan Partner</t>
  </si>
  <si>
    <t>Belum Direkonsiliasi</t>
  </si>
  <si>
    <t>TALANGAN PARTNER</t>
  </si>
  <si>
    <t>Dana klien tidak boleh dipakai untuk operasional. Status, identitas penyetuju, dan tanggal pelepasan dana diisi manual; dana keluar tanpa izin ditandai kritis.</t>
  </si>
  <si>
    <t>R | P | K   TRANSAKSI &amp; HAK PARTNER</t>
  </si>
  <si>
    <t>Persetujuan dan identitas penyetuju tetap manual. Jika tanggal pembayaran belum diisi, tanggal transaksi dipakai sebagai tanggal efektif agar kas, arus kas, ekuitas, dan dashboard tetap selaras.</t>
  </si>
  <si>
    <t>Tanggal Efektif Pembayaran</t>
  </si>
  <si>
    <t>Gaji dan Honor</t>
  </si>
  <si>
    <t>Konsumsi dan Rapat</t>
  </si>
  <si>
    <t>ANALISIS BULAN BERJALAN, LABA KUMULATIF, DAN KAS</t>
  </si>
  <si>
    <t>Saldo laba awal bulan</t>
  </si>
  <si>
    <t>Pendapatan bulan berjalan</t>
  </si>
  <si>
    <t>Beban bulan berjalan</t>
  </si>
  <si>
    <t>LABA / (RUGI) BULAN INI</t>
  </si>
  <si>
    <t>LABA KUMULATIF S.D. BULAN INI</t>
  </si>
  <si>
    <t>Kas operasional awal bulan</t>
  </si>
  <si>
    <t>KAS OPERASIONAL AKHIR BULAN</t>
  </si>
  <si>
    <t>Talangan partner akhir bulan</t>
  </si>
  <si>
    <t>EKUITAS FIRMA AKHIR BULAN</t>
  </si>
  <si>
    <t>Angka merah hanya menunjukkan biaya bulan tersebut lebih besar daripada pemasukan bulan yang sama. Saldo kas dan laba bulan sebelumnya tetap bergulir; saldo kas lama bukan pendapatan baru. Periksa LABA KUMULATIF dan KAS AKHIR untuk menilai posisi firma.</t>
  </si>
  <si>
    <t>INTERPRETASI OTOMATIS BULAN TERPILIH</t>
  </si>
  <si>
    <t>BULAN ANALISIS</t>
  </si>
  <si>
    <t>LABA / RUGI BULAN</t>
  </si>
  <si>
    <t>LABA KUMULATIF</t>
  </si>
  <si>
    <t>KAS AKHIR BULAN</t>
  </si>
  <si>
    <t>Arus kas bulanan menampilkan perubahan kas dan saldo bergulir. Saldo akhir suatu bulan otomatis menjadi saldo awal bulan berikutnya. Dana titipan klien tetap dipisahkan dari kas operasional.</t>
  </si>
  <si>
    <t>Pembayaran Reimburse</t>
  </si>
  <si>
    <t>Pembayaran Partner / Prive</t>
  </si>
  <si>
    <t>Talangan Baru / Pendanaan Pribadi</t>
  </si>
  <si>
    <t>Mutasi Operasional dan Dana Klien</t>
  </si>
  <si>
    <t>SALDO AWAL KAS OPERASIONAL</t>
  </si>
  <si>
    <t>SALDO AKHIR KAS OPERASIONAL</t>
  </si>
  <si>
    <t>Utang pajak, vendor, dan kewajiban lain dicatat sesuai bukti aktual. Status, nama, dan tanggal persetujuan pelunasan diisi manual.</t>
  </si>
  <si>
    <t>Utang Lainnya</t>
  </si>
  <si>
    <t>Bianca Lianda Desfani</t>
  </si>
  <si>
    <t>PAY-202608-003</t>
  </si>
  <si>
    <t>Saldo awal kewajiban gaji dari 2026; pembayaran pada 2027 bukan beban baru.</t>
  </si>
  <si>
    <t>Disetujui</t>
  </si>
  <si>
    <t>Dibawa dari daftar gaji 2026 yang belum dibayar.</t>
  </si>
  <si>
    <t>Dafina Putri Felisha</t>
  </si>
  <si>
    <t>PAY-202608-004</t>
  </si>
  <si>
    <t>Periode gaji bukan format tanggal</t>
  </si>
  <si>
    <t>GAJI kolom B</t>
  </si>
  <si>
    <t>Gunakan tanggal hari pertama bulan agar ID payroll dan laporan bulanan tetap valid.</t>
  </si>
  <si>
    <t>Saldo akhir kas tidak sama dengan buku kas/bank</t>
  </si>
  <si>
    <t>ARUS_KAS / KAS_BANK</t>
  </si>
  <si>
    <t>Saldo akhir bulan analisis harus sama dengan saldo buku seluruh kas operasional.</t>
  </si>
  <si>
    <t>Pemasukan terkait invoice tidak terdaftar</t>
  </si>
  <si>
    <t>PEMASUKAN / INVOICE_PIUTANG</t>
  </si>
  <si>
    <t>Nomor invoice pada transaksi penerimaan wajib terdaftar dan terhubung.</t>
  </si>
  <si>
    <t>Perkara pada pemasukan tidak sesuai invoice</t>
  </si>
  <si>
    <t>Kode perkara pembayaran harus sama dengan kode perkara invoice.</t>
  </si>
  <si>
    <t>Invoice tanpa perkara atau perkara tidak valid</t>
  </si>
  <si>
    <t>INVOICE_PIUTANG kolom D, E, X</t>
  </si>
  <si>
    <t>Setiap invoice harus menunjuk satu perkara yang terdaftar di master.</t>
  </si>
  <si>
    <t>ID perkara duplikat</t>
  </si>
  <si>
    <t>PERKARA kolom A dan Z</t>
  </si>
  <si>
    <t>Satu ID perkara hanya boleh dipakai oleh satu baris master.</t>
  </si>
  <si>
    <t>Nomor invoice duplikat</t>
  </si>
  <si>
    <t>INVOICE_PIUTANG kolom A dan X</t>
  </si>
  <si>
    <t>Nomor invoice ganda akan menyebabkan penerimaan terhitung lebih dari sekali.</t>
  </si>
  <si>
    <t>ID klaim reimburse duplikat</t>
  </si>
  <si>
    <t>REIMBURSE kolom A dan S</t>
  </si>
  <si>
    <t>Setiap ID klaim reimbursement harus unik.</t>
  </si>
  <si>
    <t>ID payroll duplikat</t>
  </si>
  <si>
    <t>GAJI kolom A dan Z</t>
  </si>
  <si>
    <t>Setiap slip gaji harus mempunyai ID payroll unik.</t>
  </si>
  <si>
    <t>Selisih bucket umur piutang</t>
  </si>
  <si>
    <t>INVOICE_PIUTANG / UMUR_PIUTANG</t>
  </si>
  <si>
    <t>Jumlah seluruh bucket jatuh tempo harus sama dengan total piutang.</t>
  </si>
  <si>
    <t>Selisih neraca aset vs kewajiban dan ekuitas</t>
  </si>
  <si>
    <t>NERACA</t>
  </si>
  <si>
    <t>Total aset harus sama dengan total kewajiban ditambah ekuitas.</t>
  </si>
  <si>
    <t>Transfer antar akun tidak valid</t>
  </si>
  <si>
    <t>TRANSFER_KAS kolom D–M</t>
  </si>
  <si>
    <t>Transfer harus memiliki dua akun berbeda dan nominal yang benar.</t>
  </si>
  <si>
    <t>Pembayaran kewajiban tanpa akun</t>
  </si>
  <si>
    <t>KEWAJIBAN kolom F dan J</t>
  </si>
  <si>
    <t>Pembayaran pajak/vendor wajib mengurangi akun kas yang benar.</t>
  </si>
  <si>
    <t>Pengeluaran terhubung ke klaim yang tidak ada</t>
  </si>
  <si>
    <t>PENGELUARAN / REIMBURSE</t>
  </si>
  <si>
    <t>ID klaim pada pengeluaran harus ada pada register reimbursement.</t>
  </si>
  <si>
    <t>Akun aktif belum direkonsiliasi</t>
  </si>
  <si>
    <t>KAS_BANK kolom M–P</t>
  </si>
  <si>
    <t>Masukkan saldo fisik atau rekening koran untuk akun yang mempunyai transaksi.</t>
  </si>
  <si>
    <t>Bukti lengkap tanpa nomor / referensi</t>
  </si>
  <si>
    <t>Lengkapi nomor nota atau tautan bukti supaya transaksi mudah diaudit.</t>
  </si>
  <si>
    <t>Biaya berjalan belum memiliki anggaran</t>
  </si>
  <si>
    <t>Isi target anggaran pada kategori yang sudah mempunyai realisasi.</t>
  </si>
  <si>
    <t>Informasi rekening tujuan invoice belum lengkap</t>
  </si>
  <si>
    <t>MASTER parameter pembayaran</t>
  </si>
  <si>
    <t>Isi nama bank, nomor rekening, dan nama pemilik sebelum invoice dikirim.</t>
  </si>
  <si>
    <t>Perkara belum memiliki partner penanggung jawab</t>
  </si>
  <si>
    <t>PERKARA kolom D dan Z</t>
  </si>
  <si>
    <t>Tetapkan partner PIC agar invoice, umur piutang, dan tindak lanjut klien memiliki penanggung jawab.</t>
  </si>
  <si>
    <t>Pengeluaran historis belum memiliki identitas penyetuju</t>
  </si>
  <si>
    <t>PENGELUARAN kolom Q, Z, AC</t>
  </si>
  <si>
    <t>Persetujuan lama tidak boleh diberi nama fiktif; lengkapi partner yang benar secara manual.</t>
  </si>
  <si>
    <t>Pengeluaran dibayar tanpa status persetujuan manual</t>
  </si>
  <si>
    <t>PENGELUARAN kolom Q dan Z</t>
  </si>
  <si>
    <t>Setiap biaya aktual harus mempunyai keputusan persetujuan manual sebelum diproses.</t>
  </si>
  <si>
    <t>Nilai persetujuan melebihi biaya aktual</t>
  </si>
  <si>
    <t>PENGELUARAN kolom K dan R</t>
  </si>
  <si>
    <t>Nilai yang disetujui tidak boleh melampaui nominal transaksi.</t>
  </si>
  <si>
    <t>Payroll dibayarkan tanpa persetujuan lengkap</t>
  </si>
  <si>
    <t>GAJI kolom V, AA, AD</t>
  </si>
  <si>
    <t>Gaji berstatus dibayar harus mempunyai status dan nama pemberi izin.</t>
  </si>
  <si>
    <t>Reimburse dibayar tanpa persetujuan manual</t>
  </si>
  <si>
    <t>REIMBURSE kolom M, T, W</t>
  </si>
  <si>
    <t>Dana reimbursement tidak boleh keluar sebelum klaim mendapat persetujuan.</t>
  </si>
  <si>
    <t>Reimburse dibayar melebihi nilai yang disetujui</t>
  </si>
  <si>
    <t>REIMBURSE kolom I dan J</t>
  </si>
  <si>
    <t>Pembayaran klaim harus dibatasi oleh nominal yang disetujui secara manual.</t>
  </si>
  <si>
    <t>Invoice historis belum memiliki persetujuan manual</t>
  </si>
  <si>
    <t>INVOICE_PIUTANG kolom Y, Z, AC</t>
  </si>
  <si>
    <t>Lengkapi status dan nama penyetuju invoice tanpa menebak identitas historis.</t>
  </si>
  <si>
    <t>Dana klien keluar tanpa otorisasi</t>
  </si>
  <si>
    <t>DANA_KLIEN kolom H, L, M</t>
  </si>
  <si>
    <t>Penggunaan dana titipan klien wajib memperoleh persetujuan partner.</t>
  </si>
  <si>
    <t>Pembayaran partner tanpa persetujuan</t>
  </si>
  <si>
    <t>PARTNER kolom I, M, N</t>
  </si>
  <si>
    <t>Prive, pembagian laba, atau pengembalian talangan harus diotorisasi.</t>
  </si>
  <si>
    <t>Pelunasan kewajiban tanpa persetujuan</t>
  </si>
  <si>
    <t>KEWAJIBAN kolom F, S, T</t>
  </si>
  <si>
    <t>Pembayaran vendor, pajak, dan kewajiban lain memerlukan nama penyetuju.</t>
  </si>
  <si>
    <t>Transfer kas berjalan tanpa persetujuan</t>
  </si>
  <si>
    <t>TRANSFER_KAS kolom N, O, R</t>
  </si>
  <si>
    <t>Semua perpindahan dana harus disetujui manual sebelum dipindahbukukan.</t>
  </si>
  <si>
    <t>Penerimaan belum dikonfirmasi secara manual</t>
  </si>
  <si>
    <t>PEMASUKAN kolom P, S, V</t>
  </si>
  <si>
    <t>Kas masuk perlu dikonfirmasi partner yang identitasnya dapat diperiksa.</t>
  </si>
  <si>
    <t>Selisih roll-forward laba kumulatif</t>
  </si>
  <si>
    <t>LABA_RUGI / EKUITAS</t>
  </si>
  <si>
    <t>Saldo laba kumulatif harus sama dengan laba awal ditambah laba tahun berjalan.</t>
  </si>
  <si>
    <t>Selisih kas analisis dengan arus kas</t>
  </si>
  <si>
    <t>LABA_RUGI / ARUS_KAS</t>
  </si>
  <si>
    <t>Kas akhir yang dipakai untuk menjelaskan laba bulanan harus sama dengan buku kas.</t>
  </si>
  <si>
    <t>Peralatan kantor perlu telaah kapitalisasi</t>
  </si>
  <si>
    <t>PENGELUARAN kategori Peralatan Kantor</t>
  </si>
  <si>
    <t>Tinjau apakah printer/peralatan seharusnya menjadi aset tetap; perlakuan tidak boleh diubah tanpa kebijakan dan umur manfaat.</t>
  </si>
  <si>
    <t>Selisih neraca saldo pembukaan 2027</t>
  </si>
  <si>
    <t>SALDO_AWAL_2027 / NERACA</t>
  </si>
  <si>
    <t>Kas, aset, talangan partner, kewajiban, dan ekuitas pembukaan wajib seimbang.</t>
  </si>
  <si>
    <t>Reimburse dibayar tanpa tanggal pembayaran</t>
  </si>
  <si>
    <t>REIMBURSE kolom J dan N</t>
  </si>
  <si>
    <t>Tanggal bayar wajib diisi supaya pengeluaran masuk ke bulan arus kas yang benar.</t>
  </si>
  <si>
    <t>Payroll dibayar tanpa tanggal pembayaran</t>
  </si>
  <si>
    <t>GAJI kolom R dan S</t>
  </si>
  <si>
    <t>Gaji yang sudah cair harus mempunyai tanggal pembayaran aktual.</t>
  </si>
  <si>
    <t>Kewajiban dibayar tanpa tanggal pembayaran</t>
  </si>
  <si>
    <t>KEWAJIBAN kolom F dan I</t>
  </si>
  <si>
    <t>Pelunasan kewajiban perlu tanggal kas keluar agar laporan bulanan tepat.</t>
  </si>
  <si>
    <t>Selisih jembatan kas bulanan Dashboard</t>
  </si>
  <si>
    <t>DASHBOARD kolom F sampai N</t>
  </si>
  <si>
    <t>Saldo awal + seluruh kas masuk - seluruh kas keluar harus sama dengan saldo akhir setiap bulan.</t>
  </si>
  <si>
    <t>Pembayaran partner tanpa akun pembayaran</t>
  </si>
  <si>
    <t>PARTNER kolom I dan L</t>
  </si>
  <si>
    <t>Pembagian laba, prive, dan pengembalian talangan wajib mencatat akun yang benar.</t>
  </si>
  <si>
    <t>Pembayaran partner tanpa jenis transaksi</t>
  </si>
  <si>
    <t>PARTNER kolom E dan I</t>
  </si>
  <si>
    <t>Jenis transaksi menentukan apakah pembayaran mengurangi ekuitas atau utang talangan.</t>
  </si>
  <si>
    <t>Pembayaran partner memakai tanggal transaksi</t>
  </si>
  <si>
    <t>PARTNER kolom B, K, dan V</t>
  </si>
  <si>
    <t>Tanggal transaksi digunakan otomatis sebagai tanggal efektif; isi tanggal bayar bila berbeda.</t>
  </si>
  <si>
    <t>Selisih distribusi partner vs perubahan ekuitas</t>
  </si>
  <si>
    <t>DASHBOARD / EKUITAS / PARTNER</t>
  </si>
  <si>
    <t>Total prive dan pembagian hasil harus identik pada dashboard, arus kas, dan ekuitas.</t>
  </si>
  <si>
    <t>STATUS KESELURUHAN</t>
  </si>
  <si>
    <t>Tunai</t>
  </si>
  <si>
    <t>Lengkap</t>
  </si>
  <si>
    <t>Draft</t>
  </si>
  <si>
    <t>Kantor</t>
  </si>
  <si>
    <t>Ya</t>
  </si>
  <si>
    <t>Assosiate</t>
  </si>
  <si>
    <t>Belum Dibayar</t>
  </si>
  <si>
    <t>Penerimaan Titipan</t>
  </si>
  <si>
    <t>Prospek</t>
  </si>
  <si>
    <t>Batas invoice segera jatuh tempo (hari)</t>
  </si>
  <si>
    <t>Reza Evaldo Kusumah</t>
  </si>
  <si>
    <t>Akomodasi</t>
  </si>
  <si>
    <t>Transfer</t>
  </si>
  <si>
    <t>Tidak Lengkap</t>
  </si>
  <si>
    <t>Diajukan</t>
  </si>
  <si>
    <t>Tidak</t>
  </si>
  <si>
    <t>Advokat Magang</t>
  </si>
  <si>
    <t>Dibayar Sebagian</t>
  </si>
  <si>
    <t>Pembayaran Pihak Ketiga</t>
  </si>
  <si>
    <t>BPJS Karyawan</t>
  </si>
  <si>
    <t>Minimum cadangan kas (bulan)</t>
  </si>
  <si>
    <t>Anggara Putra</t>
  </si>
  <si>
    <t>Konsumsi</t>
  </si>
  <si>
    <t>QRIS</t>
  </si>
  <si>
    <t>Tidak Ada</t>
  </si>
  <si>
    <t>Magang</t>
  </si>
  <si>
    <t>Dibayar</t>
  </si>
  <si>
    <t>Pengembalian ke Klien</t>
  </si>
  <si>
    <t>Prive</t>
  </si>
  <si>
    <t>BPJS Pemberi Kerja</t>
  </si>
  <si>
    <t>Selesai</t>
  </si>
  <si>
    <t>Tahun laporan default</t>
  </si>
  <si>
    <t>Kartu Debit</t>
  </si>
  <si>
    <t>Ditolak</t>
  </si>
  <si>
    <t>Administrasi</t>
  </si>
  <si>
    <t>Ditunda</t>
  </si>
  <si>
    <t>Pemindahan Dana</t>
  </si>
  <si>
    <t>Pembayaran Bagi Hasil</t>
  </si>
  <si>
    <t>PPN</t>
  </si>
  <si>
    <t>Mata uang</t>
  </si>
  <si>
    <t>IDR</t>
  </si>
  <si>
    <t>Pihak Lain</t>
  </si>
  <si>
    <t>Kartu Kredit</t>
  </si>
  <si>
    <t>Office Boy</t>
  </si>
  <si>
    <t>PPh Badan</t>
  </si>
  <si>
    <t>Ditutup</t>
  </si>
  <si>
    <t>Tenor invoice standar (hari)</t>
  </si>
  <si>
    <t>Dana Titipan Klien</t>
  </si>
  <si>
    <t>KAP/Auditor</t>
  </si>
  <si>
    <t>E-Wallet</t>
  </si>
  <si>
    <t>Koreksi</t>
  </si>
  <si>
    <t>Utang Vendor</t>
  </si>
  <si>
    <t>Bank tujuan pembayaran</t>
  </si>
  <si>
    <t>Bank Central Asia</t>
  </si>
  <si>
    <t>Nomor rekening tujuan</t>
  </si>
  <si>
    <t>Pinjaman</t>
  </si>
  <si>
    <t>Kurir</t>
  </si>
  <si>
    <t>Nama pemilik rekening</t>
  </si>
  <si>
    <t>Muhamad Fajar Roni</t>
  </si>
  <si>
    <t>Pendapatan Lain</t>
  </si>
  <si>
    <t>ATK</t>
  </si>
  <si>
    <t>Penandatangan invoice</t>
  </si>
  <si>
    <t>Muhamad Fajar Roni, S.H.</t>
  </si>
  <si>
    <t>Parkir/Tol</t>
  </si>
  <si>
    <t>Basis pengakuan laporan</t>
  </si>
  <si>
    <t>Kas / Manajemen</t>
  </si>
  <si>
    <t>Bulan analisis laporan (1–12)</t>
  </si>
  <si>
    <t>Internet/Telepon</t>
  </si>
  <si>
    <t>Software/Langganan</t>
  </si>
  <si>
    <t>Peralatan Kantor</t>
  </si>
  <si>
    <t>Operasional Kantor</t>
  </si>
  <si>
    <t>Pajak/BPJS</t>
  </si>
  <si>
    <t>Lain-lain</t>
  </si>
  <si>
    <t>Buat payroll di GAJI, lalu pilih ID payroll pada kotak kanan.</t>
  </si>
  <si>
    <t>R | P | K   ANALISIS UMUR PIUTANG KLIEN</t>
  </si>
  <si>
    <t>Ringkasan tagihan per umur jatuh tempo dan per perkara. Invoice lunas tidak menambah piutang; jumlah seluruh bucket harus sama dengan total sisa invoice.</t>
  </si>
  <si>
    <t>Kelompok Umur</t>
  </si>
  <si>
    <t>Jumlah Invoice</t>
  </si>
  <si>
    <t>Saldo Piutang</t>
  </si>
  <si>
    <t>Tindak Lanjut</t>
  </si>
  <si>
    <t>Belum jatuh tempo</t>
  </si>
  <si>
    <t>Pantau sesuai tanggal jatuh tempo</t>
  </si>
  <si>
    <t>Lewat 1-30 hari</t>
  </si>
  <si>
    <t>Kirim pengingat dan konfirmasi pembayaran</t>
  </si>
  <si>
    <t>Lewat 31-60 hari</t>
  </si>
  <si>
    <t>Lakukan follow-up resmi kepada klien</t>
  </si>
  <si>
    <t>Lewat 61-90 hari</t>
  </si>
  <si>
    <t>Eskalasi kepada partner penanggung jawab</t>
  </si>
  <si>
    <t>Lewat lebih dari 90 hari</t>
  </si>
  <si>
    <t>Evaluasi somasi, negosiasi, atau pencadangan</t>
  </si>
  <si>
    <t>TOTAL PIUTANG AKTIF</t>
  </si>
  <si>
    <t>Nilai Kontrak</t>
  </si>
  <si>
    <t>Invoice Jasa</t>
  </si>
  <si>
    <t>Sudah Diterima</t>
  </si>
  <si>
    <t>Sisa Kontrak</t>
  </si>
  <si>
    <t>Tagihan Jatuh Tempo</t>
  </si>
  <si>
    <t>Umur Maksimum (Hari)</t>
  </si>
  <si>
    <t>R | P | K   TALANGAN &amp; KEWAJIBAN PARTNER</t>
  </si>
  <si>
    <t>Pembayaran pribadi untuk operasional adalah utang firma kepada partner. Klaim reimburse yang berasal dari talangan yang sama tidak boleh dihitung dua kali.</t>
  </si>
  <si>
    <t>Akun Partner</t>
  </si>
  <si>
    <t>Posisi Akun</t>
  </si>
  <si>
    <t>Dana Kantor Dititipkan</t>
  </si>
  <si>
    <t>Talangan Belum Kembali</t>
  </si>
  <si>
    <t>Klaim Reimburse Terbuka</t>
  </si>
  <si>
    <t>Reimburse Dibayarkan</t>
  </si>
  <si>
    <t>Utang Partner Bersih</t>
  </si>
  <si>
    <t>TOTAL</t>
  </si>
  <si>
    <t>PERGERAKAN TALANGAN PARTNER PER BULAN</t>
  </si>
  <si>
    <t>SALDO AKHIR</t>
  </si>
  <si>
    <t>TOTAL UTANG PARTNER</t>
  </si>
  <si>
    <t>PERUBAHAN TALANGAN BULANAN</t>
  </si>
  <si>
    <t>Klaim reimburse terbuka adalah bagian dari talangan apabila sumber dananya berasal dari akun partner yang sama; kolom Utang Partner Bersih menggunakan nilai terbesar agar tidak terjadi penghitungan ganda.</t>
  </si>
  <si>
    <t>R | P | K   REGISTER TRANSFER ANTAR KAS / BANK</t>
  </si>
  <si>
    <t>Catat transfer antar akun satu kali. Akun, nilai, dan tanggal terhubung ke kas; status, nama penyetuju, serta tanggal persetujuan harus diisi manual.</t>
  </si>
  <si>
    <t>ID Transfer</t>
  </si>
  <si>
    <t>Tanggal Transfer</t>
  </si>
  <si>
    <t>Akun Asal</t>
  </si>
  <si>
    <t>Akun Tujuan</t>
  </si>
  <si>
    <t>Nominal Transfer</t>
  </si>
  <si>
    <t>Metode</t>
  </si>
  <si>
    <t>R | P | K   NERACA / POSISI KEUANGAN 2027</t>
  </si>
  <si>
    <t>Posisi keuangan mengikuti saldo pembukaan, transaksi tahun berjalan, kewajiban, dana klien, dan ekuitas secara terhubung.</t>
  </si>
  <si>
    <t>ASET</t>
  </si>
  <si>
    <t>Kas &amp; bank operasional tersedia</t>
  </si>
  <si>
    <t>Dana titipan klien di bank</t>
  </si>
  <si>
    <t>Pajak dipotong klien / kredit pajak</t>
  </si>
  <si>
    <t>Aset lainnya (input manual)</t>
  </si>
  <si>
    <t>TOTAL ASET</t>
  </si>
  <si>
    <t>KEWAJIBAN</t>
  </si>
  <si>
    <t>Talangan / utang kepada partner</t>
  </si>
  <si>
    <t>Reimburse non-partner belum dibayar</t>
  </si>
  <si>
    <t>Gaji yang masih harus dibayar</t>
  </si>
  <si>
    <t>Pajak, BPJS, utang gaji, dan utang lain</t>
  </si>
  <si>
    <t>Dana titipan milik klien</t>
  </si>
  <si>
    <t>Pinjaman belum masuk register utang</t>
  </si>
  <si>
    <t>TOTAL KEWAJIBAN</t>
  </si>
  <si>
    <t>Ekuitas firma / saldo laba</t>
  </si>
  <si>
    <t>TOTAL KEWAJIBAN &amp; EKUITAS</t>
  </si>
  <si>
    <t>SELISIH NERACA</t>
  </si>
  <si>
    <t>INFORMASI MANAJEMEN — DI LUAR NERACA BERBASIS KAS</t>
  </si>
  <si>
    <t>Piutang invoice klien yang belum diterima</t>
  </si>
  <si>
    <t>Sisa nilai kontrak jasa hukum</t>
  </si>
  <si>
    <t>Nilai kontrak yang belum ditagihkan</t>
  </si>
  <si>
    <t>R | P | K   PUSAT OTORISASI &amp; PERSETUJUAN MANUAL</t>
  </si>
  <si>
    <t>Status dan nama penyetuju wajib dipilih manusia. Formula hanya menunjukkan kelengkapan, transaksi yang masih menunggu, penolakan, dan risiko pembayaran tanpa izin.</t>
  </si>
  <si>
    <t>TRANSAKSI AKTIF</t>
  </si>
  <si>
    <t>OTORISASI LENGKAP</t>
  </si>
  <si>
    <t>PERLU DILENGKAPI</t>
  </si>
  <si>
    <t>TERPROSES TANPA OTORISASI</t>
  </si>
  <si>
    <t>Sheet Sumber</t>
  </si>
  <si>
    <t>Transaksi Aktif</t>
  </si>
  <si>
    <t>Status Disetujui</t>
  </si>
  <si>
    <t>Nama Penyetuju</t>
  </si>
  <si>
    <t>Otorisasi Lengkap</t>
  </si>
  <si>
    <t>Belum Lengkap</t>
  </si>
  <si>
    <t>Terproses Tanpa Izin</t>
  </si>
  <si>
    <t>Risiko</t>
  </si>
  <si>
    <t>Pengeluaran</t>
  </si>
  <si>
    <t>Sedang / historis</t>
  </si>
  <si>
    <t>Lengkapi nama penyetuju untuk pengeluaran lama; transaksi baru harus diotorisasi sebelum dibayarkan.</t>
  </si>
  <si>
    <t>Reimburse</t>
  </si>
  <si>
    <t>Total disetujui tetap nol sampai status dan nama pada klaim serta rincian dipilih manual.</t>
  </si>
  <si>
    <t>Payroll / Gaji</t>
  </si>
  <si>
    <t>GAJI</t>
  </si>
  <si>
    <t>Gaji berstatus dibayar harus memiliki partner penyetuju dan status persetujuan manual.</t>
  </si>
  <si>
    <t>Invoice</t>
  </si>
  <si>
    <t>Invoice lama yang dipulihkan tidak diberi nama penyetuju fiktif; lengkapi sebelum mencetak ulang.</t>
  </si>
  <si>
    <t>Dana Klien</t>
  </si>
  <si>
    <t>DANA_KLIEN</t>
  </si>
  <si>
    <t>Pelepasan dana titipan klien tanpa persetujuan lengkap merupakan risiko kritis.</t>
  </si>
  <si>
    <t>Transaksi Partner</t>
  </si>
  <si>
    <t>PARTNER</t>
  </si>
  <si>
    <t>Pembagian laba, prive, dan pengembalian talangan harus diotorisasi partner.</t>
  </si>
  <si>
    <t>Kewajiban / Vendor</t>
  </si>
  <si>
    <t>Pembayaran pajak, BPJS, dan vendor memerlukan persetujuan sebelum dana keluar.</t>
  </si>
  <si>
    <t>Transfer Kas / Bank</t>
  </si>
  <si>
    <t>Perpindahan dana antar akun wajib menunjukkan akun asal, akun tujuan, dan penyetuju manual.</t>
  </si>
  <si>
    <t>Penerimaan Dana</t>
  </si>
  <si>
    <t>Penerimaan harus dikonfirmasi manual oleh partner yang tercatat pada register.</t>
  </si>
  <si>
    <t>KEBIJAKAN OTORISASI</t>
  </si>
  <si>
    <t>1. Kolom status, nama pemberi persetujuan, tanggal, dan catatan adalah input manual; tidak ada rumus yang mengisi persetujuan.</t>
  </si>
  <si>
    <t>2. Rumus Status Otorisasi hanya membaca keputusan manual dan tidak dapat menggantikan persetujuan partner.</t>
  </si>
  <si>
    <t>3. Klaim reimburse memerlukan persetujuan manual di level klaim dan di setiap baris pengeluaran yang diajukan.</t>
  </si>
  <si>
    <t>4. Data lama tetap dipertahankan apa adanya. Identitas atau tanggal yang tidak tersedia tidak boleh dibuat-buat.</t>
  </si>
  <si>
    <t>5. Jangan keluarkan dana klien, payroll, pembayaran vendor, transfer, atau pembagian partner sebelum otorisasi lengkap.</t>
  </si>
  <si>
    <t>6. Angka rugi bulanan tidak otomatis berarti kantor rugi kumulatif; bandingkan laba kumulatif, kas akhir, dan kewajiban partner.</t>
  </si>
  <si>
    <t>Isi hanya saldo hasil penutupan 2026. Angka di bawah ini masih bersifat sementara per 23 Agustus 2026 dan wajib disesuaikan lagi setelah tutup buku 31 Desember 2026.</t>
  </si>
  <si>
    <t>SALDO SEMENTARA — angka bersumber dari workbook 2026 terakhir yang tersedia dan BELUM merupakan tutup buku 31 Desember 2026. Wajib disesuaikan dengan saldo final, mutasi partner, dan rekening koran sebelum pembukaan resmi 2027.</t>
  </si>
  <si>
    <t>A. SALDO KAS, BANK, DAN TALANGAN PARTNER</t>
  </si>
  <si>
    <t>Akun / Komponen</t>
  </si>
  <si>
    <t>Jenis Saldo</t>
  </si>
  <si>
    <t>Status Penggunaan</t>
  </si>
  <si>
    <t>Keterangan / Sumber</t>
  </si>
  <si>
    <t>Kas operasional</t>
  </si>
  <si>
    <t>Posisi akun partner</t>
  </si>
  <si>
    <t>Dana klien terbatas</t>
  </si>
  <si>
    <t>Kas operasional tersedia</t>
  </si>
  <si>
    <t>Talangan partner yang belum kembali</t>
  </si>
  <si>
    <t>Dana klien di bank terbatas</t>
  </si>
  <si>
    <t>B. LABA DITAHAN, MODAL PARTNER, DAN KEWAJIBAN AWAL</t>
  </si>
  <si>
    <t>Saldo laba ditahan dibawa</t>
  </si>
  <si>
    <t>Edit setelah tutup buku 2026</t>
  </si>
  <si>
    <t>Saldo modal partner akhir 2026</t>
  </si>
  <si>
    <t>TOTAL EKUITAS AWAL</t>
  </si>
  <si>
    <t>Aset lain / kredit pajak dibawa</t>
  </si>
  <si>
    <t>Dana titipan klien yang dibawa</t>
  </si>
  <si>
    <t>Kewajiban lain yang dibawa</t>
  </si>
  <si>
    <t>SELISIH NERACA PEMBUKAAN</t>
  </si>
  <si>
    <t>Catatan cut-off: invoice RPK-INV-2028-002 tidak dibawa ke 2027 karena tanggal sumbernya 25 Agustus 2028. Perbaiki tanggal pada arsip 2026 bila invoice tersebut sebenarnya milik 2026/2027.</t>
  </si>
  <si>
    <t>C. RIWAYAT PERKARA BERJALAN — AGAR NILAI KONTRAK TIDAK MENGULANG DARI NOL</t>
  </si>
  <si>
    <t>ID Perkara</t>
  </si>
  <si>
    <t>Jasa Sudah Ditagih Sebelum 2027</t>
  </si>
  <si>
    <t>Honorarium Diterima Sebelum 2027</t>
  </si>
  <si>
    <t>Biaya Kantor Sebelum 2027</t>
  </si>
  <si>
    <t>Gaji Dialokasikan Sebelum 2027</t>
  </si>
  <si>
    <t>Status / Pemeriksaan</t>
  </si>
  <si>
    <t>Catatan: invoice yang sudah lunas, gaji yang sudah dibayar, pengeluaran, pemasukan, dan persetujuan 2026 tidak dipindahkan ke register 2027. Perkara aktif tetap dipertahankan; saldo historis perkara tersimpan pada bagian C.</t>
  </si>
  <si>
    <t>R | P | K   SALDO AWAL TAHUN BUKU 2026</t>
  </si>
  <si>
    <t>Saldo Awal 2026</t>
  </si>
  <si>
    <t>Dikonfirmasi</t>
  </si>
  <si>
    <t>800051</t>
  </si>
  <si>
    <t>STAMP RPK Law Office</t>
  </si>
  <si>
    <t>HAS 018013</t>
  </si>
  <si>
    <t>PRINTER HP SMART TANK 583</t>
  </si>
  <si>
    <t>Inv 7132-68350</t>
  </si>
  <si>
    <t xml:space="preserve">Tiket Woosh </t>
  </si>
  <si>
    <t>62003XZ086202608149437826</t>
  </si>
  <si>
    <t>62001XZ086202608149080460</t>
  </si>
  <si>
    <t xml:space="preserve">Starbucks </t>
  </si>
  <si>
    <t>SSCDH178661366499SCDH002</t>
  </si>
  <si>
    <t>SSCDH178661504395SCDH002</t>
  </si>
  <si>
    <t xml:space="preserve">Kartikasari </t>
  </si>
  <si>
    <t>11/ARCG/00093516</t>
  </si>
  <si>
    <t>Domain Website</t>
  </si>
  <si>
    <t xml:space="preserve">Email Domain Kantor </t>
  </si>
  <si>
    <t>QRIS JD9FEK1WRSDI8FWAKOFU8CZNC</t>
  </si>
  <si>
    <t>Rapat Mingguan</t>
  </si>
  <si>
    <t>110723</t>
  </si>
  <si>
    <t>Paralegal</t>
  </si>
  <si>
    <t xml:space="preserve">Mengguankan Fee Fajar </t>
  </si>
  <si>
    <t>PT KKG</t>
  </si>
  <si>
    <t>RPK-INV-2026-001</t>
  </si>
  <si>
    <t>Pendampingan Hukum Korporasi dan Penyelesaian Sengketa Internal PT Kembang Kembar Grup</t>
  </si>
  <si>
    <t>RPK-INV-2026-002</t>
  </si>
  <si>
    <t>Pembayaran Termin Ke 2 (dua) 20%, dan Pembayaran Kekurangan Termin ke 1 (satu) Sebesar Rp.500.000</t>
  </si>
  <si>
    <t>Managing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</si>
</sst>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m\-yyyy"/>
    <numFmt numFmtId="165" formatCode="&quot;Rp&quot;\ #,##0;[Red]\(&quot;Rp&quot;\ #,##0\);&quot;-&quot;"/>
    <numFmt numFmtId="166" formatCode="dd\ mmm\ yyyy"/>
    <numFmt numFmtId="167" formatCode="&quot;Rp &quot;#,##0;[Red]\(&quot;Rp &quot;#,##0\);&quot;—&quot;"/>
    <numFmt numFmtId="168" formatCode="mmmm\ yyyy"/>
    <numFmt numFmtId="169" formatCode="#,##0;[Red]\(#,##0\);\-"/>
    <numFmt numFmtId="170" formatCode="0.0%"/>
    <numFmt numFmtId="171" formatCode="&quot;Rp&quot;\ #,##0;[Red]\(&quot;Rp&quot;\ #,##0\);\-"/>
    <numFmt numFmtId="172" formatCode="mmm\ yyyy"/>
  </numFmts>
  <fonts count="65">
    <font>
      <sz val="11"/>
      <name val="Carlito"/>
    </font>
    <font>
      <i/>
      <sz val="9"/>
      <color rgb="FF667085"/>
      <name val="Carlito"/>
    </font>
    <font>
      <b/>
      <sz val="9"/>
      <color rgb="FFFFFFFF"/>
      <name val="Carlito"/>
    </font>
    <font>
      <sz val="9"/>
      <color rgb="FF202B3A"/>
      <name val="Carlito"/>
    </font>
    <font>
      <b/>
      <sz val="11"/>
      <color rgb="FFFFFFFF"/>
      <name val="Carlito"/>
    </font>
    <font>
      <sz val="9"/>
      <color rgb="FF1752A0"/>
      <name val="Carlito"/>
    </font>
    <font>
      <b/>
      <sz val="11"/>
      <color rgb="FF102341"/>
      <name val="Carlito"/>
    </font>
    <font>
      <b/>
      <sz val="10"/>
      <color rgb="FF102341"/>
      <name val="Carlito"/>
    </font>
    <font>
      <b/>
      <sz val="13"/>
      <color rgb="FFFFFFFF"/>
      <name val="Carlito"/>
    </font>
    <font>
      <sz val="10"/>
      <color rgb="FF202B3A"/>
      <name val="Carlito"/>
    </font>
    <font>
      <b/>
      <sz val="9"/>
      <color rgb="FF102341"/>
      <name val="Carlito"/>
    </font>
    <font>
      <sz val="9"/>
      <color rgb="FF182A45"/>
      <name val="Aptos"/>
    </font>
    <font>
      <sz val="27"/>
      <color rgb="FF102341"/>
      <name val="Georgia"/>
    </font>
    <font>
      <sz val="9"/>
      <color rgb="FF102341"/>
      <name val="Georgia"/>
    </font>
    <font>
      <b/>
      <sz val="8"/>
      <color rgb="FFB58B45"/>
      <name val="Aptos"/>
    </font>
    <font>
      <b/>
      <sz val="8"/>
      <color rgb="FF102341"/>
      <name val="Aptos"/>
    </font>
    <font>
      <sz val="7"/>
      <color rgb="FF182A45"/>
      <name val="Aptos"/>
    </font>
    <font>
      <b/>
      <sz val="26"/>
      <color rgb="FF102341"/>
      <name val="Aptos Display"/>
    </font>
    <font>
      <i/>
      <sz val="8"/>
      <color rgb="FF6D788B"/>
      <name val="Aptos"/>
    </font>
    <font>
      <b/>
      <sz val="8"/>
      <color rgb="FFFFFFFF"/>
      <name val="Aptos"/>
    </font>
    <font>
      <b/>
      <sz val="9"/>
      <color rgb="FF102341"/>
      <name val="Aptos"/>
    </font>
    <font>
      <i/>
      <sz val="7"/>
      <color rgb="FF6D788B"/>
      <name val="Aptos"/>
    </font>
    <font>
      <b/>
      <sz val="9"/>
      <color rgb="FFFFFFFF"/>
      <name val="Aptos"/>
    </font>
    <font>
      <b/>
      <sz val="11"/>
      <color rgb="FF182A45"/>
      <name val="Aptos"/>
    </font>
    <font>
      <b/>
      <sz val="11"/>
      <color rgb="FFFFFFFF"/>
      <name val="Aptos"/>
    </font>
    <font>
      <sz val="9"/>
      <color rgb="FF182A45"/>
      <name val="Aptos"/>
    </font>
    <font>
      <b/>
      <sz val="12"/>
      <color rgb="FFFFFFFF"/>
      <name val="Aptos Display"/>
    </font>
    <font>
      <sz val="9"/>
      <color rgb="FF223652"/>
      <name val="Aptos"/>
    </font>
    <font>
      <b/>
      <sz val="15"/>
      <color rgb="FFFFFFFF"/>
      <name val="Aptos Display"/>
    </font>
    <font>
      <sz val="11"/>
      <color rgb="FF14509A"/>
      <name val="Carlito"/>
    </font>
    <font>
      <sz val="11"/>
      <color rgb="FF127A55"/>
      <name val="Carlito"/>
    </font>
    <font>
      <i/>
      <sz val="11"/>
      <color rgb="FF61758B"/>
      <name val="Carlito"/>
    </font>
    <font>
      <b/>
      <sz val="11"/>
      <color rgb="FF23364D"/>
      <name val="Carlito"/>
    </font>
    <font>
      <i/>
      <sz val="11"/>
      <color rgb="FF23364D"/>
      <name val="Carlito"/>
    </font>
    <font>
      <b/>
      <sz val="11"/>
      <color rgb="FF17643D"/>
      <name val="Carlito"/>
    </font>
    <font>
      <sz val="11"/>
      <color rgb="FF23364D"/>
      <name val="Carlito"/>
    </font>
    <font>
      <i/>
      <sz val="9"/>
      <color rgb="FF61758B"/>
      <name val="Carlito"/>
    </font>
    <font>
      <sz val="9"/>
      <color rgb="FF14509A"/>
      <name val="Carlito"/>
    </font>
    <font>
      <i/>
      <sz val="11"/>
      <color rgb="FF946100"/>
      <name val="Carlito"/>
    </font>
    <font>
      <sz val="11"/>
      <color rgb="FF17643D"/>
      <name val="Carlito"/>
    </font>
    <font>
      <sz val="11"/>
      <color rgb="FF23364D"/>
      <name val="Carlito"/>
    </font>
    <font>
      <b/>
      <sz val="11"/>
      <color rgb="FF946100"/>
      <name val="Carlito"/>
    </font>
    <font>
      <b/>
      <sz val="11"/>
      <color rgb="FF127A55"/>
      <name val="Carlito"/>
    </font>
    <font>
      <sz val="11"/>
      <color rgb="FF23364D"/>
      <name val="Carlito"/>
    </font>
    <font>
      <i/>
      <sz val="9"/>
      <color rgb="FF687789"/>
      <name val="Carlito"/>
    </font>
    <font>
      <i/>
      <sz val="11"/>
      <color rgb="FF687789"/>
      <name val="Carlito"/>
    </font>
    <font>
      <b/>
      <sz val="11"/>
      <color rgb="FFA4262C"/>
      <name val="Carlito"/>
    </font>
    <font>
      <sz val="11"/>
      <color rgb="FF23364D"/>
      <name val="Aptos"/>
    </font>
    <font>
      <b/>
      <sz val="18"/>
      <color rgb="FFFFFFFF"/>
      <name val="Aptos Display"/>
    </font>
    <font>
      <i/>
      <sz val="10"/>
      <color rgb="FF66788A"/>
      <name val="Aptos"/>
    </font>
    <font>
      <b/>
      <sz val="10"/>
      <color rgb="FF102848"/>
      <name val="Aptos"/>
    </font>
    <font>
      <b/>
      <sz val="12"/>
      <color rgb="FF081A33"/>
      <name val="Aptos Display"/>
    </font>
    <font>
      <b/>
      <sz val="17"/>
      <color rgb="FF081A33"/>
      <name val="Aptos Display"/>
    </font>
    <font>
      <sz val="9"/>
      <color rgb="FF263B53"/>
      <name val="Aptos"/>
    </font>
    <font>
      <b/>
      <sz val="9"/>
      <color rgb="FF263B53"/>
      <name val="Aptos"/>
    </font>
    <font>
      <i/>
      <sz val="9"/>
      <color rgb="FF855A13"/>
      <name val="Aptos"/>
    </font>
    <font>
      <b/>
      <sz val="10"/>
      <color rgb="FFFFFFFF"/>
      <name val="Aptos"/>
    </font>
    <font>
      <b/>
      <sz val="10"/>
      <color rgb="FF16745A"/>
      <name val="Aptos"/>
    </font>
    <font>
      <i/>
      <sz val="9"/>
      <color rgb="FF66788A"/>
      <name val="Aptos"/>
    </font>
    <font>
      <sz val="9"/>
      <color rgb="FF203044"/>
      <name val="Carlito"/>
    </font>
    <font>
      <b/>
      <sz val="17"/>
      <color rgb="FFFFFFFF"/>
      <name val="Carlito"/>
    </font>
    <font>
      <i/>
      <sz val="10"/>
      <color rgb="FF6B4E16"/>
      <name val="Carlito"/>
    </font>
    <font>
      <i/>
      <sz val="9"/>
      <color rgb="FF6B4E16"/>
      <name val="Carlito"/>
    </font>
    <font>
      <b/>
      <sz val="16"/>
      <color rgb="FFFFFFFF"/>
      <name val="Carlito"/>
    </font>
    <font>
      <i/>
      <sz val="11"/>
      <color rgb="FF6D788B"/>
      <name val="Aptos"/>
      <family val="2"/>
    </font>
  </fonts>
  <fills count="70">
    <fill>
      <patternFill patternType="none"/>
    </fill>
    <fill>
      <patternFill patternType="gray125"/>
    </fill>
    <fill>
      <patternFill patternType="solid">
        <fgColor rgb="FF102341"/>
      </patternFill>
    </fill>
    <fill>
      <patternFill patternType="solid">
        <fgColor rgb="FFF7F8FA"/>
      </patternFill>
    </fill>
    <fill>
      <patternFill patternType="solid">
        <fgColor rgb="FFB89255"/>
      </patternFill>
    </fill>
    <fill>
      <patternFill patternType="solid">
        <fgColor rgb="FFFFFFFF"/>
      </patternFill>
    </fill>
    <fill>
      <patternFill patternType="solid">
        <fgColor rgb="FFFFF5DF"/>
      </patternFill>
    </fill>
    <fill>
      <patternFill patternType="solid">
        <fgColor rgb="FFF1F3F5"/>
      </patternFill>
    </fill>
    <fill>
      <patternFill patternType="solid">
        <fgColor rgb="FFEDF2F8"/>
      </patternFill>
    </fill>
    <fill>
      <patternFill patternType="solid">
        <fgColor rgb="FFF9FAFB"/>
      </patternFill>
    </fill>
    <fill>
      <patternFill patternType="solid">
        <fgColor rgb="FFFBE8E5"/>
      </patternFill>
    </fill>
    <fill>
      <patternFill patternType="solid">
        <fgColor rgb="FFFFF5DF"/>
      </patternFill>
    </fill>
    <fill>
      <patternFill patternType="solid">
        <fgColor rgb="FFFFFFFF"/>
      </patternFill>
    </fill>
    <fill>
      <patternFill patternType="solid">
        <fgColor rgb="FF102341"/>
      </patternFill>
    </fill>
    <fill>
      <patternFill patternType="solid">
        <fgColor rgb="FFB58B45"/>
      </patternFill>
    </fill>
    <fill>
      <patternFill patternType="solid">
        <fgColor rgb="FFFCF6E9"/>
      </patternFill>
    </fill>
    <fill>
      <patternFill patternType="solid">
        <fgColor rgb="FFF1F4F8"/>
      </patternFill>
    </fill>
    <fill>
      <patternFill patternType="solid">
        <fgColor rgb="FFFAFBFD"/>
      </patternFill>
    </fill>
    <fill>
      <patternFill patternType="solid">
        <fgColor rgb="FFFFFFFF"/>
      </patternFill>
    </fill>
    <fill>
      <patternFill patternType="solid">
        <fgColor rgb="FFFCF6E9"/>
      </patternFill>
    </fill>
    <fill>
      <patternFill patternType="solid">
        <fgColor rgb="FFF1F4F8"/>
      </patternFill>
    </fill>
    <fill>
      <patternFill patternType="solid">
        <fgColor rgb="FF102341"/>
      </patternFill>
    </fill>
    <fill>
      <patternFill patternType="solid">
        <fgColor rgb="FFE9EFF6"/>
      </patternFill>
    </fill>
    <fill>
      <patternFill patternType="solid">
        <fgColor rgb="FF102341"/>
      </patternFill>
    </fill>
    <fill>
      <patternFill patternType="solid">
        <fgColor rgb="FFFFF7E8"/>
      </patternFill>
    </fill>
    <fill>
      <patternFill patternType="solid">
        <fgColor rgb="FF102341"/>
      </patternFill>
    </fill>
    <fill>
      <patternFill patternType="solid">
        <fgColor rgb="FFF0F3F7"/>
      </patternFill>
    </fill>
    <fill>
      <patternFill patternType="solid">
        <fgColor rgb="FFF7F9FB"/>
      </patternFill>
    </fill>
    <fill>
      <patternFill patternType="solid">
        <fgColor rgb="FFEDF2F7"/>
      </patternFill>
    </fill>
    <fill>
      <patternFill patternType="solid">
        <fgColor rgb="FFF6F8FA"/>
      </patternFill>
    </fill>
    <fill>
      <patternFill patternType="solid">
        <fgColor rgb="FFF4F6F9"/>
      </patternFill>
    </fill>
    <fill>
      <patternFill patternType="solid">
        <fgColor rgb="FFE8F4EA"/>
      </patternFill>
    </fill>
    <fill>
      <patternFill patternType="solid">
        <fgColor rgb="FFFFFFFF"/>
      </patternFill>
    </fill>
    <fill>
      <patternFill patternType="solid">
        <fgColor rgb="FFFFF7E8"/>
      </patternFill>
    </fill>
    <fill>
      <patternFill patternType="solid">
        <fgColor rgb="FF102341"/>
      </patternFill>
    </fill>
    <fill>
      <patternFill patternType="solid">
        <fgColor rgb="FFF7F9FB"/>
      </patternFill>
    </fill>
    <fill>
      <patternFill patternType="solid">
        <fgColor rgb="FFF0F3F7"/>
      </patternFill>
    </fill>
    <fill>
      <patternFill patternType="solid">
        <fgColor rgb="FFEAF0F6"/>
      </patternFill>
    </fill>
    <fill>
      <patternFill patternType="solid">
        <fgColor rgb="FFE8F4EA"/>
      </patternFill>
    </fill>
    <fill>
      <patternFill patternType="solid">
        <fgColor rgb="FFEDF2F7"/>
      </patternFill>
    </fill>
    <fill>
      <patternFill patternType="solid">
        <fgColor rgb="FFFFF5DF"/>
      </patternFill>
    </fill>
    <fill>
      <patternFill patternType="solid">
        <fgColor rgb="FFF5F8FC"/>
      </patternFill>
    </fill>
    <fill>
      <patternFill patternType="solid">
        <fgColor rgb="FFEDF6F0"/>
      </patternFill>
    </fill>
    <fill>
      <patternFill patternType="solid">
        <fgColor rgb="FFF3F7FB"/>
      </patternFill>
    </fill>
    <fill>
      <patternFill patternType="solid">
        <fgColor rgb="FFFFFFFF"/>
      </patternFill>
    </fill>
    <fill>
      <patternFill patternType="solid">
        <fgColor rgb="FF102341"/>
      </patternFill>
    </fill>
    <fill>
      <patternFill patternType="solid">
        <fgColor rgb="FFF7F9FB"/>
      </patternFill>
    </fill>
    <fill>
      <patternFill patternType="solid">
        <fgColor rgb="FFFFF3D9"/>
      </patternFill>
    </fill>
    <fill>
      <patternFill patternType="solid">
        <fgColor rgb="FFFFF7E8"/>
      </patternFill>
    </fill>
    <fill>
      <patternFill patternType="solid">
        <fgColor rgb="FFF0F3F7"/>
      </patternFill>
    </fill>
    <fill>
      <patternFill patternType="solid">
        <fgColor rgb="FFEDF2F7"/>
      </patternFill>
    </fill>
    <fill>
      <patternFill patternType="solid">
        <fgColor rgb="FFE8F4EA"/>
      </patternFill>
    </fill>
    <fill>
      <patternFill patternType="solid">
        <fgColor rgb="FFFFFFFF"/>
      </patternFill>
    </fill>
    <fill>
      <patternFill patternType="solid">
        <fgColor rgb="FF102341"/>
      </patternFill>
    </fill>
    <fill>
      <patternFill patternType="solid">
        <fgColor rgb="FFF3F6FA"/>
      </patternFill>
    </fill>
    <fill>
      <patternFill patternType="solid">
        <fgColor rgb="FFEDF7F1"/>
      </patternFill>
    </fill>
    <fill>
      <patternFill patternType="solid">
        <fgColor rgb="FFF5F8FB"/>
      </patternFill>
    </fill>
    <fill>
      <patternFill patternType="solid">
        <fgColor rgb="FFFFFFFF"/>
      </patternFill>
    </fill>
    <fill>
      <patternFill patternType="solid">
        <fgColor rgb="FFE8F3EC"/>
      </patternFill>
    </fill>
    <fill>
      <patternFill patternType="solid">
        <fgColor rgb="FF081A33"/>
      </patternFill>
    </fill>
    <fill>
      <patternFill patternType="solid">
        <fgColor rgb="FFF6F8FB"/>
      </patternFill>
    </fill>
    <fill>
      <patternFill patternType="solid">
        <fgColor rgb="FFEEF4FA"/>
      </patternFill>
    </fill>
    <fill>
      <patternFill patternType="solid">
        <fgColor rgb="FFFFF5E2"/>
      </patternFill>
    </fill>
    <fill>
      <patternFill patternType="solid">
        <fgColor rgb="FFFFFFFF"/>
      </patternFill>
    </fill>
    <fill>
      <patternFill patternType="solid">
        <fgColor rgb="FF102848"/>
      </patternFill>
    </fill>
    <fill>
      <patternFill patternType="solid">
        <fgColor rgb="FFF7F9FC"/>
      </patternFill>
    </fill>
    <fill>
      <patternFill patternType="solid">
        <fgColor rgb="FFEAF6F1"/>
      </patternFill>
    </fill>
    <fill>
      <patternFill patternType="solid">
        <fgColor rgb="FF0B1F3A"/>
      </patternFill>
    </fill>
    <fill>
      <patternFill patternType="solid">
        <fgColor rgb="FFF0F3F7"/>
      </patternFill>
    </fill>
    <fill>
      <patternFill patternType="solid">
        <fgColor rgb="FFFFF4DF"/>
      </patternFill>
    </fill>
  </fills>
  <borders count="83">
    <border>
      <left/>
      <right/>
      <top/>
      <bottom/>
      <diagonal/>
    </border>
    <border>
      <left/>
      <right/>
      <top/>
      <bottom style="thin">
        <color rgb="FFD8DEE7"/>
      </bottom>
      <diagonal/>
    </border>
    <border>
      <left/>
      <right/>
      <top/>
      <bottom style="medium">
        <color rgb="FFB89255"/>
      </bottom>
      <diagonal/>
    </border>
    <border>
      <left style="thin">
        <color rgb="FFB89255"/>
      </left>
      <right style="thin">
        <color rgb="FFB89255"/>
      </right>
      <top style="thin">
        <color rgb="FFB89255"/>
      </top>
      <bottom style="thin">
        <color rgb="FFB89255"/>
      </bottom>
      <diagonal/>
    </border>
    <border>
      <left/>
      <right/>
      <top/>
      <bottom style="thin">
        <color rgb="FFB89255"/>
      </bottom>
      <diagonal/>
    </border>
    <border>
      <left/>
      <right/>
      <top style="medium">
        <color rgb="FFB89255"/>
      </top>
      <bottom/>
      <diagonal/>
    </border>
    <border>
      <left style="medium">
        <color rgb="FFB89255"/>
      </left>
      <right/>
      <top/>
      <bottom/>
      <diagonal/>
    </border>
    <border>
      <left style="thin">
        <color rgb="FFD8DEE7"/>
      </left>
      <right/>
      <top style="thin">
        <color rgb="FFD8DEE7"/>
      </top>
      <bottom/>
      <diagonal/>
    </border>
    <border>
      <left/>
      <right/>
      <top style="thin">
        <color rgb="FFD8DEE7"/>
      </top>
      <bottom/>
      <diagonal/>
    </border>
    <border>
      <left/>
      <right style="thin">
        <color rgb="FFD8DEE7"/>
      </right>
      <top style="thin">
        <color rgb="FFD8DEE7"/>
      </top>
      <bottom/>
      <diagonal/>
    </border>
    <border>
      <left style="thin">
        <color rgb="FFD8DEE7"/>
      </left>
      <right/>
      <top/>
      <bottom/>
      <diagonal/>
    </border>
    <border>
      <left/>
      <right style="thin">
        <color rgb="FFD8DEE7"/>
      </right>
      <top/>
      <bottom/>
      <diagonal/>
    </border>
    <border>
      <left style="thin">
        <color rgb="FFD8DEE7"/>
      </left>
      <right/>
      <top/>
      <bottom style="thin">
        <color rgb="FFD8DEE7"/>
      </bottom>
      <diagonal/>
    </border>
    <border>
      <left/>
      <right style="thin">
        <color rgb="FFD8DEE7"/>
      </right>
      <top/>
      <bottom style="thin">
        <color rgb="FFD8DEE7"/>
      </bottom>
      <diagonal/>
    </border>
    <border>
      <left style="medium">
        <color rgb="FF102341"/>
      </left>
      <right/>
      <top style="medium">
        <color rgb="FF102341"/>
      </top>
      <bottom/>
      <diagonal/>
    </border>
    <border>
      <left/>
      <right/>
      <top style="medium">
        <color rgb="FF102341"/>
      </top>
      <bottom/>
      <diagonal/>
    </border>
    <border>
      <left/>
      <right style="medium">
        <color rgb="FF102341"/>
      </right>
      <top style="medium">
        <color rgb="FF102341"/>
      </top>
      <bottom/>
      <diagonal/>
    </border>
    <border>
      <left style="medium">
        <color rgb="FF102341"/>
      </left>
      <right/>
      <top/>
      <bottom/>
      <diagonal/>
    </border>
    <border>
      <left/>
      <right style="medium">
        <color rgb="FF102341"/>
      </right>
      <top/>
      <bottom/>
      <diagonal/>
    </border>
    <border>
      <left style="medium">
        <color rgb="FF102341"/>
      </left>
      <right/>
      <top/>
      <bottom style="medium">
        <color rgb="FF102341"/>
      </bottom>
      <diagonal/>
    </border>
    <border>
      <left/>
      <right/>
      <top/>
      <bottom style="medium">
        <color rgb="FF102341"/>
      </bottom>
      <diagonal/>
    </border>
    <border>
      <left/>
      <right style="medium">
        <color rgb="FF102341"/>
      </right>
      <top/>
      <bottom style="medium">
        <color rgb="FF102341"/>
      </bottom>
      <diagonal/>
    </border>
    <border>
      <left style="medium">
        <color rgb="FFB58B45"/>
      </left>
      <right/>
      <top/>
      <bottom/>
      <diagonal/>
    </border>
    <border>
      <left style="thin">
        <color rgb="FFB58B45"/>
      </left>
      <right/>
      <top style="thin">
        <color rgb="FFB58B45"/>
      </top>
      <bottom/>
      <diagonal/>
    </border>
    <border>
      <left/>
      <right/>
      <top style="thin">
        <color rgb="FFB58B45"/>
      </top>
      <bottom/>
      <diagonal/>
    </border>
    <border>
      <left/>
      <right style="thin">
        <color rgb="FFB58B45"/>
      </right>
      <top style="thin">
        <color rgb="FFB58B45"/>
      </top>
      <bottom/>
      <diagonal/>
    </border>
    <border>
      <left style="thin">
        <color rgb="FFB58B45"/>
      </left>
      <right/>
      <top/>
      <bottom style="thin">
        <color rgb="FFB58B45"/>
      </bottom>
      <diagonal/>
    </border>
    <border>
      <left/>
      <right/>
      <top/>
      <bottom style="thin">
        <color rgb="FFB58B45"/>
      </bottom>
      <diagonal/>
    </border>
    <border>
      <left/>
      <right style="thin">
        <color rgb="FFB58B45"/>
      </right>
      <top/>
      <bottom style="thin">
        <color rgb="FFB58B45"/>
      </bottom>
      <diagonal/>
    </border>
    <border>
      <left/>
      <right/>
      <top/>
      <bottom style="thin">
        <color rgb="FFD8DFE8"/>
      </bottom>
      <diagonal/>
    </border>
    <border>
      <left style="thin">
        <color rgb="FF102341"/>
      </left>
      <right/>
      <top style="thin">
        <color rgb="FF102341"/>
      </top>
      <bottom/>
      <diagonal/>
    </border>
    <border>
      <left/>
      <right/>
      <top style="thin">
        <color rgb="FF102341"/>
      </top>
      <bottom/>
      <diagonal/>
    </border>
    <border>
      <left/>
      <right style="thin">
        <color rgb="FF102341"/>
      </right>
      <top style="thin">
        <color rgb="FF102341"/>
      </top>
      <bottom/>
      <diagonal/>
    </border>
    <border>
      <left style="thin">
        <color rgb="FF102341"/>
      </left>
      <right/>
      <top/>
      <bottom/>
      <diagonal/>
    </border>
    <border>
      <left/>
      <right style="thin">
        <color rgb="FF102341"/>
      </right>
      <top/>
      <bottom/>
      <diagonal/>
    </border>
    <border>
      <left style="thin">
        <color rgb="FF102341"/>
      </left>
      <right/>
      <top/>
      <bottom style="thin">
        <color rgb="FFD8DFE8"/>
      </bottom>
      <diagonal/>
    </border>
    <border>
      <left/>
      <right style="thin">
        <color rgb="FF102341"/>
      </right>
      <top/>
      <bottom style="thin">
        <color rgb="FFD8DFE8"/>
      </bottom>
      <diagonal/>
    </border>
    <border>
      <left style="thin">
        <color rgb="FF102341"/>
      </left>
      <right/>
      <top/>
      <bottom style="thin">
        <color rgb="FF102341"/>
      </bottom>
      <diagonal/>
    </border>
    <border>
      <left/>
      <right/>
      <top/>
      <bottom style="thin">
        <color rgb="FF102341"/>
      </bottom>
      <diagonal/>
    </border>
    <border>
      <left/>
      <right style="thin">
        <color rgb="FF102341"/>
      </right>
      <top/>
      <bottom style="thin">
        <color rgb="FF102341"/>
      </bottom>
      <diagonal/>
    </border>
    <border>
      <left style="thin">
        <color rgb="FFD8DFE8"/>
      </left>
      <right/>
      <top style="thin">
        <color rgb="FFD8DFE8"/>
      </top>
      <bottom/>
      <diagonal/>
    </border>
    <border>
      <left/>
      <right/>
      <top style="thin">
        <color rgb="FFD8DFE8"/>
      </top>
      <bottom/>
      <diagonal/>
    </border>
    <border>
      <left/>
      <right style="thin">
        <color rgb="FFD8DFE8"/>
      </right>
      <top style="thin">
        <color rgb="FFD8DFE8"/>
      </top>
      <bottom/>
      <diagonal/>
    </border>
    <border>
      <left style="thin">
        <color rgb="FFD8DFE8"/>
      </left>
      <right/>
      <top/>
      <bottom/>
      <diagonal/>
    </border>
    <border>
      <left/>
      <right style="thin">
        <color rgb="FFD8DFE8"/>
      </right>
      <top/>
      <bottom/>
      <diagonal/>
    </border>
    <border>
      <left style="thin">
        <color rgb="FFD8DFE8"/>
      </left>
      <right/>
      <top/>
      <bottom style="thin">
        <color rgb="FFD8DFE8"/>
      </bottom>
      <diagonal/>
    </border>
    <border>
      <left/>
      <right style="thin">
        <color rgb="FFD8DFE8"/>
      </right>
      <top/>
      <bottom style="thin">
        <color rgb="FFD8DFE8"/>
      </bottom>
      <diagonal/>
    </border>
    <border>
      <left style="thin">
        <color rgb="FFC9D5E3"/>
      </left>
      <right style="thin">
        <color rgb="FFC9D5E3"/>
      </right>
      <top style="thin">
        <color rgb="FFC9D5E3"/>
      </top>
      <bottom style="thin">
        <color rgb="FFC9D5E3"/>
      </bottom>
      <diagonal/>
    </border>
    <border>
      <left style="thin">
        <color rgb="FFB48735"/>
      </left>
      <right style="thin">
        <color rgb="FFB48735"/>
      </right>
      <top style="thin">
        <color rgb="FFB48735"/>
      </top>
      <bottom style="thin">
        <color rgb="FFB48735"/>
      </bottom>
      <diagonal/>
    </border>
    <border>
      <left style="thin">
        <color rgb="FFD8E0EA"/>
      </left>
      <right style="thin">
        <color rgb="FFD8E0EA"/>
      </right>
      <top style="thin">
        <color rgb="FFD8E0EA"/>
      </top>
      <bottom style="thin">
        <color rgb="FFD8E0EA"/>
      </bottom>
      <diagonal/>
    </border>
    <border>
      <left style="thin">
        <color rgb="FFE3E8EE"/>
      </left>
      <right style="thin">
        <color rgb="FFE3E8EE"/>
      </right>
      <top style="thin">
        <color rgb="FFE3E8EE"/>
      </top>
      <bottom style="thin">
        <color rgb="FFE3E8EE"/>
      </bottom>
      <diagonal/>
    </border>
    <border>
      <left style="thin">
        <color rgb="FFD6E0EA"/>
      </left>
      <right style="thin">
        <color rgb="FFD6E0EA"/>
      </right>
      <top style="thin">
        <color rgb="FFD6E0EA"/>
      </top>
      <bottom style="thin">
        <color rgb="FFD6E0EA"/>
      </bottom>
      <diagonal/>
    </border>
    <border>
      <left style="thin">
        <color rgb="FFDEE6EF"/>
      </left>
      <right style="thin">
        <color rgb="FFDEE6EF"/>
      </right>
      <top style="thin">
        <color rgb="FFDEE6EF"/>
      </top>
      <bottom style="thin">
        <color rgb="FFDEE6EF"/>
      </bottom>
      <diagonal/>
    </border>
    <border>
      <left style="thin">
        <color rgb="FFD7E0EB"/>
      </left>
      <right style="thin">
        <color rgb="FFD7E0EB"/>
      </right>
      <top style="thin">
        <color rgb="FFD7E0EB"/>
      </top>
      <bottom style="thin">
        <color rgb="FFD7E0EB"/>
      </bottom>
      <diagonal/>
    </border>
    <border>
      <left style="thin">
        <color rgb="FFDAE3EC"/>
      </left>
      <right style="thin">
        <color rgb="FFDAE3EC"/>
      </right>
      <top style="thin">
        <color rgb="FFDAE3EC"/>
      </top>
      <bottom style="thin">
        <color rgb="FFDAE3EC"/>
      </bottom>
      <diagonal/>
    </border>
    <border>
      <left/>
      <right/>
      <top/>
      <bottom style="thin">
        <color rgb="FFE3EAF1"/>
      </bottom>
      <diagonal/>
    </border>
    <border>
      <left style="thin">
        <color rgb="FFB48735"/>
      </left>
      <right/>
      <top style="thin">
        <color rgb="FFB48735"/>
      </top>
      <bottom style="thin">
        <color rgb="FFB48735"/>
      </bottom>
      <diagonal/>
    </border>
    <border>
      <left/>
      <right/>
      <top style="thin">
        <color rgb="FFB48735"/>
      </top>
      <bottom style="thin">
        <color rgb="FFB48735"/>
      </bottom>
      <diagonal/>
    </border>
    <border>
      <left/>
      <right style="thin">
        <color rgb="FFB48735"/>
      </right>
      <top style="thin">
        <color rgb="FFB48735"/>
      </top>
      <bottom style="thin">
        <color rgb="FFB48735"/>
      </bottom>
      <diagonal/>
    </border>
    <border>
      <left/>
      <right/>
      <top/>
      <bottom style="thin">
        <color rgb="FFB48735"/>
      </bottom>
      <diagonal/>
    </border>
    <border>
      <left/>
      <right/>
      <top/>
      <bottom style="medium">
        <color rgb="FFC58A27"/>
      </bottom>
      <diagonal/>
    </border>
    <border>
      <left style="medium">
        <color rgb="FFC58A27"/>
      </left>
      <right/>
      <top style="thin">
        <color rgb="FFD7E0EA"/>
      </top>
      <bottom/>
      <diagonal/>
    </border>
    <border>
      <left/>
      <right/>
      <top style="thin">
        <color rgb="FFD7E0EA"/>
      </top>
      <bottom/>
      <diagonal/>
    </border>
    <border>
      <left/>
      <right style="thin">
        <color rgb="FFD7E0EA"/>
      </right>
      <top style="thin">
        <color rgb="FFD7E0EA"/>
      </top>
      <bottom/>
      <diagonal/>
    </border>
    <border>
      <left style="medium">
        <color rgb="FFC58A27"/>
      </left>
      <right/>
      <top/>
      <bottom/>
      <diagonal/>
    </border>
    <border>
      <left/>
      <right style="thin">
        <color rgb="FFD7E0EA"/>
      </right>
      <top/>
      <bottom/>
      <diagonal/>
    </border>
    <border>
      <left style="medium">
        <color rgb="FFC58A27"/>
      </left>
      <right/>
      <top/>
      <bottom style="thin">
        <color rgb="FFD7E0EA"/>
      </bottom>
      <diagonal/>
    </border>
    <border>
      <left/>
      <right/>
      <top/>
      <bottom style="thin">
        <color rgb="FFD7E0EA"/>
      </bottom>
      <diagonal/>
    </border>
    <border>
      <left/>
      <right style="thin">
        <color rgb="FFD7E0EA"/>
      </right>
      <top/>
      <bottom style="thin">
        <color rgb="FFD7E0EA"/>
      </bottom>
      <diagonal/>
    </border>
    <border>
      <left style="medium">
        <color rgb="FFC58A27"/>
      </left>
      <right/>
      <top/>
      <bottom style="thin">
        <color rgb="FFB48735"/>
      </bottom>
      <diagonal/>
    </border>
    <border>
      <left/>
      <right/>
      <top/>
      <bottom style="hair">
        <color rgb="FFE7EDF4"/>
      </bottom>
      <diagonal/>
    </border>
    <border>
      <left/>
      <right/>
      <top style="medium">
        <color rgb="FFC58A27"/>
      </top>
      <bottom/>
      <diagonal/>
    </border>
    <border>
      <left/>
      <right/>
      <top style="medium">
        <color rgb="FFC58A27"/>
      </top>
      <bottom style="thin">
        <color rgb="FFE3EAF1"/>
      </bottom>
      <diagonal/>
    </border>
    <border>
      <left style="thin">
        <color rgb="FFB9DECF"/>
      </left>
      <right style="thin">
        <color rgb="FFB9DECF"/>
      </right>
      <top style="thin">
        <color rgb="FFB9DECF"/>
      </top>
      <bottom style="thin">
        <color rgb="FFB9DECF"/>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B58B45"/>
      </top>
      <bottom/>
      <diagonal/>
    </border>
    <border>
      <left/>
      <right style="thin">
        <color indexed="64"/>
      </right>
      <top style="thin">
        <color rgb="FFB58B45"/>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10">
    <xf numFmtId="0" fontId="0" fillId="0" borderId="0" xfId="0"/>
    <xf numFmtId="0" fontId="2" fillId="4" borderId="0" xfId="0" applyFont="1" applyFill="1" applyAlignment="1">
      <alignment wrapText="1"/>
    </xf>
    <xf numFmtId="0" fontId="3" fillId="5" borderId="0" xfId="0" applyFont="1" applyFill="1"/>
    <xf numFmtId="0" fontId="3" fillId="5" borderId="1" xfId="0" applyFont="1" applyFill="1" applyBorder="1"/>
    <xf numFmtId="0" fontId="4" fillId="4" borderId="0" xfId="0" applyFont="1" applyFill="1"/>
    <xf numFmtId="0" fontId="0" fillId="6" borderId="0" xfId="0" applyFill="1"/>
    <xf numFmtId="0" fontId="5" fillId="6" borderId="0" xfId="0" applyFont="1" applyFill="1"/>
    <xf numFmtId="0" fontId="2" fillId="2" borderId="2" xfId="0" applyFont="1" applyFill="1" applyBorder="1" applyAlignment="1">
      <alignment horizontal="center" vertical="center" wrapText="1"/>
    </xf>
    <xf numFmtId="0" fontId="0" fillId="7" borderId="0" xfId="0" applyFill="1"/>
    <xf numFmtId="0" fontId="3" fillId="7" borderId="0" xfId="0" applyFont="1" applyFill="1"/>
    <xf numFmtId="164" fontId="5" fillId="6" borderId="0" xfId="0" applyNumberFormat="1" applyFont="1" applyFill="1"/>
    <xf numFmtId="165" fontId="5" fillId="6" borderId="0" xfId="0" applyNumberFormat="1" applyFont="1" applyFill="1"/>
    <xf numFmtId="165" fontId="3" fillId="7" borderId="0" xfId="0" applyNumberFormat="1" applyFont="1" applyFill="1"/>
    <xf numFmtId="0" fontId="6" fillId="8" borderId="0" xfId="0" applyFont="1" applyFill="1"/>
    <xf numFmtId="0" fontId="6" fillId="7" borderId="3" xfId="0" applyFont="1" applyFill="1" applyBorder="1" applyAlignment="1">
      <alignment horizontal="center"/>
    </xf>
    <xf numFmtId="0" fontId="4" fillId="2" borderId="5" xfId="0" applyFont="1" applyFill="1" applyBorder="1"/>
    <xf numFmtId="165" fontId="4" fillId="2" borderId="5" xfId="0" applyNumberFormat="1" applyFont="1" applyFill="1" applyBorder="1"/>
    <xf numFmtId="165" fontId="8" fillId="2" borderId="6" xfId="0" applyNumberFormat="1" applyFont="1" applyFill="1" applyBorder="1" applyAlignment="1">
      <alignment horizontal="right"/>
    </xf>
    <xf numFmtId="0" fontId="6" fillId="8" borderId="4" xfId="0" applyFont="1" applyFill="1" applyBorder="1"/>
    <xf numFmtId="165" fontId="6" fillId="8" borderId="4" xfId="0" applyNumberFormat="1" applyFont="1" applyFill="1" applyBorder="1"/>
    <xf numFmtId="0" fontId="4" fillId="2" borderId="4" xfId="0" applyFont="1" applyFill="1" applyBorder="1"/>
    <xf numFmtId="0" fontId="0" fillId="0" borderId="0" xfId="0" applyAlignment="1">
      <alignment wrapText="1"/>
    </xf>
    <xf numFmtId="165" fontId="0" fillId="0" borderId="0" xfId="0" applyNumberFormat="1" applyAlignment="1">
      <alignment wrapText="1"/>
    </xf>
    <xf numFmtId="0" fontId="0" fillId="0" borderId="1" xfId="0" applyBorder="1" applyAlignment="1">
      <alignment wrapText="1"/>
    </xf>
    <xf numFmtId="165" fontId="0" fillId="0" borderId="1" xfId="0" applyNumberFormat="1" applyBorder="1" applyAlignment="1">
      <alignment wrapText="1"/>
    </xf>
    <xf numFmtId="0" fontId="4" fillId="4" borderId="0" xfId="0" applyFont="1" applyFill="1" applyAlignment="1">
      <alignment horizontal="center" vertical="center"/>
    </xf>
    <xf numFmtId="0" fontId="10" fillId="8" borderId="0" xfId="0" applyFont="1" applyFill="1" applyAlignment="1">
      <alignment vertical="center"/>
    </xf>
    <xf numFmtId="0" fontId="3" fillId="0" borderId="0" xfId="0" applyFont="1" applyAlignment="1">
      <alignment vertical="center" wrapText="1"/>
    </xf>
    <xf numFmtId="0" fontId="3" fillId="0" borderId="1" xfId="0" applyFont="1" applyBorder="1" applyAlignment="1">
      <alignment vertical="center" wrapText="1"/>
    </xf>
    <xf numFmtId="0" fontId="0" fillId="10" borderId="0" xfId="0" applyFill="1"/>
    <xf numFmtId="0" fontId="11" fillId="12" borderId="0" xfId="0" applyFont="1" applyFill="1" applyAlignment="1">
      <alignment vertical="center"/>
    </xf>
    <xf numFmtId="0" fontId="11" fillId="12" borderId="14" xfId="0" applyFont="1" applyFill="1" applyBorder="1" applyAlignment="1">
      <alignment vertical="center"/>
    </xf>
    <xf numFmtId="0" fontId="11" fillId="12" borderId="15" xfId="0" applyFont="1" applyFill="1" applyBorder="1" applyAlignment="1">
      <alignment vertical="center"/>
    </xf>
    <xf numFmtId="0" fontId="11" fillId="12" borderId="16" xfId="0" applyFont="1" applyFill="1" applyBorder="1" applyAlignment="1">
      <alignment vertical="center"/>
    </xf>
    <xf numFmtId="0" fontId="11" fillId="12" borderId="17" xfId="0" applyFont="1" applyFill="1" applyBorder="1" applyAlignment="1">
      <alignment vertical="center"/>
    </xf>
    <xf numFmtId="0" fontId="11" fillId="12" borderId="18" xfId="0" applyFont="1" applyFill="1" applyBorder="1" applyAlignment="1">
      <alignment vertical="center"/>
    </xf>
    <xf numFmtId="0" fontId="11" fillId="12" borderId="19" xfId="0" applyFont="1" applyFill="1" applyBorder="1" applyAlignment="1">
      <alignment vertical="center"/>
    </xf>
    <xf numFmtId="0" fontId="11" fillId="12" borderId="20" xfId="0" applyFont="1" applyFill="1" applyBorder="1" applyAlignment="1">
      <alignment vertical="center"/>
    </xf>
    <xf numFmtId="0" fontId="11" fillId="12" borderId="21" xfId="0" applyFont="1" applyFill="1" applyBorder="1" applyAlignment="1">
      <alignment vertical="center"/>
    </xf>
    <xf numFmtId="0" fontId="11" fillId="12" borderId="22" xfId="0" applyFont="1" applyFill="1" applyBorder="1" applyAlignment="1">
      <alignment vertical="center"/>
    </xf>
    <xf numFmtId="0" fontId="11" fillId="13" borderId="0" xfId="0" applyFont="1" applyFill="1" applyAlignment="1">
      <alignment vertical="center"/>
    </xf>
    <xf numFmtId="0" fontId="11" fillId="14" borderId="0" xfId="0" applyFont="1" applyFill="1" applyAlignment="1">
      <alignment vertical="center"/>
    </xf>
    <xf numFmtId="0" fontId="11" fillId="12" borderId="29" xfId="0" applyFont="1" applyFill="1" applyBorder="1" applyAlignment="1">
      <alignment horizontal="center" vertical="center"/>
    </xf>
    <xf numFmtId="0" fontId="11" fillId="12" borderId="35" xfId="0" applyFont="1" applyFill="1" applyBorder="1" applyAlignment="1">
      <alignment horizontal="center" vertical="center"/>
    </xf>
    <xf numFmtId="0" fontId="11" fillId="12" borderId="37" xfId="0" applyFont="1" applyFill="1" applyBorder="1" applyAlignment="1">
      <alignment horizontal="center" vertical="center"/>
    </xf>
    <xf numFmtId="0" fontId="11" fillId="12" borderId="38" xfId="0" applyFont="1" applyFill="1" applyBorder="1" applyAlignment="1">
      <alignment horizontal="center" vertical="center"/>
    </xf>
    <xf numFmtId="0" fontId="5" fillId="19" borderId="0" xfId="0" applyFont="1" applyFill="1"/>
    <xf numFmtId="0" fontId="27" fillId="20" borderId="0" xfId="0" applyFont="1" applyFill="1"/>
    <xf numFmtId="0" fontId="6" fillId="8" borderId="0" xfId="0" applyFont="1" applyFill="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11" fillId="12" borderId="22" xfId="0" applyFont="1" applyFill="1" applyBorder="1" applyAlignment="1">
      <alignment horizontal="left" vertical="center"/>
    </xf>
    <xf numFmtId="0" fontId="5" fillId="19" borderId="0" xfId="0" applyFont="1" applyFill="1" applyAlignment="1">
      <alignment horizontal="center" vertical="center" wrapText="1"/>
    </xf>
    <xf numFmtId="0" fontId="5" fillId="6" borderId="0" xfId="0" applyFont="1" applyFill="1" applyAlignment="1">
      <alignment horizontal="center" vertical="center" wrapText="1"/>
    </xf>
    <xf numFmtId="164" fontId="5" fillId="6" borderId="0" xfId="0" applyNumberFormat="1" applyFont="1" applyFill="1" applyAlignment="1">
      <alignment horizontal="center" vertical="center" wrapText="1"/>
    </xf>
    <xf numFmtId="165" fontId="5" fillId="6" borderId="0" xfId="0" applyNumberFormat="1" applyFont="1" applyFill="1" applyAlignment="1">
      <alignment horizontal="center" vertical="center" wrapText="1"/>
    </xf>
    <xf numFmtId="165" fontId="3" fillId="7" borderId="0" xfId="0" applyNumberFormat="1" applyFont="1" applyFill="1" applyAlignment="1">
      <alignment horizontal="center" vertical="center" wrapText="1"/>
    </xf>
    <xf numFmtId="0" fontId="0" fillId="0" borderId="0" xfId="0" applyAlignment="1">
      <alignment horizontal="center" vertical="center" wrapText="1"/>
    </xf>
    <xf numFmtId="0" fontId="3" fillId="7" borderId="0" xfId="0" applyFont="1" applyFill="1" applyAlignment="1">
      <alignment horizontal="center" vertical="center" wrapText="1"/>
    </xf>
    <xf numFmtId="0" fontId="27" fillId="20" borderId="0" xfId="0" applyFont="1" applyFill="1" applyAlignment="1">
      <alignment horizontal="center" vertical="center" wrapText="1"/>
    </xf>
    <xf numFmtId="168" fontId="5" fillId="6" borderId="0" xfId="0" applyNumberFormat="1" applyFont="1" applyFill="1"/>
    <xf numFmtId="0" fontId="6" fillId="22" borderId="47" xfId="0" applyFont="1" applyFill="1" applyBorder="1"/>
    <xf numFmtId="0" fontId="4" fillId="23" borderId="48" xfId="0" applyFont="1" applyFill="1" applyBorder="1"/>
    <xf numFmtId="0" fontId="0" fillId="0" borderId="49" xfId="0" applyBorder="1" applyAlignment="1">
      <alignment vertical="center" wrapText="1"/>
    </xf>
    <xf numFmtId="0" fontId="29" fillId="24" borderId="50" xfId="0" applyFont="1" applyFill="1" applyBorder="1"/>
    <xf numFmtId="0" fontId="4" fillId="25" borderId="0" xfId="0" applyFont="1" applyFill="1"/>
    <xf numFmtId="0" fontId="4" fillId="25" borderId="51" xfId="0" applyFont="1" applyFill="1" applyBorder="1" applyAlignment="1">
      <alignment horizontal="center" vertical="center" wrapText="1"/>
    </xf>
    <xf numFmtId="0" fontId="30" fillId="26" borderId="52" xfId="0" applyFont="1" applyFill="1" applyBorder="1"/>
    <xf numFmtId="170" fontId="3" fillId="7" borderId="0" xfId="0" applyNumberFormat="1" applyFont="1" applyFill="1" applyAlignment="1">
      <alignment horizontal="center" vertical="center" wrapText="1"/>
    </xf>
    <xf numFmtId="170" fontId="3" fillId="7" borderId="0" xfId="0" applyNumberFormat="1" applyFont="1" applyFill="1"/>
    <xf numFmtId="171" fontId="5" fillId="6" borderId="0" xfId="0" applyNumberFormat="1" applyFont="1" applyFill="1" applyAlignment="1">
      <alignment horizontal="right" vertical="center" wrapText="1"/>
    </xf>
    <xf numFmtId="171" fontId="3" fillId="7" borderId="0" xfId="0" applyNumberFormat="1" applyFont="1" applyFill="1" applyAlignment="1">
      <alignment horizontal="right" vertical="center" wrapText="1"/>
    </xf>
    <xf numFmtId="171" fontId="5" fillId="6" borderId="0" xfId="0" applyNumberFormat="1" applyFont="1" applyFill="1" applyAlignment="1">
      <alignment horizontal="right"/>
    </xf>
    <xf numFmtId="171" fontId="3" fillId="7" borderId="0" xfId="0" applyNumberFormat="1" applyFont="1" applyFill="1" applyAlignment="1">
      <alignment horizontal="right"/>
    </xf>
    <xf numFmtId="171" fontId="30" fillId="26" borderId="52" xfId="0" applyNumberFormat="1" applyFont="1" applyFill="1" applyBorder="1" applyAlignment="1">
      <alignment horizontal="right"/>
    </xf>
    <xf numFmtId="0" fontId="4" fillId="25" borderId="0" xfId="0" applyFont="1" applyFill="1" applyAlignment="1">
      <alignment vertical="center"/>
    </xf>
    <xf numFmtId="0" fontId="31" fillId="27" borderId="0" xfId="0" applyFont="1" applyFill="1" applyAlignment="1">
      <alignment vertical="center" wrapText="1"/>
    </xf>
    <xf numFmtId="166" fontId="29" fillId="24" borderId="50" xfId="0" applyNumberFormat="1" applyFont="1" applyFill="1" applyBorder="1"/>
    <xf numFmtId="171" fontId="29" fillId="24" borderId="50" xfId="0" applyNumberFormat="1" applyFont="1" applyFill="1" applyBorder="1" applyAlignment="1">
      <alignment horizontal="right"/>
    </xf>
    <xf numFmtId="166" fontId="5" fillId="6" borderId="0" xfId="0" applyNumberFormat="1" applyFont="1" applyFill="1" applyAlignment="1">
      <alignment horizontal="center" vertical="center" wrapText="1"/>
    </xf>
    <xf numFmtId="166" fontId="5" fillId="6" borderId="0" xfId="0" applyNumberFormat="1" applyFont="1" applyFill="1"/>
    <xf numFmtId="1" fontId="3" fillId="7" borderId="0" xfId="0" applyNumberFormat="1" applyFont="1" applyFill="1"/>
    <xf numFmtId="172" fontId="5" fillId="6" borderId="0" xfId="0" applyNumberFormat="1" applyFont="1" applyFill="1"/>
    <xf numFmtId="171" fontId="0" fillId="0" borderId="0" xfId="0" applyNumberFormat="1"/>
    <xf numFmtId="171" fontId="0" fillId="0" borderId="0" xfId="0" applyNumberFormat="1" applyAlignment="1">
      <alignment horizontal="right"/>
    </xf>
    <xf numFmtId="171" fontId="4" fillId="25" borderId="0" xfId="0" applyNumberFormat="1" applyFont="1" applyFill="1" applyAlignment="1">
      <alignment horizontal="right"/>
    </xf>
    <xf numFmtId="0" fontId="32" fillId="28" borderId="0" xfId="0" applyFont="1" applyFill="1"/>
    <xf numFmtId="170" fontId="0" fillId="0" borderId="0" xfId="0" applyNumberFormat="1"/>
    <xf numFmtId="171" fontId="6" fillId="8" borderId="4" xfId="0" applyNumberFormat="1" applyFont="1" applyFill="1" applyBorder="1" applyAlignment="1">
      <alignment horizontal="right"/>
    </xf>
    <xf numFmtId="171" fontId="4" fillId="2" borderId="4" xfId="0" applyNumberFormat="1" applyFont="1" applyFill="1" applyBorder="1" applyAlignment="1">
      <alignment horizontal="right"/>
    </xf>
    <xf numFmtId="171" fontId="6" fillId="22" borderId="47" xfId="0" applyNumberFormat="1" applyFont="1" applyFill="1" applyBorder="1" applyAlignment="1">
      <alignment horizontal="right"/>
    </xf>
    <xf numFmtId="171" fontId="4" fillId="2" borderId="48" xfId="0" applyNumberFormat="1" applyFont="1" applyFill="1" applyBorder="1" applyAlignment="1">
      <alignment horizontal="right"/>
    </xf>
    <xf numFmtId="0" fontId="33" fillId="30" borderId="53" xfId="0" applyFont="1" applyFill="1" applyBorder="1"/>
    <xf numFmtId="171" fontId="33" fillId="30" borderId="53" xfId="0" applyNumberFormat="1" applyFont="1" applyFill="1" applyBorder="1" applyAlignment="1">
      <alignment horizontal="right"/>
    </xf>
    <xf numFmtId="0" fontId="34" fillId="31" borderId="0" xfId="0" applyFont="1" applyFill="1"/>
    <xf numFmtId="171" fontId="32" fillId="28" borderId="0" xfId="0" applyNumberFormat="1" applyFont="1" applyFill="1" applyAlignment="1">
      <alignment horizontal="right"/>
    </xf>
    <xf numFmtId="171" fontId="34" fillId="31" borderId="0" xfId="0" applyNumberFormat="1" applyFont="1" applyFill="1" applyAlignment="1">
      <alignment horizontal="right"/>
    </xf>
    <xf numFmtId="0" fontId="35" fillId="32" borderId="49" xfId="0" applyFont="1" applyFill="1" applyBorder="1" applyAlignment="1">
      <alignment vertical="center" wrapText="1"/>
    </xf>
    <xf numFmtId="0" fontId="29" fillId="33" borderId="50" xfId="0" applyFont="1" applyFill="1" applyBorder="1"/>
    <xf numFmtId="0" fontId="4" fillId="34" borderId="0" xfId="0" applyFont="1" applyFill="1"/>
    <xf numFmtId="0" fontId="2" fillId="34" borderId="51" xfId="0" applyFont="1" applyFill="1" applyBorder="1" applyAlignment="1">
      <alignment horizontal="center" vertical="center" wrapText="1"/>
    </xf>
    <xf numFmtId="0" fontId="4" fillId="34" borderId="51" xfId="0" applyFont="1" applyFill="1" applyBorder="1" applyAlignment="1">
      <alignment horizontal="center" vertical="center" wrapText="1"/>
    </xf>
    <xf numFmtId="0" fontId="37" fillId="33" borderId="50" xfId="0" applyFont="1" applyFill="1" applyBorder="1" applyAlignment="1">
      <alignment horizontal="center" vertical="center" wrapText="1"/>
    </xf>
    <xf numFmtId="0" fontId="37" fillId="33" borderId="50" xfId="0" applyFont="1" applyFill="1" applyBorder="1"/>
    <xf numFmtId="0" fontId="30" fillId="36" borderId="52" xfId="0" applyFont="1" applyFill="1" applyBorder="1"/>
    <xf numFmtId="166" fontId="29" fillId="33" borderId="50" xfId="0" applyNumberFormat="1" applyFont="1" applyFill="1" applyBorder="1"/>
    <xf numFmtId="171" fontId="37" fillId="33" borderId="50" xfId="0" applyNumberFormat="1" applyFont="1" applyFill="1" applyBorder="1" applyAlignment="1">
      <alignment horizontal="right" vertical="center" wrapText="1"/>
    </xf>
    <xf numFmtId="171" fontId="37" fillId="33" borderId="50" xfId="0" applyNumberFormat="1" applyFont="1" applyFill="1" applyBorder="1" applyAlignment="1">
      <alignment horizontal="right"/>
    </xf>
    <xf numFmtId="0" fontId="32" fillId="37" borderId="0" xfId="0" applyFont="1" applyFill="1"/>
    <xf numFmtId="171" fontId="32" fillId="37" borderId="0" xfId="0" applyNumberFormat="1" applyFont="1" applyFill="1" applyAlignment="1">
      <alignment horizontal="right"/>
    </xf>
    <xf numFmtId="171" fontId="4" fillId="34" borderId="0" xfId="0" applyNumberFormat="1" applyFont="1" applyFill="1" applyAlignment="1">
      <alignment horizontal="right"/>
    </xf>
    <xf numFmtId="0" fontId="34" fillId="38" borderId="0" xfId="0" applyFont="1" applyFill="1"/>
    <xf numFmtId="171" fontId="34" fillId="38" borderId="0" xfId="0" applyNumberFormat="1" applyFont="1" applyFill="1" applyAlignment="1">
      <alignment horizontal="right"/>
    </xf>
    <xf numFmtId="0" fontId="32" fillId="39" borderId="0" xfId="0" applyFont="1" applyFill="1"/>
    <xf numFmtId="171" fontId="32" fillId="39" borderId="0" xfId="0" applyNumberFormat="1" applyFont="1" applyFill="1" applyAlignment="1">
      <alignment horizontal="right"/>
    </xf>
    <xf numFmtId="0" fontId="35" fillId="44" borderId="54" xfId="0" applyFont="1" applyFill="1" applyBorder="1" applyAlignment="1">
      <alignment vertical="center" wrapText="1"/>
    </xf>
    <xf numFmtId="0" fontId="35" fillId="44" borderId="54" xfId="0" applyFont="1" applyFill="1" applyBorder="1" applyAlignment="1">
      <alignment horizontal="center" vertical="center" wrapText="1"/>
    </xf>
    <xf numFmtId="0" fontId="40" fillId="44" borderId="49" xfId="0" applyFont="1" applyFill="1" applyBorder="1" applyAlignment="1">
      <alignment vertical="center" wrapText="1"/>
    </xf>
    <xf numFmtId="1" fontId="29" fillId="24" borderId="50" xfId="0" applyNumberFormat="1" applyFont="1" applyFill="1" applyBorder="1"/>
    <xf numFmtId="0" fontId="4" fillId="45" borderId="0" xfId="0" applyFont="1" applyFill="1" applyAlignment="1">
      <alignment vertical="center"/>
    </xf>
    <xf numFmtId="0" fontId="31" fillId="46" borderId="0" xfId="0" applyFont="1" applyFill="1" applyAlignment="1">
      <alignment vertical="center" wrapText="1"/>
    </xf>
    <xf numFmtId="0" fontId="4" fillId="45" borderId="51" xfId="0" applyFont="1" applyFill="1" applyBorder="1" applyAlignment="1">
      <alignment horizontal="center" vertical="center" wrapText="1"/>
    </xf>
    <xf numFmtId="0" fontId="30" fillId="49" borderId="52" xfId="0" applyFont="1" applyFill="1" applyBorder="1"/>
    <xf numFmtId="171" fontId="29" fillId="48" borderId="50" xfId="0" applyNumberFormat="1" applyFont="1" applyFill="1" applyBorder="1" applyAlignment="1">
      <alignment horizontal="right"/>
    </xf>
    <xf numFmtId="0" fontId="32" fillId="50" borderId="0" xfId="0" applyFont="1" applyFill="1"/>
    <xf numFmtId="0" fontId="32" fillId="46" borderId="0" xfId="0" applyFont="1" applyFill="1"/>
    <xf numFmtId="171" fontId="30" fillId="49" borderId="52" xfId="0" applyNumberFormat="1" applyFont="1" applyFill="1" applyBorder="1" applyAlignment="1">
      <alignment horizontal="right"/>
    </xf>
    <xf numFmtId="0" fontId="42" fillId="51" borderId="0" xfId="0" applyFont="1" applyFill="1"/>
    <xf numFmtId="0" fontId="42" fillId="51" borderId="52" xfId="0" applyFont="1" applyFill="1" applyBorder="1"/>
    <xf numFmtId="0" fontId="43" fillId="52" borderId="49" xfId="0" applyFont="1" applyFill="1" applyBorder="1" applyAlignment="1">
      <alignment vertical="center" wrapText="1"/>
    </xf>
    <xf numFmtId="0" fontId="4" fillId="53" borderId="51" xfId="0" applyFont="1" applyFill="1" applyBorder="1" applyAlignment="1">
      <alignment horizontal="center" vertical="center" wrapText="1"/>
    </xf>
    <xf numFmtId="166" fontId="30" fillId="55" borderId="0" xfId="0" applyNumberFormat="1" applyFont="1" applyFill="1" applyAlignment="1">
      <alignment horizontal="center"/>
    </xf>
    <xf numFmtId="171" fontId="4" fillId="2" borderId="0" xfId="0" applyNumberFormat="1" applyFont="1" applyFill="1" applyAlignment="1">
      <alignment horizontal="right"/>
    </xf>
    <xf numFmtId="0" fontId="35" fillId="56" borderId="55" xfId="0" applyFont="1" applyFill="1" applyBorder="1" applyAlignment="1">
      <alignment vertical="center"/>
    </xf>
    <xf numFmtId="0" fontId="41" fillId="56" borderId="55" xfId="0" applyFont="1" applyFill="1" applyBorder="1" applyAlignment="1">
      <alignment horizontal="center" vertical="center"/>
    </xf>
    <xf numFmtId="0" fontId="35" fillId="56" borderId="55" xfId="0" applyFont="1" applyFill="1" applyBorder="1" applyAlignment="1">
      <alignment vertical="center" wrapText="1"/>
    </xf>
    <xf numFmtId="0" fontId="35" fillId="57" borderId="55" xfId="0" applyFont="1" applyFill="1" applyBorder="1" applyAlignment="1">
      <alignment vertical="center"/>
    </xf>
    <xf numFmtId="0" fontId="41" fillId="57" borderId="55" xfId="0" applyFont="1" applyFill="1" applyBorder="1" applyAlignment="1">
      <alignment horizontal="center" vertical="center"/>
    </xf>
    <xf numFmtId="0" fontId="35" fillId="57" borderId="55" xfId="0" applyFont="1" applyFill="1" applyBorder="1" applyAlignment="1">
      <alignment vertical="center" wrapText="1"/>
    </xf>
    <xf numFmtId="0" fontId="46" fillId="57" borderId="55" xfId="0" applyFont="1" applyFill="1" applyBorder="1" applyAlignment="1">
      <alignment horizontal="center" vertical="center"/>
    </xf>
    <xf numFmtId="0" fontId="42" fillId="56" borderId="55" xfId="0" applyFont="1" applyFill="1" applyBorder="1" applyAlignment="1">
      <alignment horizontal="center" vertical="center"/>
    </xf>
    <xf numFmtId="169" fontId="0" fillId="0" borderId="0" xfId="0" applyNumberFormat="1" applyAlignment="1">
      <alignment horizontal="right" wrapText="1"/>
    </xf>
    <xf numFmtId="169" fontId="0" fillId="0" borderId="1" xfId="0" applyNumberFormat="1" applyBorder="1" applyAlignment="1">
      <alignment horizontal="right" wrapText="1"/>
    </xf>
    <xf numFmtId="169" fontId="0" fillId="0" borderId="49" xfId="0" applyNumberFormat="1" applyBorder="1" applyAlignment="1">
      <alignment horizontal="right" vertical="center" wrapText="1"/>
    </xf>
    <xf numFmtId="169" fontId="35" fillId="5" borderId="49" xfId="0" applyNumberFormat="1" applyFont="1" applyFill="1" applyBorder="1" applyAlignment="1">
      <alignment horizontal="right" vertical="center" wrapText="1"/>
    </xf>
    <xf numFmtId="169" fontId="0" fillId="0" borderId="0" xfId="0" applyNumberFormat="1" applyAlignment="1">
      <alignment horizontal="right"/>
    </xf>
    <xf numFmtId="169" fontId="35" fillId="5" borderId="49" xfId="0" applyNumberFormat="1" applyFont="1" applyFill="1" applyBorder="1" applyAlignment="1">
      <alignment vertical="center" wrapText="1"/>
    </xf>
    <xf numFmtId="169" fontId="35" fillId="56" borderId="55" xfId="0" applyNumberFormat="1" applyFont="1" applyFill="1" applyBorder="1" applyAlignment="1">
      <alignment vertical="center"/>
    </xf>
    <xf numFmtId="169" fontId="35" fillId="57" borderId="55" xfId="0" applyNumberFormat="1" applyFont="1" applyFill="1" applyBorder="1" applyAlignment="1">
      <alignment vertical="center"/>
    </xf>
    <xf numFmtId="0" fontId="47" fillId="57" borderId="0" xfId="0" applyFont="1" applyFill="1" applyAlignment="1">
      <alignment vertical="center"/>
    </xf>
    <xf numFmtId="0" fontId="50" fillId="61" borderId="0" xfId="0" applyFont="1" applyFill="1" applyAlignment="1">
      <alignment vertical="center"/>
    </xf>
    <xf numFmtId="0" fontId="51" fillId="62" borderId="0" xfId="0" applyFont="1" applyFill="1" applyAlignment="1">
      <alignment horizontal="center" vertical="center"/>
    </xf>
    <xf numFmtId="0" fontId="50" fillId="61" borderId="64" xfId="0" applyFont="1" applyFill="1" applyBorder="1" applyAlignment="1">
      <alignment vertical="center"/>
    </xf>
    <xf numFmtId="0" fontId="22" fillId="64" borderId="51" xfId="0" applyFont="1" applyFill="1" applyBorder="1" applyAlignment="1">
      <alignment horizontal="center" vertical="center" wrapText="1"/>
    </xf>
    <xf numFmtId="0" fontId="53" fillId="5" borderId="0" xfId="0" applyFont="1" applyFill="1" applyAlignment="1">
      <alignment vertical="center"/>
    </xf>
    <xf numFmtId="0" fontId="53" fillId="63" borderId="70" xfId="0" applyFont="1" applyFill="1" applyBorder="1" applyAlignment="1">
      <alignment vertical="center"/>
    </xf>
    <xf numFmtId="171" fontId="53" fillId="63" borderId="70" xfId="0" applyNumberFormat="1" applyFont="1" applyFill="1" applyBorder="1" applyAlignment="1">
      <alignment horizontal="right" vertical="center"/>
    </xf>
    <xf numFmtId="171" fontId="54" fillId="63" borderId="70" xfId="0" applyNumberFormat="1" applyFont="1" applyFill="1" applyBorder="1" applyAlignment="1">
      <alignment horizontal="right" vertical="center"/>
    </xf>
    <xf numFmtId="0" fontId="53" fillId="65" borderId="70" xfId="0" applyFont="1" applyFill="1" applyBorder="1" applyAlignment="1">
      <alignment vertical="center"/>
    </xf>
    <xf numFmtId="171" fontId="22" fillId="59" borderId="71" xfId="0" applyNumberFormat="1" applyFont="1" applyFill="1" applyBorder="1" applyAlignment="1">
      <alignment vertical="center"/>
    </xf>
    <xf numFmtId="171" fontId="22" fillId="59" borderId="71" xfId="0" applyNumberFormat="1" applyFont="1" applyFill="1" applyBorder="1" applyAlignment="1">
      <alignment horizontal="right" vertical="center"/>
    </xf>
    <xf numFmtId="0" fontId="57" fillId="66" borderId="73" xfId="0" applyFont="1" applyFill="1" applyBorder="1" applyAlignment="1">
      <alignment vertical="center"/>
    </xf>
    <xf numFmtId="0" fontId="2" fillId="67" borderId="51" xfId="0" applyFont="1" applyFill="1" applyBorder="1" applyAlignment="1">
      <alignment horizontal="center" vertical="center" wrapText="1"/>
    </xf>
    <xf numFmtId="0" fontId="59" fillId="68" borderId="52" xfId="0" applyFont="1" applyFill="1" applyBorder="1" applyAlignment="1">
      <alignment vertical="center" wrapText="1"/>
    </xf>
    <xf numFmtId="0" fontId="30" fillId="26" borderId="52" xfId="0" applyFont="1" applyFill="1" applyBorder="1" applyAlignment="1">
      <alignment vertical="center" wrapText="1"/>
    </xf>
    <xf numFmtId="171" fontId="29" fillId="24" borderId="50" xfId="0" applyNumberFormat="1" applyFont="1" applyFill="1" applyBorder="1" applyAlignment="1">
      <alignment horizontal="right" vertical="center" wrapText="1"/>
    </xf>
    <xf numFmtId="0" fontId="4" fillId="2" borderId="51" xfId="0" applyFont="1" applyFill="1" applyBorder="1" applyAlignment="1">
      <alignment horizontal="center" vertical="center" wrapText="1"/>
    </xf>
    <xf numFmtId="171" fontId="32" fillId="27" borderId="0" xfId="0" applyNumberFormat="1" applyFont="1" applyFill="1" applyAlignment="1">
      <alignment horizontal="right"/>
    </xf>
    <xf numFmtId="171" fontId="32" fillId="28" borderId="52" xfId="0" applyNumberFormat="1" applyFont="1" applyFill="1" applyBorder="1" applyAlignment="1">
      <alignment horizontal="right"/>
    </xf>
    <xf numFmtId="171" fontId="42" fillId="31" borderId="52" xfId="0" applyNumberFormat="1" applyFont="1" applyFill="1" applyBorder="1" applyAlignment="1">
      <alignment horizontal="right"/>
    </xf>
    <xf numFmtId="0" fontId="3" fillId="7" borderId="0" xfId="0" applyFont="1" applyFill="1" applyAlignment="1">
      <alignment vertical="center" wrapText="1"/>
    </xf>
    <xf numFmtId="172" fontId="5" fillId="6" borderId="0" xfId="0" applyNumberFormat="1" applyFont="1" applyFill="1" applyAlignment="1">
      <alignment vertical="center" wrapText="1"/>
    </xf>
    <xf numFmtId="0" fontId="5" fillId="6" borderId="0" xfId="0" applyFont="1" applyFill="1" applyAlignment="1">
      <alignment vertical="center" wrapText="1"/>
    </xf>
    <xf numFmtId="165" fontId="5" fillId="6" borderId="0" xfId="0" applyNumberFormat="1" applyFont="1" applyFill="1" applyAlignment="1">
      <alignment vertical="center" wrapText="1"/>
    </xf>
    <xf numFmtId="165" fontId="3" fillId="7" borderId="0" xfId="0" applyNumberFormat="1" applyFont="1" applyFill="1" applyAlignment="1">
      <alignment vertical="center" wrapText="1"/>
    </xf>
    <xf numFmtId="164" fontId="5" fillId="6" borderId="0" xfId="0" applyNumberFormat="1" applyFont="1" applyFill="1" applyAlignment="1">
      <alignment vertical="center" wrapText="1"/>
    </xf>
    <xf numFmtId="0" fontId="29" fillId="24" borderId="50" xfId="0" applyFont="1" applyFill="1" applyBorder="1" applyAlignment="1">
      <alignment vertical="center" wrapText="1"/>
    </xf>
    <xf numFmtId="166" fontId="29" fillId="24" borderId="50" xfId="0" applyNumberFormat="1" applyFont="1" applyFill="1" applyBorder="1" applyAlignment="1">
      <alignment vertical="center" wrapText="1"/>
    </xf>
    <xf numFmtId="0" fontId="11" fillId="12" borderId="0" xfId="0" applyFont="1" applyFill="1" applyAlignment="1">
      <alignment horizontal="center" vertical="center"/>
    </xf>
    <xf numFmtId="0" fontId="3" fillId="7" borderId="0" xfId="0" applyFont="1" applyFill="1" applyAlignment="1">
      <alignment horizontal="center" vertical="center"/>
    </xf>
    <xf numFmtId="166" fontId="5" fillId="6" borderId="0" xfId="0" applyNumberFormat="1" applyFont="1" applyFill="1" applyAlignment="1">
      <alignment horizontal="center" vertical="center"/>
    </xf>
    <xf numFmtId="0" fontId="5" fillId="19" borderId="0" xfId="0" applyFont="1" applyFill="1" applyAlignment="1">
      <alignment horizontal="center" vertical="center"/>
    </xf>
    <xf numFmtId="0" fontId="27" fillId="20" borderId="0" xfId="0" applyFont="1" applyFill="1" applyAlignment="1">
      <alignment horizontal="center" vertical="center"/>
    </xf>
    <xf numFmtId="0" fontId="5" fillId="6" borderId="0" xfId="0" applyFont="1" applyFill="1" applyAlignment="1">
      <alignment horizontal="center" vertical="center"/>
    </xf>
    <xf numFmtId="0" fontId="37" fillId="33" borderId="50" xfId="0" applyFont="1" applyFill="1" applyBorder="1" applyAlignment="1">
      <alignment horizontal="center" vertical="center"/>
    </xf>
    <xf numFmtId="0" fontId="0" fillId="0" borderId="0" xfId="0" applyAlignment="1">
      <alignment horizontal="center" vertical="center"/>
    </xf>
    <xf numFmtId="0" fontId="30" fillId="26" borderId="52" xfId="0" applyFont="1" applyFill="1" applyBorder="1" applyAlignment="1">
      <alignment wrapText="1"/>
    </xf>
    <xf numFmtId="0" fontId="29" fillId="33" borderId="50" xfId="0" applyFont="1" applyFill="1" applyBorder="1" applyAlignment="1">
      <alignment wrapText="1"/>
    </xf>
    <xf numFmtId="166" fontId="29" fillId="33" borderId="50" xfId="0" applyNumberFormat="1" applyFont="1" applyFill="1" applyBorder="1" applyAlignment="1">
      <alignment wrapText="1"/>
    </xf>
    <xf numFmtId="0" fontId="30" fillId="36" borderId="52" xfId="0" applyFont="1" applyFill="1" applyBorder="1" applyAlignment="1">
      <alignment wrapText="1"/>
    </xf>
    <xf numFmtId="0" fontId="3" fillId="7" borderId="0" xfId="0" applyFont="1" applyFill="1" applyAlignment="1">
      <alignment wrapText="1"/>
    </xf>
    <xf numFmtId="166" fontId="5" fillId="6" borderId="0" xfId="0" applyNumberFormat="1" applyFont="1" applyFill="1" applyAlignment="1">
      <alignment wrapText="1"/>
    </xf>
    <xf numFmtId="0" fontId="5" fillId="19" borderId="0" xfId="0" applyFont="1" applyFill="1" applyAlignment="1">
      <alignment wrapText="1"/>
    </xf>
    <xf numFmtId="0" fontId="27" fillId="20" borderId="0" xfId="0" applyFont="1" applyFill="1" applyAlignment="1">
      <alignment wrapText="1"/>
    </xf>
    <xf numFmtId="0" fontId="5" fillId="6" borderId="0" xfId="0" applyFont="1" applyFill="1" applyAlignment="1">
      <alignment wrapText="1"/>
    </xf>
    <xf numFmtId="171" fontId="5" fillId="6" borderId="0" xfId="0" applyNumberFormat="1" applyFont="1" applyFill="1" applyAlignment="1">
      <alignment horizontal="right" wrapText="1"/>
    </xf>
    <xf numFmtId="171" fontId="3" fillId="7" borderId="0" xfId="0" applyNumberFormat="1" applyFont="1" applyFill="1" applyAlignment="1">
      <alignment horizontal="right" wrapText="1"/>
    </xf>
    <xf numFmtId="171" fontId="5" fillId="6" borderId="0" xfId="0" applyNumberFormat="1" applyFont="1" applyFill="1" applyAlignment="1">
      <alignment horizontal="center" vertical="center" wrapText="1"/>
    </xf>
    <xf numFmtId="171" fontId="3" fillId="7" borderId="0" xfId="0" applyNumberFormat="1" applyFont="1" applyFill="1" applyAlignment="1">
      <alignment horizontal="center" vertical="center" wrapText="1"/>
    </xf>
    <xf numFmtId="0" fontId="30" fillId="26" borderId="52" xfId="0" applyFont="1" applyFill="1" applyBorder="1" applyAlignment="1">
      <alignment horizontal="center" vertical="center" wrapText="1"/>
    </xf>
    <xf numFmtId="0" fontId="29" fillId="33" borderId="50" xfId="0" applyFont="1" applyFill="1" applyBorder="1" applyAlignment="1">
      <alignment horizontal="center" vertical="center" wrapText="1"/>
    </xf>
    <xf numFmtId="166" fontId="29" fillId="33" borderId="50" xfId="0" applyNumberFormat="1" applyFont="1" applyFill="1" applyBorder="1" applyAlignment="1">
      <alignment horizontal="center" vertical="center" wrapText="1"/>
    </xf>
    <xf numFmtId="0" fontId="30" fillId="36" borderId="52" xfId="0" applyFont="1" applyFill="1" applyBorder="1" applyAlignment="1">
      <alignment horizontal="center" vertical="center" wrapText="1"/>
    </xf>
    <xf numFmtId="171" fontId="5" fillId="6" borderId="0" xfId="0" applyNumberFormat="1" applyFont="1" applyFill="1" applyAlignment="1">
      <alignment horizontal="center" vertical="center"/>
    </xf>
    <xf numFmtId="171" fontId="3" fillId="7" borderId="0" xfId="0" applyNumberFormat="1" applyFont="1" applyFill="1" applyAlignment="1">
      <alignment horizontal="center" vertical="center"/>
    </xf>
    <xf numFmtId="0" fontId="30" fillId="26" borderId="52" xfId="0" applyFont="1" applyFill="1" applyBorder="1" applyAlignment="1">
      <alignment horizontal="center" vertical="center"/>
    </xf>
    <xf numFmtId="0" fontId="29" fillId="33" borderId="50" xfId="0" applyFont="1" applyFill="1" applyBorder="1" applyAlignment="1">
      <alignment horizontal="center" vertical="center"/>
    </xf>
    <xf numFmtId="166" fontId="29" fillId="33" borderId="50" xfId="0" applyNumberFormat="1" applyFont="1" applyFill="1" applyBorder="1" applyAlignment="1">
      <alignment horizontal="center" vertical="center"/>
    </xf>
    <xf numFmtId="0" fontId="30" fillId="36" borderId="52" xfId="0" applyFont="1" applyFill="1" applyBorder="1" applyAlignment="1">
      <alignment horizontal="center" vertical="center"/>
    </xf>
    <xf numFmtId="164" fontId="5" fillId="40" borderId="0" xfId="0" applyNumberFormat="1" applyFont="1" applyFill="1" applyAlignment="1">
      <alignment horizontal="center" vertical="center" wrapText="1"/>
    </xf>
    <xf numFmtId="0" fontId="5" fillId="40" borderId="0" xfId="0" applyFont="1" applyFill="1" applyAlignment="1">
      <alignment horizontal="center" vertical="center" wrapText="1"/>
    </xf>
    <xf numFmtId="165" fontId="5" fillId="40" borderId="0" xfId="0" applyNumberFormat="1" applyFont="1" applyFill="1" applyAlignment="1">
      <alignment horizontal="center" vertical="center" wrapText="1"/>
    </xf>
    <xf numFmtId="0" fontId="37" fillId="48" borderId="50" xfId="0" applyFont="1" applyFill="1" applyBorder="1" applyAlignment="1">
      <alignment horizontal="center" vertical="center" wrapText="1"/>
    </xf>
    <xf numFmtId="171" fontId="37" fillId="48" borderId="50" xfId="0" applyNumberFormat="1" applyFont="1" applyFill="1" applyBorder="1" applyAlignment="1">
      <alignment horizontal="right" vertical="center" wrapText="1"/>
    </xf>
    <xf numFmtId="0" fontId="5" fillId="40" borderId="0" xfId="0" applyFont="1" applyFill="1" applyAlignment="1">
      <alignment horizontal="center" vertical="center"/>
    </xf>
    <xf numFmtId="165" fontId="5" fillId="40" borderId="0" xfId="0" applyNumberFormat="1" applyFont="1" applyFill="1" applyAlignment="1">
      <alignment horizontal="center" vertical="center"/>
    </xf>
    <xf numFmtId="0" fontId="37" fillId="48" borderId="50" xfId="0" applyFont="1" applyFill="1" applyBorder="1" applyAlignment="1">
      <alignment horizontal="center" vertical="center"/>
    </xf>
    <xf numFmtId="165" fontId="5" fillId="6" borderId="0" xfId="0" applyNumberFormat="1" applyFont="1" applyFill="1" applyAlignment="1">
      <alignment horizontal="center" vertical="center"/>
    </xf>
    <xf numFmtId="165" fontId="3" fillId="7" borderId="0" xfId="0" applyNumberFormat="1" applyFont="1" applyFill="1" applyAlignment="1">
      <alignment horizontal="center" vertical="center"/>
    </xf>
    <xf numFmtId="165" fontId="5" fillId="11" borderId="0" xfId="0" applyNumberFormat="1" applyFont="1" applyFill="1" applyAlignment="1">
      <alignment horizontal="center" vertical="center" wrapText="1"/>
    </xf>
    <xf numFmtId="0" fontId="29" fillId="24" borderId="50" xfId="0" applyFont="1" applyFill="1" applyBorder="1" applyAlignment="1">
      <alignment horizontal="center" vertical="center"/>
    </xf>
    <xf numFmtId="168" fontId="5" fillId="40" borderId="0" xfId="0" applyNumberFormat="1" applyFont="1" applyFill="1" applyAlignment="1">
      <alignment horizontal="center" vertical="center"/>
    </xf>
    <xf numFmtId="166" fontId="5" fillId="40" borderId="0" xfId="0" applyNumberFormat="1" applyFont="1" applyFill="1" applyAlignment="1">
      <alignment horizontal="center" vertical="center"/>
    </xf>
    <xf numFmtId="168" fontId="5" fillId="6" borderId="0" xfId="0" applyNumberFormat="1" applyFont="1" applyFill="1" applyAlignment="1">
      <alignment horizontal="center" vertical="center"/>
    </xf>
    <xf numFmtId="1" fontId="3" fillId="7" borderId="0" xfId="0" applyNumberFormat="1" applyFont="1" applyFill="1" applyAlignment="1">
      <alignment horizontal="center" vertical="center" wrapText="1"/>
    </xf>
    <xf numFmtId="166" fontId="30" fillId="55" borderId="0" xfId="0" applyNumberFormat="1" applyFont="1" applyFill="1" applyAlignment="1">
      <alignment horizontal="center" vertical="center" wrapText="1"/>
    </xf>
    <xf numFmtId="0" fontId="0" fillId="0" borderId="0" xfId="0" applyAlignment="1">
      <alignment horizontal="left"/>
    </xf>
    <xf numFmtId="0" fontId="53" fillId="5" borderId="0" xfId="0" applyFont="1" applyFill="1" applyAlignment="1">
      <alignment horizontal="left" vertical="center" wrapText="1"/>
    </xf>
    <xf numFmtId="0" fontId="0" fillId="0" borderId="0" xfId="0" applyAlignment="1">
      <alignment horizontal="left" wrapText="1"/>
    </xf>
    <xf numFmtId="171" fontId="30" fillId="26" borderId="52" xfId="0" applyNumberFormat="1" applyFont="1" applyFill="1" applyBorder="1" applyAlignment="1">
      <alignment horizontal="center" vertical="center" wrapText="1"/>
    </xf>
    <xf numFmtId="0" fontId="0" fillId="0" borderId="0" xfId="0" applyAlignment="1">
      <alignment horizontal="left" vertical="center" wrapText="1"/>
    </xf>
    <xf numFmtId="171" fontId="29" fillId="48" borderId="50" xfId="0" applyNumberFormat="1" applyFont="1" applyFill="1" applyBorder="1" applyAlignment="1">
      <alignment horizontal="center" vertical="center" wrapText="1"/>
    </xf>
    <xf numFmtId="1" fontId="3" fillId="7" borderId="0" xfId="0" applyNumberFormat="1" applyFont="1" applyFill="1" applyAlignment="1">
      <alignment wrapText="1"/>
    </xf>
    <xf numFmtId="164" fontId="5" fillId="6" borderId="0" xfId="0" applyNumberFormat="1" applyFont="1" applyFill="1" applyAlignment="1">
      <alignment wrapText="1"/>
    </xf>
    <xf numFmtId="171" fontId="30" fillId="26" borderId="52" xfId="0" applyNumberFormat="1" applyFont="1" applyFill="1" applyBorder="1" applyAlignment="1">
      <alignment horizontal="right" wrapText="1"/>
    </xf>
    <xf numFmtId="171" fontId="29" fillId="48" borderId="50" xfId="0" applyNumberFormat="1" applyFont="1" applyFill="1" applyBorder="1" applyAlignment="1">
      <alignment horizontal="right" wrapText="1"/>
    </xf>
    <xf numFmtId="0" fontId="1" fillId="3" borderId="0" xfId="0" applyFont="1" applyFill="1" applyAlignment="1">
      <alignment vertical="center"/>
    </xf>
    <xf numFmtId="0" fontId="28" fillId="21" borderId="0" xfId="0" applyFont="1" applyFill="1" applyAlignment="1">
      <alignment horizontal="left" vertical="center"/>
    </xf>
    <xf numFmtId="0" fontId="4" fillId="25" borderId="51" xfId="0" applyFont="1" applyFill="1" applyBorder="1" applyAlignment="1">
      <alignment horizontal="center" vertical="center" wrapText="1"/>
    </xf>
    <xf numFmtId="0" fontId="4" fillId="34" borderId="51" xfId="0" applyFont="1" applyFill="1" applyBorder="1" applyAlignment="1">
      <alignment horizontal="center" vertical="center" wrapText="1"/>
    </xf>
    <xf numFmtId="0" fontId="4" fillId="45" borderId="51" xfId="0" applyFont="1" applyFill="1" applyBorder="1" applyAlignment="1">
      <alignment horizontal="center" vertical="center" wrapText="1"/>
    </xf>
    <xf numFmtId="0" fontId="7" fillId="8" borderId="4" xfId="0" applyFont="1" applyFill="1" applyBorder="1" applyAlignment="1">
      <alignment vertical="center"/>
    </xf>
    <xf numFmtId="0" fontId="50" fillId="61" borderId="61" xfId="0" applyFont="1" applyFill="1" applyBorder="1" applyAlignment="1">
      <alignment horizontal="left" vertical="center"/>
    </xf>
    <xf numFmtId="0" fontId="50" fillId="61" borderId="62" xfId="0" applyFont="1" applyFill="1" applyBorder="1" applyAlignment="1">
      <alignment horizontal="left" vertical="center"/>
    </xf>
    <xf numFmtId="0" fontId="50" fillId="61" borderId="63" xfId="0" applyFont="1" applyFill="1" applyBorder="1" applyAlignment="1">
      <alignment horizontal="left" vertical="center"/>
    </xf>
    <xf numFmtId="171" fontId="52" fillId="63" borderId="64" xfId="0" applyNumberFormat="1" applyFont="1" applyFill="1" applyBorder="1" applyAlignment="1">
      <alignment horizontal="center" vertical="center"/>
    </xf>
    <xf numFmtId="171" fontId="52" fillId="63" borderId="0" xfId="0" applyNumberFormat="1" applyFont="1" applyFill="1" applyAlignment="1">
      <alignment horizontal="center" vertical="center"/>
    </xf>
    <xf numFmtId="171" fontId="52" fillId="63" borderId="65" xfId="0" applyNumberFormat="1" applyFont="1" applyFill="1" applyBorder="1" applyAlignment="1">
      <alignment horizontal="center" vertical="center"/>
    </xf>
    <xf numFmtId="171" fontId="52" fillId="63" borderId="66" xfId="0" applyNumberFormat="1" applyFont="1" applyFill="1" applyBorder="1" applyAlignment="1">
      <alignment horizontal="center" vertical="center"/>
    </xf>
    <xf numFmtId="171" fontId="52" fillId="63" borderId="67" xfId="0" applyNumberFormat="1" applyFont="1" applyFill="1" applyBorder="1" applyAlignment="1">
      <alignment horizontal="center" vertical="center"/>
    </xf>
    <xf numFmtId="171" fontId="52" fillId="63" borderId="68" xfId="0" applyNumberFormat="1" applyFont="1" applyFill="1" applyBorder="1" applyAlignment="1">
      <alignment horizontal="center" vertical="center"/>
    </xf>
    <xf numFmtId="0" fontId="48" fillId="59" borderId="0" xfId="0" applyFont="1" applyFill="1" applyAlignment="1">
      <alignment vertical="center"/>
    </xf>
    <xf numFmtId="0" fontId="48" fillId="59" borderId="60" xfId="0" applyFont="1" applyFill="1" applyBorder="1" applyAlignment="1">
      <alignment vertical="center"/>
    </xf>
    <xf numFmtId="0" fontId="49" fillId="60" borderId="0" xfId="0" applyFont="1" applyFill="1" applyAlignment="1">
      <alignment vertical="center"/>
    </xf>
    <xf numFmtId="0" fontId="51" fillId="62" borderId="0" xfId="0" applyFont="1" applyFill="1" applyAlignment="1">
      <alignment vertical="center"/>
    </xf>
    <xf numFmtId="0" fontId="50" fillId="61" borderId="0" xfId="0" applyFont="1" applyFill="1" applyAlignment="1">
      <alignment vertical="center"/>
    </xf>
    <xf numFmtId="0" fontId="50" fillId="61" borderId="0" xfId="0" applyFont="1" applyFill="1" applyAlignment="1">
      <alignment horizontal="center" vertical="center"/>
    </xf>
    <xf numFmtId="0" fontId="50" fillId="61" borderId="69" xfId="0" applyFont="1" applyFill="1" applyBorder="1" applyAlignment="1">
      <alignment vertical="center"/>
    </xf>
    <xf numFmtId="0" fontId="50" fillId="61" borderId="59" xfId="0" applyFont="1" applyFill="1" applyBorder="1" applyAlignment="1">
      <alignment vertical="center"/>
    </xf>
    <xf numFmtId="0" fontId="55" fillId="62" borderId="64" xfId="0" applyFont="1" applyFill="1" applyBorder="1" applyAlignment="1">
      <alignment vertical="center" wrapText="1"/>
    </xf>
    <xf numFmtId="0" fontId="55" fillId="62" borderId="0" xfId="0" applyFont="1" applyFill="1" applyAlignment="1">
      <alignment vertical="center" wrapText="1"/>
    </xf>
    <xf numFmtId="0" fontId="53" fillId="63" borderId="55" xfId="0" applyFont="1" applyFill="1" applyBorder="1" applyAlignment="1">
      <alignment horizontal="left" vertical="center" wrapText="1"/>
    </xf>
    <xf numFmtId="171" fontId="53" fillId="63" borderId="55" xfId="0" applyNumberFormat="1" applyFont="1" applyFill="1" applyBorder="1" applyAlignment="1">
      <alignment horizontal="left" vertical="center" wrapText="1"/>
    </xf>
    <xf numFmtId="0" fontId="53" fillId="65" borderId="55" xfId="0" applyFont="1" applyFill="1" applyBorder="1" applyAlignment="1">
      <alignment horizontal="left" vertical="center" wrapText="1"/>
    </xf>
    <xf numFmtId="171" fontId="53" fillId="65" borderId="55" xfId="0" applyNumberFormat="1" applyFont="1" applyFill="1" applyBorder="1" applyAlignment="1">
      <alignment horizontal="left" vertical="center" wrapText="1"/>
    </xf>
    <xf numFmtId="0" fontId="56" fillId="59" borderId="72" xfId="0" applyFont="1" applyFill="1" applyBorder="1" applyAlignment="1">
      <alignment vertical="center"/>
    </xf>
    <xf numFmtId="171" fontId="56" fillId="59" borderId="72" xfId="0" applyNumberFormat="1" applyFont="1" applyFill="1" applyBorder="1" applyAlignment="1">
      <alignment horizontal="right" vertical="center"/>
    </xf>
    <xf numFmtId="0" fontId="56" fillId="59" borderId="72" xfId="0" applyFont="1" applyFill="1" applyBorder="1" applyAlignment="1">
      <alignment vertical="center" wrapText="1"/>
    </xf>
    <xf numFmtId="0" fontId="22" fillId="64" borderId="51" xfId="0" applyFont="1" applyFill="1" applyBorder="1" applyAlignment="1">
      <alignment horizontal="center" vertical="center" wrapText="1"/>
    </xf>
    <xf numFmtId="0" fontId="53" fillId="5" borderId="0" xfId="0" applyFont="1" applyFill="1" applyAlignment="1">
      <alignment vertical="center"/>
    </xf>
    <xf numFmtId="171" fontId="53" fillId="5" borderId="0" xfId="0" applyNumberFormat="1" applyFont="1" applyFill="1" applyAlignment="1">
      <alignment horizontal="right" vertical="center"/>
    </xf>
    <xf numFmtId="171" fontId="53" fillId="56" borderId="0" xfId="0" applyNumberFormat="1" applyFont="1" applyFill="1" applyAlignment="1">
      <alignment horizontal="right" vertical="center"/>
    </xf>
    <xf numFmtId="0" fontId="53" fillId="56" borderId="0" xfId="0" applyFont="1" applyFill="1" applyAlignment="1">
      <alignment vertical="center"/>
    </xf>
    <xf numFmtId="171" fontId="22" fillId="59" borderId="0" xfId="0" applyNumberFormat="1" applyFont="1" applyFill="1" applyAlignment="1">
      <alignment horizontal="right" vertical="center"/>
    </xf>
    <xf numFmtId="0" fontId="53" fillId="5" borderId="55" xfId="0" applyFont="1" applyFill="1" applyBorder="1" applyAlignment="1">
      <alignment vertical="center"/>
    </xf>
    <xf numFmtId="0" fontId="53" fillId="5" borderId="55" xfId="0" applyFont="1" applyFill="1" applyBorder="1" applyAlignment="1">
      <alignment horizontal="right" vertical="center"/>
    </xf>
    <xf numFmtId="171" fontId="22" fillId="59" borderId="0" xfId="0" applyNumberFormat="1" applyFont="1" applyFill="1" applyAlignment="1">
      <alignment vertical="center"/>
    </xf>
    <xf numFmtId="0" fontId="58" fillId="60" borderId="0" xfId="0" applyFont="1" applyFill="1" applyAlignment="1">
      <alignment vertical="center" wrapText="1"/>
    </xf>
    <xf numFmtId="0" fontId="55" fillId="62" borderId="0" xfId="0" applyFont="1" applyFill="1" applyAlignment="1">
      <alignment horizontal="center"/>
    </xf>
    <xf numFmtId="0" fontId="53" fillId="56" borderId="55" xfId="0" applyFont="1" applyFill="1" applyBorder="1" applyAlignment="1">
      <alignment vertical="center"/>
    </xf>
    <xf numFmtId="0" fontId="53" fillId="56" borderId="55" xfId="0" applyFont="1" applyFill="1" applyBorder="1" applyAlignment="1">
      <alignment horizontal="right" vertical="center"/>
    </xf>
    <xf numFmtId="0" fontId="57" fillId="66" borderId="73" xfId="0" applyFont="1" applyFill="1" applyBorder="1" applyAlignment="1">
      <alignment horizontal="center" vertical="center"/>
    </xf>
    <xf numFmtId="0" fontId="28" fillId="34" borderId="0" xfId="0" applyFont="1" applyFill="1" applyAlignment="1">
      <alignment horizontal="left" vertical="center"/>
    </xf>
    <xf numFmtId="0" fontId="4" fillId="34" borderId="0" xfId="0" applyFont="1" applyFill="1" applyAlignment="1">
      <alignment vertical="center"/>
    </xf>
    <xf numFmtId="0" fontId="36" fillId="35" borderId="0" xfId="0" applyFont="1" applyFill="1" applyAlignment="1">
      <alignment vertical="center" wrapText="1"/>
    </xf>
    <xf numFmtId="0" fontId="31" fillId="35" borderId="0" xfId="0" applyFont="1" applyFill="1" applyAlignment="1">
      <alignment vertical="center" wrapText="1"/>
    </xf>
    <xf numFmtId="0" fontId="9" fillId="9" borderId="7" xfId="0" applyFont="1" applyFill="1" applyBorder="1" applyAlignment="1">
      <alignment vertical="top" wrapText="1"/>
    </xf>
    <xf numFmtId="0" fontId="9" fillId="9" borderId="8" xfId="0" applyFont="1" applyFill="1" applyBorder="1" applyAlignment="1">
      <alignment vertical="top" wrapText="1"/>
    </xf>
    <xf numFmtId="0" fontId="9" fillId="9" borderId="9" xfId="0" applyFont="1" applyFill="1" applyBorder="1" applyAlignment="1">
      <alignment vertical="top" wrapText="1"/>
    </xf>
    <xf numFmtId="0" fontId="9" fillId="9" borderId="10" xfId="0" applyFont="1" applyFill="1" applyBorder="1" applyAlignment="1">
      <alignment vertical="top" wrapText="1"/>
    </xf>
    <xf numFmtId="0" fontId="9" fillId="9" borderId="0" xfId="0" applyFont="1" applyFill="1" applyAlignment="1">
      <alignment vertical="top" wrapText="1"/>
    </xf>
    <xf numFmtId="0" fontId="9" fillId="9" borderId="11" xfId="0" applyFont="1" applyFill="1" applyBorder="1" applyAlignment="1">
      <alignment vertical="top" wrapText="1"/>
    </xf>
    <xf numFmtId="0" fontId="9" fillId="9" borderId="12" xfId="0" applyFont="1" applyFill="1" applyBorder="1" applyAlignment="1">
      <alignment vertical="top" wrapText="1"/>
    </xf>
    <xf numFmtId="0" fontId="9" fillId="9" borderId="1" xfId="0" applyFont="1" applyFill="1" applyBorder="1" applyAlignment="1">
      <alignment vertical="top" wrapText="1"/>
    </xf>
    <xf numFmtId="0" fontId="9" fillId="9" borderId="13" xfId="0" applyFont="1" applyFill="1" applyBorder="1" applyAlignment="1">
      <alignment vertical="top" wrapText="1"/>
    </xf>
    <xf numFmtId="0" fontId="36" fillId="46" borderId="0" xfId="0" applyFont="1" applyFill="1" applyAlignment="1">
      <alignment vertical="center" wrapText="1"/>
    </xf>
    <xf numFmtId="0" fontId="31" fillId="46" borderId="0" xfId="0" applyFont="1" applyFill="1" applyAlignment="1">
      <alignment vertical="center" wrapText="1"/>
    </xf>
    <xf numFmtId="0" fontId="28" fillId="45" borderId="0" xfId="0" applyFont="1" applyFill="1" applyAlignment="1">
      <alignment horizontal="left" vertical="center"/>
    </xf>
    <xf numFmtId="0" fontId="4" fillId="45" borderId="0" xfId="0" applyFont="1" applyFill="1" applyAlignment="1">
      <alignment vertical="center"/>
    </xf>
    <xf numFmtId="0" fontId="11" fillId="12" borderId="0" xfId="0" applyFont="1" applyFill="1" applyAlignment="1">
      <alignment horizontal="center" vertical="center"/>
    </xf>
    <xf numFmtId="0" fontId="21" fillId="12" borderId="0" xfId="0" applyFont="1" applyFill="1" applyAlignment="1">
      <alignment horizontal="center" vertical="center" wrapText="1"/>
    </xf>
    <xf numFmtId="0" fontId="11" fillId="17" borderId="40" xfId="0" applyFont="1" applyFill="1" applyBorder="1" applyAlignment="1">
      <alignment vertical="top" wrapText="1"/>
    </xf>
    <xf numFmtId="0" fontId="11" fillId="17" borderId="41" xfId="0" applyFont="1" applyFill="1" applyBorder="1" applyAlignment="1">
      <alignment vertical="top" wrapText="1"/>
    </xf>
    <xf numFmtId="0" fontId="11" fillId="17" borderId="42" xfId="0" applyFont="1" applyFill="1" applyBorder="1" applyAlignment="1">
      <alignment vertical="top" wrapText="1"/>
    </xf>
    <xf numFmtId="0" fontId="11" fillId="17" borderId="43" xfId="0" applyFont="1" applyFill="1" applyBorder="1" applyAlignment="1">
      <alignment vertical="top" wrapText="1"/>
    </xf>
    <xf numFmtId="0" fontId="11" fillId="17" borderId="0" xfId="0" applyFont="1" applyFill="1" applyAlignment="1">
      <alignment vertical="top" wrapText="1"/>
    </xf>
    <xf numFmtId="0" fontId="11" fillId="17" borderId="44" xfId="0" applyFont="1" applyFill="1" applyBorder="1" applyAlignment="1">
      <alignment vertical="top" wrapText="1"/>
    </xf>
    <xf numFmtId="0" fontId="11" fillId="17" borderId="45" xfId="0" applyFont="1" applyFill="1" applyBorder="1" applyAlignment="1">
      <alignment vertical="top" wrapText="1"/>
    </xf>
    <xf numFmtId="0" fontId="11" fillId="17" borderId="29" xfId="0" applyFont="1" applyFill="1" applyBorder="1" applyAlignment="1">
      <alignment vertical="top" wrapText="1"/>
    </xf>
    <xf numFmtId="0" fontId="11" fillId="17" borderId="46" xfId="0" applyFont="1" applyFill="1" applyBorder="1" applyAlignment="1">
      <alignment vertical="top" wrapText="1"/>
    </xf>
    <xf numFmtId="0" fontId="64" fillId="12" borderId="0" xfId="0" applyFont="1" applyFill="1" applyAlignment="1">
      <alignment vertical="center"/>
    </xf>
    <xf numFmtId="0" fontId="11" fillId="12" borderId="0" xfId="0" applyFont="1" applyFill="1" applyAlignment="1">
      <alignment vertical="center"/>
    </xf>
    <xf numFmtId="0" fontId="15" fillId="16" borderId="0" xfId="0" applyFont="1" applyFill="1" applyAlignment="1">
      <alignment vertical="center"/>
    </xf>
    <xf numFmtId="0" fontId="11" fillId="15" borderId="29" xfId="0" applyFont="1" applyFill="1" applyBorder="1" applyAlignment="1">
      <alignment horizontal="left" vertical="center"/>
    </xf>
    <xf numFmtId="0" fontId="11" fillId="12" borderId="74" xfId="0" applyFont="1" applyFill="1" applyBorder="1" applyAlignment="1">
      <alignment horizontal="center" vertical="center"/>
    </xf>
    <xf numFmtId="167" fontId="25" fillId="12" borderId="29" xfId="0" applyNumberFormat="1" applyFont="1" applyFill="1" applyBorder="1" applyAlignment="1">
      <alignment horizontal="right" vertical="center"/>
    </xf>
    <xf numFmtId="0" fontId="22" fillId="13" borderId="0" xfId="0" applyFont="1" applyFill="1" applyAlignment="1">
      <alignment vertical="center"/>
    </xf>
    <xf numFmtId="167" fontId="24" fillId="14" borderId="0" xfId="0" applyNumberFormat="1" applyFont="1" applyFill="1" applyAlignment="1">
      <alignment horizontal="right" vertical="center"/>
    </xf>
    <xf numFmtId="167" fontId="24" fillId="14" borderId="29" xfId="0" applyNumberFormat="1" applyFont="1" applyFill="1" applyBorder="1" applyAlignment="1">
      <alignment horizontal="right" vertical="center"/>
    </xf>
    <xf numFmtId="0" fontId="11" fillId="12" borderId="29" xfId="0" applyFont="1" applyFill="1" applyBorder="1" applyAlignment="1">
      <alignment vertical="center"/>
    </xf>
    <xf numFmtId="0" fontId="11" fillId="12" borderId="36" xfId="0" applyFont="1" applyFill="1" applyBorder="1" applyAlignment="1">
      <alignment vertical="center"/>
    </xf>
    <xf numFmtId="0" fontId="11" fillId="12" borderId="38" xfId="0" applyFont="1" applyFill="1" applyBorder="1" applyAlignment="1">
      <alignment vertical="center"/>
    </xf>
    <xf numFmtId="0" fontId="11" fillId="12" borderId="39" xfId="0" applyFont="1" applyFill="1" applyBorder="1" applyAlignment="1">
      <alignment vertical="center"/>
    </xf>
    <xf numFmtId="167" fontId="25" fillId="12" borderId="36" xfId="0" applyNumberFormat="1" applyFont="1" applyFill="1" applyBorder="1" applyAlignment="1">
      <alignment horizontal="right" vertical="center"/>
    </xf>
    <xf numFmtId="0" fontId="22" fillId="13" borderId="30" xfId="0" applyFont="1" applyFill="1" applyBorder="1" applyAlignment="1">
      <alignment horizontal="center" vertical="center"/>
    </xf>
    <xf numFmtId="0" fontId="22" fillId="13" borderId="33" xfId="0" applyFont="1" applyFill="1" applyBorder="1" applyAlignment="1">
      <alignment horizontal="center" vertical="center"/>
    </xf>
    <xf numFmtId="0" fontId="22" fillId="13" borderId="31" xfId="0" applyFont="1" applyFill="1" applyBorder="1" applyAlignment="1">
      <alignment horizontal="center" vertical="center"/>
    </xf>
    <xf numFmtId="0" fontId="22" fillId="13" borderId="0" xfId="0" applyFont="1" applyFill="1" applyAlignment="1">
      <alignment horizontal="center" vertical="center"/>
    </xf>
    <xf numFmtId="0" fontId="22" fillId="13" borderId="32" xfId="0" applyFont="1" applyFill="1" applyBorder="1" applyAlignment="1">
      <alignment horizontal="center" vertical="center"/>
    </xf>
    <xf numFmtId="0" fontId="22" fillId="13" borderId="34" xfId="0" applyFont="1" applyFill="1" applyBorder="1" applyAlignment="1">
      <alignment horizontal="center" vertical="center"/>
    </xf>
    <xf numFmtId="0" fontId="25" fillId="12" borderId="29" xfId="0" applyFont="1" applyFill="1" applyBorder="1" applyAlignment="1">
      <alignment vertical="center"/>
    </xf>
    <xf numFmtId="0" fontId="23" fillId="12" borderId="0" xfId="0" applyFont="1" applyFill="1" applyAlignment="1">
      <alignment vertical="center"/>
    </xf>
    <xf numFmtId="0" fontId="23" fillId="12" borderId="29" xfId="0" applyFont="1" applyFill="1" applyBorder="1" applyAlignment="1">
      <alignment vertical="center"/>
    </xf>
    <xf numFmtId="166" fontId="11" fillId="5" borderId="0" xfId="0" applyNumberFormat="1" applyFont="1" applyFill="1" applyAlignment="1">
      <alignment vertical="center"/>
    </xf>
    <xf numFmtId="166" fontId="25" fillId="12" borderId="0" xfId="0" applyNumberFormat="1" applyFont="1" applyFill="1" applyAlignment="1">
      <alignment vertical="center"/>
    </xf>
    <xf numFmtId="166" fontId="25" fillId="12" borderId="29" xfId="0" applyNumberFormat="1" applyFont="1" applyFill="1" applyBorder="1" applyAlignment="1">
      <alignment vertical="center"/>
    </xf>
    <xf numFmtId="0" fontId="17" fillId="12" borderId="0" xfId="0" applyFont="1" applyFill="1" applyAlignment="1">
      <alignment vertical="center"/>
    </xf>
    <xf numFmtId="0" fontId="18" fillId="12" borderId="0" xfId="0" applyFont="1" applyFill="1" applyAlignment="1">
      <alignment vertical="center"/>
    </xf>
    <xf numFmtId="0" fontId="19" fillId="13" borderId="75" xfId="0" applyFont="1" applyFill="1" applyBorder="1" applyAlignment="1">
      <alignment vertical="center"/>
    </xf>
    <xf numFmtId="0" fontId="19" fillId="13" borderId="76" xfId="0" applyFont="1" applyFill="1" applyBorder="1" applyAlignment="1">
      <alignment vertical="center"/>
    </xf>
    <xf numFmtId="0" fontId="19" fillId="13" borderId="77" xfId="0" applyFont="1" applyFill="1" applyBorder="1" applyAlignment="1">
      <alignment vertical="center"/>
    </xf>
    <xf numFmtId="0" fontId="20" fillId="15" borderId="78" xfId="0" applyFont="1" applyFill="1" applyBorder="1" applyAlignment="1">
      <alignment horizontal="center" vertical="center"/>
    </xf>
    <xf numFmtId="0" fontId="20" fillId="15" borderId="24" xfId="0" applyFont="1" applyFill="1" applyBorder="1" applyAlignment="1">
      <alignment horizontal="center" vertical="center"/>
    </xf>
    <xf numFmtId="0" fontId="20" fillId="15" borderId="79" xfId="0" applyFont="1" applyFill="1" applyBorder="1" applyAlignment="1">
      <alignment horizontal="center" vertical="center"/>
    </xf>
    <xf numFmtId="0" fontId="20" fillId="15" borderId="80" xfId="0" applyFont="1" applyFill="1" applyBorder="1" applyAlignment="1">
      <alignment horizontal="center" vertical="center"/>
    </xf>
    <xf numFmtId="0" fontId="20" fillId="15" borderId="81" xfId="0" applyFont="1" applyFill="1" applyBorder="1" applyAlignment="1">
      <alignment horizontal="center" vertical="center"/>
    </xf>
    <xf numFmtId="0" fontId="20" fillId="15" borderId="82" xfId="0" applyFont="1" applyFill="1" applyBorder="1" applyAlignment="1">
      <alignment horizontal="center" vertical="center"/>
    </xf>
    <xf numFmtId="0" fontId="21" fillId="12" borderId="0" xfId="0" applyFont="1" applyFill="1" applyAlignment="1">
      <alignment horizontal="center" vertical="center"/>
    </xf>
    <xf numFmtId="0" fontId="12" fillId="18" borderId="0" xfId="0" applyFont="1" applyFill="1" applyAlignment="1">
      <alignment horizontal="center" vertical="center"/>
    </xf>
    <xf numFmtId="0" fontId="13" fillId="18" borderId="0" xfId="0" applyFont="1" applyFill="1" applyAlignment="1">
      <alignment horizontal="center" vertical="center"/>
    </xf>
    <xf numFmtId="0" fontId="14" fillId="18" borderId="0" xfId="0" applyFont="1" applyFill="1" applyAlignment="1">
      <alignment horizontal="center" vertical="center"/>
    </xf>
    <xf numFmtId="0" fontId="15" fillId="12" borderId="0" xfId="0" applyFont="1" applyFill="1" applyAlignment="1">
      <alignment horizontal="left" vertical="center"/>
    </xf>
    <xf numFmtId="0" fontId="16" fillId="12" borderId="0" xfId="0" applyFont="1" applyFill="1" applyAlignment="1">
      <alignment horizontal="left" vertical="center"/>
    </xf>
    <xf numFmtId="0" fontId="28" fillId="53" borderId="0" xfId="0" applyFont="1" applyFill="1" applyAlignment="1">
      <alignment horizontal="left" vertical="center"/>
    </xf>
    <xf numFmtId="0" fontId="4" fillId="53" borderId="0" xfId="0" applyFont="1" applyFill="1" applyAlignment="1">
      <alignment vertical="center"/>
    </xf>
    <xf numFmtId="0" fontId="44" fillId="54" borderId="0" xfId="0" applyFont="1" applyFill="1" applyAlignment="1">
      <alignment vertical="center" wrapText="1"/>
    </xf>
    <xf numFmtId="0" fontId="45" fillId="54" borderId="0" xfId="0" applyFont="1" applyFill="1" applyAlignment="1">
      <alignment vertical="center" wrapText="1"/>
    </xf>
    <xf numFmtId="0" fontId="0" fillId="0" borderId="1" xfId="0" applyBorder="1" applyAlignment="1">
      <alignment wrapText="1"/>
    </xf>
    <xf numFmtId="0" fontId="2" fillId="2" borderId="2" xfId="0" applyFont="1" applyFill="1" applyBorder="1" applyAlignment="1">
      <alignment horizontal="center" vertical="center" wrapText="1"/>
    </xf>
    <xf numFmtId="0" fontId="0" fillId="0" borderId="0" xfId="0" applyAlignment="1">
      <alignment wrapText="1"/>
    </xf>
    <xf numFmtId="0" fontId="3" fillId="9" borderId="7" xfId="0" applyFont="1" applyFill="1" applyBorder="1" applyAlignment="1">
      <alignment vertical="top" wrapText="1"/>
    </xf>
    <xf numFmtId="0" fontId="3" fillId="9" borderId="8" xfId="0" applyFont="1" applyFill="1" applyBorder="1" applyAlignment="1">
      <alignment vertical="top" wrapText="1"/>
    </xf>
    <xf numFmtId="0" fontId="3" fillId="9" borderId="9" xfId="0" applyFont="1" applyFill="1" applyBorder="1" applyAlignment="1">
      <alignment vertical="top" wrapText="1"/>
    </xf>
    <xf numFmtId="0" fontId="3" fillId="9" borderId="10" xfId="0" applyFont="1" applyFill="1" applyBorder="1" applyAlignment="1">
      <alignment vertical="top" wrapText="1"/>
    </xf>
    <xf numFmtId="0" fontId="3" fillId="9" borderId="0" xfId="0" applyFont="1" applyFill="1" applyAlignment="1">
      <alignment vertical="top" wrapText="1"/>
    </xf>
    <xf numFmtId="0" fontId="3" fillId="9" borderId="11" xfId="0" applyFont="1" applyFill="1" applyBorder="1" applyAlignment="1">
      <alignment vertical="top" wrapText="1"/>
    </xf>
    <xf numFmtId="0" fontId="3" fillId="9" borderId="12" xfId="0" applyFont="1" applyFill="1" applyBorder="1" applyAlignment="1">
      <alignment vertical="top" wrapText="1"/>
    </xf>
    <xf numFmtId="0" fontId="3" fillId="9" borderId="1" xfId="0" applyFont="1" applyFill="1" applyBorder="1" applyAlignment="1">
      <alignment vertical="top" wrapText="1"/>
    </xf>
    <xf numFmtId="0" fontId="3" fillId="9" borderId="13" xfId="0" applyFont="1" applyFill="1" applyBorder="1" applyAlignment="1">
      <alignment vertical="top" wrapText="1"/>
    </xf>
    <xf numFmtId="0" fontId="38" fillId="40" borderId="0" xfId="0" applyFont="1" applyFill="1" applyAlignment="1">
      <alignment vertical="center" wrapText="1"/>
    </xf>
    <xf numFmtId="0" fontId="39" fillId="42" borderId="0" xfId="0" applyFont="1" applyFill="1" applyAlignment="1">
      <alignment vertical="center" wrapText="1"/>
    </xf>
    <xf numFmtId="0" fontId="32" fillId="41" borderId="0" xfId="0" applyFont="1" applyFill="1" applyAlignment="1">
      <alignment horizontal="center" vertical="center"/>
    </xf>
    <xf numFmtId="171" fontId="32" fillId="41" borderId="0" xfId="0" applyNumberFormat="1" applyFont="1" applyFill="1" applyAlignment="1">
      <alignment horizontal="right" vertical="center"/>
    </xf>
    <xf numFmtId="0" fontId="26" fillId="21" borderId="0" xfId="0" applyFont="1" applyFill="1" applyAlignment="1">
      <alignment horizontal="left" vertical="center"/>
    </xf>
    <xf numFmtId="0" fontId="42" fillId="58" borderId="56" xfId="0" applyFont="1" applyFill="1" applyBorder="1" applyAlignment="1">
      <alignment horizontal="center" vertical="center"/>
    </xf>
    <xf numFmtId="0" fontId="42" fillId="58" borderId="57" xfId="0" applyFont="1" applyFill="1" applyBorder="1" applyAlignment="1">
      <alignment horizontal="center" vertical="center"/>
    </xf>
    <xf numFmtId="0" fontId="42" fillId="58" borderId="58" xfId="0" applyFont="1" applyFill="1" applyBorder="1" applyAlignment="1">
      <alignment horizontal="center" vertical="center"/>
    </xf>
    <xf numFmtId="0" fontId="20" fillId="12" borderId="38" xfId="0" applyFont="1" applyFill="1" applyBorder="1" applyAlignment="1">
      <alignment horizontal="center" vertical="center"/>
    </xf>
    <xf numFmtId="0" fontId="24" fillId="13" borderId="0" xfId="0" applyFont="1" applyFill="1" applyAlignment="1">
      <alignment vertical="center"/>
    </xf>
    <xf numFmtId="0" fontId="15" fillId="12" borderId="0" xfId="0" applyFont="1" applyFill="1" applyAlignment="1">
      <alignment vertical="center"/>
    </xf>
    <xf numFmtId="0" fontId="11" fillId="12" borderId="37" xfId="0" applyFont="1" applyFill="1" applyBorder="1" applyAlignment="1">
      <alignment vertical="center"/>
    </xf>
    <xf numFmtId="0" fontId="11" fillId="12" borderId="35" xfId="0" applyFont="1" applyFill="1" applyBorder="1" applyAlignment="1">
      <alignment vertical="center"/>
    </xf>
    <xf numFmtId="167" fontId="25" fillId="12" borderId="38" xfId="0" applyNumberFormat="1" applyFont="1" applyFill="1" applyBorder="1" applyAlignment="1">
      <alignment horizontal="right" vertical="center"/>
    </xf>
    <xf numFmtId="167" fontId="25" fillId="12" borderId="39" xfId="0" applyNumberFormat="1" applyFont="1" applyFill="1" applyBorder="1" applyAlignment="1">
      <alignment horizontal="right" vertical="center"/>
    </xf>
    <xf numFmtId="166" fontId="11" fillId="5" borderId="29" xfId="0" applyNumberFormat="1" applyFont="1" applyFill="1" applyBorder="1" applyAlignment="1">
      <alignment vertical="center"/>
    </xf>
    <xf numFmtId="168" fontId="11" fillId="5" borderId="29" xfId="0" applyNumberFormat="1" applyFont="1" applyFill="1" applyBorder="1" applyAlignment="1">
      <alignment vertical="center"/>
    </xf>
    <xf numFmtId="0" fontId="19" fillId="13" borderId="0" xfId="0" applyFont="1" applyFill="1" applyAlignment="1">
      <alignment vertical="center"/>
    </xf>
    <xf numFmtId="0" fontId="20" fillId="15" borderId="23" xfId="0" applyFont="1" applyFill="1" applyBorder="1" applyAlignment="1">
      <alignment horizontal="center" vertical="center"/>
    </xf>
    <xf numFmtId="0" fontId="20" fillId="15" borderId="25" xfId="0" applyFont="1" applyFill="1" applyBorder="1" applyAlignment="1">
      <alignment horizontal="center" vertical="center"/>
    </xf>
    <xf numFmtId="0" fontId="20" fillId="15" borderId="26" xfId="0" applyFont="1" applyFill="1" applyBorder="1" applyAlignment="1">
      <alignment horizontal="center" vertical="center"/>
    </xf>
    <xf numFmtId="0" fontId="20" fillId="15" borderId="27" xfId="0" applyFont="1" applyFill="1" applyBorder="1" applyAlignment="1">
      <alignment horizontal="center" vertical="center"/>
    </xf>
    <xf numFmtId="0" fontId="20" fillId="15" borderId="28" xfId="0" applyFont="1" applyFill="1" applyBorder="1" applyAlignment="1">
      <alignment horizontal="center" vertical="center"/>
    </xf>
    <xf numFmtId="0" fontId="15" fillId="12" borderId="0" xfId="0" applyFont="1" applyFill="1" applyAlignment="1">
      <alignment horizontal="left" wrapText="1"/>
    </xf>
    <xf numFmtId="0" fontId="16" fillId="12" borderId="0" xfId="0" applyFont="1" applyFill="1" applyAlignment="1">
      <alignment horizontal="left" wrapText="1"/>
    </xf>
    <xf numFmtId="0" fontId="4" fillId="25" borderId="0" xfId="0" applyFont="1" applyFill="1" applyAlignment="1">
      <alignment vertical="center"/>
    </xf>
    <xf numFmtId="0" fontId="31" fillId="27" borderId="0" xfId="0" applyFont="1" applyFill="1" applyAlignment="1">
      <alignment vertical="center" wrapText="1"/>
    </xf>
    <xf numFmtId="0" fontId="32" fillId="28" borderId="0" xfId="0" applyFont="1" applyFill="1"/>
    <xf numFmtId="0" fontId="31" fillId="29" borderId="0" xfId="0" applyFont="1" applyFill="1" applyAlignment="1">
      <alignment wrapText="1"/>
    </xf>
    <xf numFmtId="171" fontId="4" fillId="25" borderId="51" xfId="0" applyNumberFormat="1" applyFont="1" applyFill="1" applyBorder="1" applyAlignment="1">
      <alignment horizontal="right" vertical="center" wrapText="1"/>
    </xf>
    <xf numFmtId="0" fontId="63" fillId="67" borderId="0" xfId="0" applyFont="1" applyFill="1" applyAlignment="1">
      <alignment horizontal="left" vertical="center"/>
    </xf>
    <xf numFmtId="0" fontId="62" fillId="69" borderId="0" xfId="0" applyFont="1" applyFill="1" applyAlignment="1">
      <alignment vertical="center" wrapText="1"/>
    </xf>
    <xf numFmtId="0" fontId="32" fillId="43" borderId="0" xfId="0" applyFont="1" applyFill="1" applyAlignment="1">
      <alignment horizontal="center" vertical="center"/>
    </xf>
    <xf numFmtId="0" fontId="35" fillId="44" borderId="0" xfId="0" applyFont="1" applyFill="1" applyAlignment="1">
      <alignment vertical="center" wrapText="1"/>
    </xf>
    <xf numFmtId="0" fontId="35" fillId="35" borderId="0" xfId="0" applyFont="1" applyFill="1" applyAlignment="1">
      <alignment vertical="center" wrapText="1"/>
    </xf>
    <xf numFmtId="0" fontId="60" fillId="67" borderId="0" xfId="0" applyFont="1" applyFill="1" applyAlignment="1">
      <alignment horizontal="left" vertical="center"/>
    </xf>
    <xf numFmtId="0" fontId="61" fillId="69" borderId="0" xfId="0" applyFont="1" applyFill="1" applyAlignment="1">
      <alignment vertical="center" wrapText="1"/>
    </xf>
    <xf numFmtId="0" fontId="0" fillId="0" borderId="0" xfId="0" applyAlignment="1">
      <alignment vertical="center" wrapText="1"/>
    </xf>
    <xf numFmtId="0" fontId="0" fillId="0" borderId="0" xfId="0"/>
    <xf numFmtId="171" fontId="4" fillId="2" borderId="51" xfId="0" applyNumberFormat="1" applyFont="1" applyFill="1" applyBorder="1" applyAlignment="1">
      <alignment horizontal="center" vertical="center" wrapText="1"/>
    </xf>
    <xf numFmtId="0" fontId="41" fillId="47" borderId="0" xfId="0" applyFont="1" applyFill="1" applyAlignment="1">
      <alignment vertical="center" wrapText="1"/>
    </xf>
  </cellXfs>
  <cellStyles count="1">
    <cellStyle name="Normal" xfId="0" builtinId="0"/>
  </cellStyles>
  <dxfs count="68">
    <dxf>
      <font>
        <b/>
        <color rgb="FFA72828"/>
      </font>
      <fill>
        <patternFill>
          <bgColor rgb="FFFBE8E5"/>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828"/>
      </font>
      <fill>
        <patternFill>
          <bgColor rgb="FFFBE8E5"/>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828"/>
      </font>
      <fill>
        <patternFill>
          <bgColor rgb="FFFBE8E5"/>
        </patternFill>
      </fill>
    </dxf>
    <dxf>
      <font>
        <b/>
        <color rgb="FFA72E2E"/>
      </font>
      <fill>
        <patternFill>
          <bgColor rgb="FFFCEDED"/>
        </patternFill>
      </fill>
    </dxf>
    <dxf>
      <font>
        <b/>
        <color rgb="FFA72E2E"/>
      </font>
      <fill>
        <patternFill>
          <bgColor rgb="FFFCEDED"/>
        </patternFill>
      </fill>
    </dxf>
    <dxf>
      <font>
        <b/>
        <color rgb="FF25623D"/>
      </font>
      <fill>
        <patternFill>
          <bgColor rgb="FFEAF5EE"/>
        </patternFill>
      </fill>
    </dxf>
    <dxf>
      <font>
        <b/>
        <color rgb="FFA72E2E"/>
      </font>
      <fill>
        <patternFill>
          <bgColor rgb="FFFCEDED"/>
        </patternFill>
      </fill>
    </dxf>
    <dxf>
      <font>
        <b/>
        <color rgb="FF25623D"/>
      </font>
      <fill>
        <patternFill>
          <bgColor rgb="FFEAF5EE"/>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b/>
        <color rgb="FFA72E2E"/>
      </font>
      <fill>
        <patternFill>
          <bgColor rgb="FFFCEDED"/>
        </patternFill>
      </fill>
    </dxf>
    <dxf>
      <font>
        <b/>
        <color rgb="FFA4262C"/>
      </font>
      <fill>
        <patternFill>
          <bgColor rgb="FFFFF0F0"/>
        </patternFill>
      </fill>
    </dxf>
    <dxf>
      <font>
        <b/>
        <color rgb="FF94620B"/>
      </font>
      <fill>
        <patternFill>
          <bgColor rgb="FFFFF5E2"/>
        </patternFill>
      </fill>
    </dxf>
    <dxf>
      <font>
        <b/>
        <color rgb="FF16745A"/>
      </font>
      <fill>
        <patternFill>
          <bgColor rgb="FFEAF6F1"/>
        </patternFill>
      </fill>
    </dxf>
    <dxf>
      <font>
        <b/>
        <color rgb="FFB42318"/>
      </font>
      <fill>
        <patternFill>
          <bgColor rgb="FFFDECEC"/>
        </patternFill>
      </fill>
    </dxf>
    <dxf>
      <font>
        <b/>
        <color rgb="FF16745A"/>
      </font>
      <fill>
        <patternFill>
          <bgColor rgb="FFEAF6F1"/>
        </patternFill>
      </fill>
    </dxf>
    <dxf>
      <font>
        <b/>
        <color rgb="FFB42318"/>
      </font>
      <fill>
        <patternFill>
          <bgColor rgb="FFFDECEC"/>
        </patternFill>
      </fill>
    </dxf>
    <dxf>
      <font>
        <color rgb="FFA4262C"/>
      </font>
      <fill>
        <patternFill>
          <bgColor rgb="FFFFF0F0"/>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D" sz="900" b="1"/>
              <a:t>Pendapatan, Beban &amp; Laba Bulanan</a:t>
            </a:r>
          </a:p>
        </c:rich>
      </c:tx>
      <c:overlay val="0"/>
    </c:title>
    <c:autoTitleDeleted val="0"/>
    <c:plotArea>
      <c:layout/>
      <c:lineChart>
        <c:grouping val="standard"/>
        <c:varyColors val="0"/>
        <c:ser>
          <c:idx val="0"/>
          <c:order val="0"/>
          <c:tx>
            <c:v>Pendapatan Jasa</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DASHBOARD!$B$17:$B$28</c:f>
              <c:numCache>
                <c:formatCode>"Rp"\ #,##0;[Red]\("Rp"\ #,##0\);\-</c:formatCode>
                <c:ptCount val="12"/>
                <c:pt idx="0">
                  <c:v>0</c:v>
                </c:pt>
                <c:pt idx="1">
                  <c:v>0</c:v>
                </c:pt>
                <c:pt idx="2">
                  <c:v>0</c:v>
                </c:pt>
                <c:pt idx="3">
                  <c:v>0</c:v>
                </c:pt>
                <c:pt idx="4">
                  <c:v>0</c:v>
                </c:pt>
                <c:pt idx="5">
                  <c:v>0</c:v>
                </c:pt>
                <c:pt idx="6">
                  <c:v>16000000</c:v>
                </c:pt>
                <c:pt idx="7">
                  <c:v>0</c:v>
                </c:pt>
                <c:pt idx="8">
                  <c:v>0</c:v>
                </c:pt>
                <c:pt idx="9">
                  <c:v>0</c:v>
                </c:pt>
                <c:pt idx="10">
                  <c:v>0</c:v>
                </c:pt>
                <c:pt idx="11">
                  <c:v>0</c:v>
                </c:pt>
              </c:numCache>
            </c:numRef>
          </c:val>
          <c:smooth val="0"/>
          <c:extLst>
            <c:ext xmlns:c16="http://schemas.microsoft.com/office/drawing/2014/chart" uri="{C3380CC4-5D6E-409C-BE32-E72D297353CC}">
              <c16:uniqueId val="{00000000-5291-432F-898C-A06C0CC614B9}"/>
            </c:ext>
          </c:extLst>
        </c:ser>
        <c:ser>
          <c:idx val="1"/>
          <c:order val="1"/>
          <c:tx>
            <c:v>Beban Operasional</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DASHBOARD!$C$17:$C$28</c:f>
              <c:numCache>
                <c:formatCode>"Rp"\ #,##0;[Red]\("Rp"\ #,##0\);\-</c:formatCode>
                <c:ptCount val="12"/>
                <c:pt idx="0">
                  <c:v>0</c:v>
                </c:pt>
                <c:pt idx="1">
                  <c:v>0</c:v>
                </c:pt>
                <c:pt idx="2">
                  <c:v>0</c:v>
                </c:pt>
                <c:pt idx="3">
                  <c:v>0</c:v>
                </c:pt>
                <c:pt idx="4">
                  <c:v>0</c:v>
                </c:pt>
                <c:pt idx="5">
                  <c:v>0</c:v>
                </c:pt>
                <c:pt idx="6">
                  <c:v>3390600</c:v>
                </c:pt>
                <c:pt idx="7">
                  <c:v>4705308</c:v>
                </c:pt>
                <c:pt idx="8">
                  <c:v>0</c:v>
                </c:pt>
                <c:pt idx="9">
                  <c:v>0</c:v>
                </c:pt>
                <c:pt idx="10">
                  <c:v>0</c:v>
                </c:pt>
                <c:pt idx="11">
                  <c:v>0</c:v>
                </c:pt>
              </c:numCache>
            </c:numRef>
          </c:val>
          <c:smooth val="0"/>
          <c:extLst>
            <c:ext xmlns:c16="http://schemas.microsoft.com/office/drawing/2014/chart" uri="{C3380CC4-5D6E-409C-BE32-E72D297353CC}">
              <c16:uniqueId val="{00000001-5291-432F-898C-A06C0CC614B9}"/>
            </c:ext>
          </c:extLst>
        </c:ser>
        <c:ser>
          <c:idx val="2"/>
          <c:order val="2"/>
          <c:tx>
            <c:v>Laba / (Rugi) Bulan</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DASHBOARD!$D$17:$D$28</c:f>
              <c:numCache>
                <c:formatCode>"Rp"\ #,##0;[Red]\("Rp"\ #,##0\);\-</c:formatCode>
                <c:ptCount val="12"/>
                <c:pt idx="0">
                  <c:v>0</c:v>
                </c:pt>
                <c:pt idx="1">
                  <c:v>0</c:v>
                </c:pt>
                <c:pt idx="2">
                  <c:v>0</c:v>
                </c:pt>
                <c:pt idx="3">
                  <c:v>0</c:v>
                </c:pt>
                <c:pt idx="4">
                  <c:v>0</c:v>
                </c:pt>
                <c:pt idx="5">
                  <c:v>0</c:v>
                </c:pt>
                <c:pt idx="6">
                  <c:v>12609400</c:v>
                </c:pt>
                <c:pt idx="7">
                  <c:v>-4705308</c:v>
                </c:pt>
                <c:pt idx="8">
                  <c:v>0</c:v>
                </c:pt>
                <c:pt idx="9">
                  <c:v>0</c:v>
                </c:pt>
                <c:pt idx="10">
                  <c:v>0</c:v>
                </c:pt>
                <c:pt idx="11">
                  <c:v>0</c:v>
                </c:pt>
              </c:numCache>
            </c:numRef>
          </c:val>
          <c:smooth val="0"/>
          <c:extLst>
            <c:ext xmlns:c16="http://schemas.microsoft.com/office/drawing/2014/chart" uri="{C3380CC4-5D6E-409C-BE32-E72D297353CC}">
              <c16:uniqueId val="{00000002-5291-432F-898C-A06C0CC614B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quot;Rp&quot;\ #,##0;[Red]\(&quot;Rp&quot;\ #,##0\);\-" sourceLinked="1"/>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D" sz="900" b="1"/>
              <a:t>Kas Akhir &amp; Laba Kumulatif</a:t>
            </a:r>
          </a:p>
        </c:rich>
      </c:tx>
      <c:overlay val="0"/>
    </c:title>
    <c:autoTitleDeleted val="0"/>
    <c:plotArea>
      <c:layout/>
      <c:lineChart>
        <c:grouping val="standard"/>
        <c:varyColors val="0"/>
        <c:ser>
          <c:idx val="0"/>
          <c:order val="0"/>
          <c:tx>
            <c:v>Kas Akhir</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DASHBOARD!$M$17:$M$28</c:f>
              <c:numCache>
                <c:formatCode>"Rp"\ #,##0;[Red]\("Rp"\ #,##0\);\-</c:formatCode>
                <c:ptCount val="12"/>
                <c:pt idx="0">
                  <c:v>0</c:v>
                </c:pt>
                <c:pt idx="1">
                  <c:v>0</c:v>
                </c:pt>
                <c:pt idx="2">
                  <c:v>0</c:v>
                </c:pt>
                <c:pt idx="3">
                  <c:v>0</c:v>
                </c:pt>
                <c:pt idx="4">
                  <c:v>0</c:v>
                </c:pt>
                <c:pt idx="5">
                  <c:v>0</c:v>
                </c:pt>
                <c:pt idx="6">
                  <c:v>4609400</c:v>
                </c:pt>
                <c:pt idx="7">
                  <c:v>2904092</c:v>
                </c:pt>
                <c:pt idx="8">
                  <c:v>0</c:v>
                </c:pt>
                <c:pt idx="9">
                  <c:v>0</c:v>
                </c:pt>
                <c:pt idx="10">
                  <c:v>0</c:v>
                </c:pt>
                <c:pt idx="11">
                  <c:v>0</c:v>
                </c:pt>
              </c:numCache>
            </c:numRef>
          </c:val>
          <c:smooth val="0"/>
          <c:extLst>
            <c:ext xmlns:c16="http://schemas.microsoft.com/office/drawing/2014/chart" uri="{C3380CC4-5D6E-409C-BE32-E72D297353CC}">
              <c16:uniqueId val="{00000000-7108-44E2-9B95-9A59000428E4}"/>
            </c:ext>
          </c:extLst>
        </c:ser>
        <c:ser>
          <c:idx val="1"/>
          <c:order val="1"/>
          <c:tx>
            <c:v>Laba Kumulatif</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DASHBOARD!$E$17:$E$28</c:f>
              <c:numCache>
                <c:formatCode>"Rp"\ #,##0;[Red]\("Rp"\ #,##0\);\-</c:formatCode>
                <c:ptCount val="12"/>
                <c:pt idx="0">
                  <c:v>0</c:v>
                </c:pt>
                <c:pt idx="1">
                  <c:v>0</c:v>
                </c:pt>
                <c:pt idx="2">
                  <c:v>0</c:v>
                </c:pt>
                <c:pt idx="3">
                  <c:v>0</c:v>
                </c:pt>
                <c:pt idx="4">
                  <c:v>0</c:v>
                </c:pt>
                <c:pt idx="5">
                  <c:v>0</c:v>
                </c:pt>
                <c:pt idx="6">
                  <c:v>12609400</c:v>
                </c:pt>
                <c:pt idx="7">
                  <c:v>7904092</c:v>
                </c:pt>
                <c:pt idx="8">
                  <c:v>0</c:v>
                </c:pt>
                <c:pt idx="9">
                  <c:v>0</c:v>
                </c:pt>
                <c:pt idx="10">
                  <c:v>0</c:v>
                </c:pt>
                <c:pt idx="11">
                  <c:v>0</c:v>
                </c:pt>
              </c:numCache>
            </c:numRef>
          </c:val>
          <c:smooth val="0"/>
          <c:extLst>
            <c:ext xmlns:c16="http://schemas.microsoft.com/office/drawing/2014/chart" uri="{C3380CC4-5D6E-409C-BE32-E72D297353CC}">
              <c16:uniqueId val="{00000001-7108-44E2-9B95-9A59000428E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quot;Rp&quot;\ #,##0;[Red]\(&quot;Rp&quot;\ #,##0\);\-" sourceLinked="1"/>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63</xdr:row>
      <xdr:rowOff>0</xdr:rowOff>
    </xdr:from>
    <xdr:to>
      <xdr:col>7</xdr:col>
      <xdr:colOff>0</xdr:colOff>
      <xdr:row>82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63</xdr:row>
      <xdr:rowOff>0</xdr:rowOff>
    </xdr:from>
    <xdr:to>
      <xdr:col>14</xdr:col>
      <xdr:colOff>0</xdr:colOff>
      <xdr:row>82</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106680</xdr:colOff>
      <xdr:row>1</xdr:row>
      <xdr:rowOff>72390</xdr:rowOff>
    </xdr:from>
    <xdr:ext cx="2619375" cy="1257300"/>
    <xdr:pic>
      <xdr:nvPicPr>
        <xdr:cNvPr id="2" name="/xl/media/image.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editAs="oneCell">
    <xdr:from>
      <xdr:col>7</xdr:col>
      <xdr:colOff>198121</xdr:colOff>
      <xdr:row>44</xdr:row>
      <xdr:rowOff>47104</xdr:rowOff>
    </xdr:from>
    <xdr:to>
      <xdr:col>9</xdr:col>
      <xdr:colOff>716391</xdr:colOff>
      <xdr:row>47</xdr:row>
      <xdr:rowOff>160020</xdr:rowOff>
    </xdr:to>
    <xdr:pic>
      <xdr:nvPicPr>
        <xdr:cNvPr id="4" name="Picture 3">
          <a:extLst>
            <a:ext uri="{FF2B5EF4-FFF2-40B4-BE49-F238E27FC236}">
              <a16:creationId xmlns:a16="http://schemas.microsoft.com/office/drawing/2014/main" id="{B1EDF97C-236B-6A69-D58A-92039C05EF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00601" y="9511144"/>
          <a:ext cx="1966070" cy="752996"/>
        </a:xfrm>
        <a:prstGeom prst="rect">
          <a:avLst/>
        </a:prstGeom>
      </xdr:spPr>
    </xdr:pic>
    <xdr:clientData/>
  </xdr:twoCellAnchor>
  <xdr:twoCellAnchor editAs="oneCell">
    <xdr:from>
      <xdr:col>8</xdr:col>
      <xdr:colOff>243840</xdr:colOff>
      <xdr:row>44</xdr:row>
      <xdr:rowOff>144780</xdr:rowOff>
    </xdr:from>
    <xdr:to>
      <xdr:col>9</xdr:col>
      <xdr:colOff>243840</xdr:colOff>
      <xdr:row>48</xdr:row>
      <xdr:rowOff>15240</xdr:rowOff>
    </xdr:to>
    <xdr:pic>
      <xdr:nvPicPr>
        <xdr:cNvPr id="6" name="Picture 5">
          <a:extLst>
            <a:ext uri="{FF2B5EF4-FFF2-40B4-BE49-F238E27FC236}">
              <a16:creationId xmlns:a16="http://schemas.microsoft.com/office/drawing/2014/main" id="{A685FA0A-15E2-033E-8A54-DAF0383C80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0220" y="9608820"/>
          <a:ext cx="723900"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106680</xdr:colOff>
      <xdr:row>1</xdr:row>
      <xdr:rowOff>80010</xdr:rowOff>
    </xdr:from>
    <xdr:ext cx="2619375" cy="1257300"/>
    <xdr:pic>
      <xdr:nvPicPr>
        <xdr:cNvPr id="2" name="/xl/media/image2.pn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uham\Downloads\Master%20RPK%20Sistem%20Keuangan%202026%20Arus%20Kas%20Terkoreksi.xlsx" TargetMode="External"/><Relationship Id="rId1" Type="http://schemas.openxmlformats.org/officeDocument/2006/relationships/externalLinkPath" Target="Master%20RPK%20Sistem%20Keuangan%202026%20Arus%20Kas%20Terkorek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NDUAN"/>
      <sheetName val="DASHBOARD"/>
      <sheetName val="PERKARA"/>
      <sheetName val="PEMASUKAN"/>
      <sheetName val="PENGELUARAN"/>
      <sheetName val="GAJI"/>
      <sheetName val="REIMBURSE"/>
      <sheetName val="INVOICE_PIUTANG"/>
      <sheetName val="KAS_BANK"/>
      <sheetName val="DANA_KLIEN"/>
      <sheetName val="PARTNER"/>
      <sheetName val="EKUITAS"/>
      <sheetName val="ANGGARAN"/>
      <sheetName val="LABA_RUGI"/>
      <sheetName val="ARUS_KAS"/>
      <sheetName val="KEWAJIBAN"/>
      <sheetName val="KONTROL"/>
      <sheetName val="MASTER"/>
      <sheetName val="INVOICE_CETAK"/>
      <sheetName val="SLIP_GAJI"/>
      <sheetName val="UMUR_PIUTANG"/>
      <sheetName val="TALANGAN_PARTNER"/>
      <sheetName val="TRANSFER_KAS"/>
      <sheetName val="NERACA"/>
      <sheetName val="OTORISASI"/>
      <sheetName val="Sheet1"/>
    </sheetNames>
    <sheetDataSet>
      <sheetData sheetId="0"/>
      <sheetData sheetId="1"/>
      <sheetData sheetId="2">
        <row r="5">
          <cell r="A5" t="str">
            <v>001/2026</v>
          </cell>
          <cell r="B5" t="str">
            <v>PT KEMBANG KEMBAR GRUP</v>
          </cell>
        </row>
        <row r="6">
          <cell r="A6"/>
          <cell r="B6"/>
        </row>
        <row r="7">
          <cell r="A7"/>
          <cell r="B7"/>
        </row>
        <row r="8">
          <cell r="A8"/>
          <cell r="B8"/>
        </row>
        <row r="9">
          <cell r="A9"/>
          <cell r="B9"/>
        </row>
        <row r="10">
          <cell r="A10"/>
          <cell r="B10"/>
        </row>
        <row r="11">
          <cell r="A11"/>
          <cell r="B11"/>
        </row>
        <row r="12">
          <cell r="A12"/>
          <cell r="B12"/>
        </row>
        <row r="13">
          <cell r="A13"/>
          <cell r="B13"/>
        </row>
        <row r="14">
          <cell r="A14"/>
          <cell r="B14"/>
        </row>
        <row r="15">
          <cell r="A15"/>
          <cell r="B15"/>
        </row>
        <row r="16">
          <cell r="A16"/>
          <cell r="B16"/>
        </row>
        <row r="17">
          <cell r="A17"/>
          <cell r="B17"/>
        </row>
        <row r="18">
          <cell r="A18"/>
          <cell r="B18"/>
        </row>
        <row r="19">
          <cell r="A19"/>
          <cell r="B19"/>
        </row>
        <row r="20">
          <cell r="A20"/>
          <cell r="B20"/>
        </row>
        <row r="21">
          <cell r="A21"/>
          <cell r="B21"/>
        </row>
        <row r="22">
          <cell r="A22"/>
          <cell r="B22"/>
        </row>
        <row r="23">
          <cell r="A23"/>
          <cell r="B23"/>
        </row>
        <row r="24">
          <cell r="A24"/>
          <cell r="B24"/>
        </row>
        <row r="25">
          <cell r="A25"/>
          <cell r="B25"/>
        </row>
        <row r="26">
          <cell r="A26"/>
          <cell r="B26"/>
        </row>
        <row r="27">
          <cell r="A27"/>
          <cell r="B27"/>
        </row>
        <row r="28">
          <cell r="A28"/>
          <cell r="B28"/>
        </row>
        <row r="29">
          <cell r="A29"/>
          <cell r="B29"/>
        </row>
        <row r="30">
          <cell r="A30"/>
          <cell r="B30"/>
        </row>
        <row r="31">
          <cell r="A31"/>
          <cell r="B31"/>
        </row>
        <row r="32">
          <cell r="A32"/>
          <cell r="B32"/>
        </row>
        <row r="33">
          <cell r="A33"/>
          <cell r="B33"/>
        </row>
        <row r="34">
          <cell r="A34"/>
          <cell r="B34"/>
        </row>
        <row r="35">
          <cell r="A35"/>
          <cell r="B35"/>
        </row>
        <row r="36">
          <cell r="A36"/>
          <cell r="B36"/>
        </row>
        <row r="37">
          <cell r="A37"/>
          <cell r="B37"/>
        </row>
        <row r="38">
          <cell r="A38"/>
          <cell r="B38"/>
        </row>
        <row r="39">
          <cell r="A39"/>
          <cell r="B39"/>
        </row>
        <row r="40">
          <cell r="A40"/>
          <cell r="B40"/>
        </row>
        <row r="41">
          <cell r="A41"/>
          <cell r="B41"/>
        </row>
        <row r="42">
          <cell r="A42"/>
          <cell r="B42"/>
        </row>
        <row r="43">
          <cell r="A43"/>
          <cell r="B43"/>
        </row>
        <row r="44">
          <cell r="A44"/>
          <cell r="B44"/>
        </row>
        <row r="45">
          <cell r="A45"/>
          <cell r="B45"/>
        </row>
        <row r="46">
          <cell r="A46"/>
          <cell r="B46"/>
        </row>
        <row r="47">
          <cell r="A47"/>
          <cell r="B47"/>
        </row>
        <row r="48">
          <cell r="A48"/>
          <cell r="B48"/>
        </row>
        <row r="49">
          <cell r="A49"/>
          <cell r="B49"/>
        </row>
        <row r="50">
          <cell r="A50"/>
          <cell r="B50"/>
        </row>
        <row r="51">
          <cell r="A51"/>
          <cell r="B51"/>
        </row>
        <row r="52">
          <cell r="A52"/>
          <cell r="B52"/>
        </row>
        <row r="53">
          <cell r="A53"/>
          <cell r="B53"/>
        </row>
        <row r="54">
          <cell r="A54"/>
          <cell r="B54"/>
        </row>
        <row r="55">
          <cell r="A55"/>
          <cell r="B55"/>
        </row>
        <row r="56">
          <cell r="A56"/>
          <cell r="B56"/>
        </row>
        <row r="57">
          <cell r="A57"/>
          <cell r="B57"/>
        </row>
        <row r="58">
          <cell r="A58"/>
          <cell r="B58"/>
        </row>
        <row r="59">
          <cell r="A59"/>
          <cell r="B59"/>
        </row>
        <row r="60">
          <cell r="A60"/>
          <cell r="B60"/>
        </row>
        <row r="61">
          <cell r="A61"/>
          <cell r="B61"/>
        </row>
        <row r="62">
          <cell r="A62"/>
          <cell r="B62"/>
        </row>
        <row r="63">
          <cell r="A63"/>
          <cell r="B63"/>
        </row>
        <row r="64">
          <cell r="A64"/>
          <cell r="B64"/>
        </row>
        <row r="65">
          <cell r="A65"/>
          <cell r="B65"/>
        </row>
        <row r="66">
          <cell r="A66"/>
          <cell r="B66"/>
        </row>
        <row r="67">
          <cell r="A67"/>
          <cell r="B67"/>
        </row>
        <row r="68">
          <cell r="A68"/>
          <cell r="B68"/>
        </row>
        <row r="69">
          <cell r="A69"/>
          <cell r="B69"/>
        </row>
        <row r="70">
          <cell r="A70"/>
          <cell r="B70"/>
        </row>
        <row r="71">
          <cell r="A71"/>
          <cell r="B71"/>
        </row>
        <row r="72">
          <cell r="A72"/>
          <cell r="B72"/>
        </row>
        <row r="73">
          <cell r="A73"/>
          <cell r="B73"/>
        </row>
        <row r="74">
          <cell r="A74"/>
          <cell r="B74"/>
        </row>
        <row r="75">
          <cell r="A75"/>
          <cell r="B75"/>
        </row>
        <row r="76">
          <cell r="A76"/>
          <cell r="B76"/>
        </row>
        <row r="77">
          <cell r="A77"/>
          <cell r="B77"/>
        </row>
        <row r="78">
          <cell r="A78"/>
          <cell r="B78"/>
        </row>
        <row r="79">
          <cell r="A79"/>
          <cell r="B79"/>
        </row>
        <row r="80">
          <cell r="A80"/>
          <cell r="B80"/>
        </row>
        <row r="81">
          <cell r="A81"/>
          <cell r="B81"/>
        </row>
        <row r="82">
          <cell r="A82"/>
          <cell r="B82"/>
        </row>
        <row r="83">
          <cell r="A83"/>
          <cell r="B83"/>
        </row>
        <row r="84">
          <cell r="A84"/>
          <cell r="B84"/>
        </row>
        <row r="85">
          <cell r="A85"/>
          <cell r="B85"/>
        </row>
        <row r="86">
          <cell r="A86"/>
          <cell r="B86"/>
        </row>
        <row r="87">
          <cell r="A87"/>
          <cell r="B87"/>
        </row>
        <row r="88">
          <cell r="A88"/>
          <cell r="B88"/>
        </row>
        <row r="89">
          <cell r="A89"/>
          <cell r="B89"/>
        </row>
        <row r="90">
          <cell r="A90"/>
          <cell r="B90"/>
        </row>
        <row r="91">
          <cell r="A91"/>
          <cell r="B91"/>
        </row>
        <row r="92">
          <cell r="A92"/>
          <cell r="B92"/>
        </row>
        <row r="93">
          <cell r="A93"/>
          <cell r="B93"/>
        </row>
        <row r="94">
          <cell r="A94"/>
          <cell r="B94"/>
        </row>
        <row r="95">
          <cell r="A95"/>
          <cell r="B95"/>
        </row>
        <row r="96">
          <cell r="A96"/>
          <cell r="B96"/>
        </row>
        <row r="97">
          <cell r="A97"/>
          <cell r="B97"/>
        </row>
        <row r="98">
          <cell r="A98"/>
          <cell r="B98"/>
        </row>
        <row r="99">
          <cell r="A99"/>
          <cell r="B99"/>
        </row>
        <row r="100">
          <cell r="A100"/>
          <cell r="B100"/>
        </row>
        <row r="101">
          <cell r="A101"/>
          <cell r="B101"/>
        </row>
        <row r="102">
          <cell r="A102"/>
          <cell r="B102"/>
        </row>
        <row r="103">
          <cell r="A103"/>
          <cell r="B103"/>
        </row>
        <row r="104">
          <cell r="A104"/>
          <cell r="B104"/>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blPerkara" displayName="TblPerkara" ref="A4:R104" totalsRowShown="0">
  <tableColumns count="18">
    <tableColumn id="1" xr3:uid="{00000000-0010-0000-0000-000001000000}" name="Kode Perkara"/>
    <tableColumn id="2" xr3:uid="{00000000-0010-0000-0000-000002000000}" name="Nama Klien"/>
    <tableColumn id="3" xr3:uid="{00000000-0010-0000-0000-000003000000}" name="Nama / Jenis Penugasan"/>
    <tableColumn id="4" xr3:uid="{00000000-0010-0000-0000-000004000000}" name="Partner Penanggung Jawab"/>
    <tableColumn id="5" xr3:uid="{00000000-0010-0000-0000-000005000000}" name="Tanggal Mulai"/>
    <tableColumn id="6" xr3:uid="{00000000-0010-0000-0000-000006000000}" name="Status Perkara"/>
    <tableColumn id="7" xr3:uid="{00000000-0010-0000-0000-000007000000}" name="Nilai Kontrak Jasa"/>
    <tableColumn id="8" xr3:uid="{00000000-0010-0000-0000-000008000000}" name="Invoice Diterbitkan">
      <calculatedColumnFormula>IF(A5="","",SUMIFS(INVOICE_PIUTANG!$G$5:$G$151,INVOICE_PIUTANG!$D$5:$D$151,A5))</calculatedColumnFormula>
    </tableColumn>
    <tableColumn id="9" xr3:uid="{00000000-0010-0000-0000-000009000000}" name="Honorarium Diterima">
      <calculatedColumnFormula>IF(A5="","",SUMIFS(PEMASUKAN!$H$5:$H$204,PEMASUKAN!$D$5:$D$204,A5,PEMASUKAN!$M$5:$M$204,"Pendapatan Operasional"))</calculatedColumnFormula>
    </tableColumn>
    <tableColumn id="10" xr3:uid="{00000000-0010-0000-0000-00000A000000}" name="Sisa Nilai Kontrak"/>
    <tableColumn id="11" xr3:uid="{00000000-0010-0000-0000-00000B000000}" name="Biaya Beban Kantor"/>
    <tableColumn id="12" xr3:uid="{00000000-0010-0000-0000-00000C000000}" name="Biaya Dibebankan Klien"/>
    <tableColumn id="13" xr3:uid="{00000000-0010-0000-0000-00000D000000}" name="Reimburse dari Klien"/>
    <tableColumn id="14" xr3:uid="{00000000-0010-0000-0000-00000E000000}" name="Kontribusi Perkara"/>
    <tableColumn id="15" xr3:uid="{00000000-0010-0000-0000-00000F000000}" name="Margin Kontribusi"/>
    <tableColumn id="16" xr3:uid="{00000000-0010-0000-0000-000010000000}" name="Piutang Invoice"/>
    <tableColumn id="17" xr3:uid="{00000000-0010-0000-0000-000011000000}" name="Tanggal Review"/>
    <tableColumn id="18" xr3:uid="{00000000-0010-0000-0000-000012000000}" name="Catat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Pemasukan" displayName="TblPemasukan" ref="A4:Q204" totalsRowShown="0">
  <tableColumns count="17">
    <tableColumn id="1" xr3:uid="{00000000-0010-0000-0100-000001000000}" name="ID Pemasukan"/>
    <tableColumn id="2" xr3:uid="{00000000-0010-0000-0100-000002000000}" name="Tanggal Terima"/>
    <tableColumn id="3" xr3:uid="{00000000-0010-0000-0100-000003000000}" name="Periode"/>
    <tableColumn id="4" xr3:uid="{00000000-0010-0000-0100-000004000000}" name="Kode Perkara"/>
    <tableColumn id="5" xr3:uid="{00000000-0010-0000-0100-000005000000}" name="Nama Klien/Pembayar"/>
    <tableColumn id="6" xr3:uid="{00000000-0010-0000-0100-000006000000}" name="Jenis Pemasukan"/>
    <tableColumn id="7" xr3:uid="{00000000-0010-0000-0100-000007000000}" name="No. Invoice"/>
    <tableColumn id="8" xr3:uid="{00000000-0010-0000-0100-000008000000}" name="Nilai Bruto"/>
    <tableColumn id="9" xr3:uid="{00000000-0010-0000-0100-000009000000}" name="Pajak Dipotong Klien"/>
    <tableColumn id="10" xr3:uid="{00000000-0010-0000-0100-00000A000000}" name="Kas Bersih Diterima"/>
    <tableColumn id="11" xr3:uid="{00000000-0010-0000-0100-00000B000000}" name="Akun Penerima"/>
    <tableColumn id="12" xr3:uid="{00000000-0010-0000-0100-00000C000000}" name="Metode Bayar"/>
    <tableColumn id="13" xr3:uid="{00000000-0010-0000-0100-00000D000000}" name="Klasifikasi Akuntansi"/>
    <tableColumn id="14" xr3:uid="{00000000-0010-0000-0100-00000E000000}" name="Bukti Pembayaran"/>
    <tableColumn id="15" xr3:uid="{00000000-0010-0000-0100-00000F000000}" name="Status Bukti"/>
    <tableColumn id="16" xr3:uid="{00000000-0010-0000-0100-000010000000}" name="Dikonfirmasi Oleh"/>
    <tableColumn id="17" xr3:uid="{00000000-0010-0000-0100-000011000000}" name="Catat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blPengeluaran" displayName="TblPengeluaran" ref="A4:X204" totalsRowShown="0">
  <sortState xmlns:xlrd2="http://schemas.microsoft.com/office/spreadsheetml/2017/richdata2" ref="A5:X204">
    <sortCondition ref="B5:B204"/>
  </sortState>
  <tableColumns count="24">
    <tableColumn id="1" xr3:uid="{00000000-0010-0000-0200-000001000000}" name="ID Pengeluaran"/>
    <tableColumn id="2" xr3:uid="{00000000-0010-0000-0200-000002000000}" name="Tanggal"/>
    <tableColumn id="3" xr3:uid="{00000000-0010-0000-0200-000003000000}" name="Periode"/>
    <tableColumn id="4" xr3:uid="{00000000-0010-0000-0200-000004000000}" name="Kode Perkara"/>
    <tableColumn id="5" xr3:uid="{00000000-0010-0000-0200-000005000000}" name="Klien"/>
    <tableColumn id="6" xr3:uid="{00000000-0010-0000-0200-000006000000}" name="Uraian Pengeluaran"/>
    <tableColumn id="7" xr3:uid="{00000000-0010-0000-0200-000007000000}" name="Kategori"/>
    <tableColumn id="8" xr3:uid="{00000000-0010-0000-0200-000008000000}" name="Dibayar Oleh"/>
    <tableColumn id="9" xr3:uid="{00000000-0010-0000-0200-000009000000}" name="Sumber Dana / Akun"/>
    <tableColumn id="10" xr3:uid="{00000000-0010-0000-0200-00000A000000}" name="Metode Bayar"/>
    <tableColumn id="11" xr3:uid="{00000000-0010-0000-0200-00000B000000}" name="Nilai Pengeluaran"/>
    <tableColumn id="12" xr3:uid="{00000000-0010-0000-0200-00000C000000}" name="Dibebankan Kepada"/>
    <tableColumn id="13" xr3:uid="{00000000-0010-0000-0200-00000D000000}" name="Perlu Reimburse?"/>
    <tableColumn id="14" xr3:uid="{00000000-0010-0000-0200-00000E000000}" name="ID Klaim Reimburse"/>
    <tableColumn id="15" xr3:uid="{00000000-0010-0000-0200-00000F000000}" name="Status Bukti"/>
    <tableColumn id="16" xr3:uid="{00000000-0010-0000-0200-000010000000}" name="Nama/Link Bukti"/>
    <tableColumn id="17" xr3:uid="{00000000-0010-0000-0200-000011000000}" name="Status Persetujuan"/>
    <tableColumn id="18" xr3:uid="{00000000-0010-0000-0200-000012000000}" name="Nilai Disetujui"/>
    <tableColumn id="19" xr3:uid="{00000000-0010-0000-0200-000013000000}" name="Nilai Direimburse"/>
    <tableColumn id="20" xr3:uid="{00000000-0010-0000-0200-000014000000}" name="Sisa Reimburse"/>
    <tableColumn id="21" xr3:uid="{00000000-0010-0000-0200-000015000000}" name="Tanggal Reimburse"/>
    <tableColumn id="22" xr3:uid="{00000000-0010-0000-0200-000016000000}" name="Status Reimburse"/>
    <tableColumn id="23" xr3:uid="{00000000-0010-0000-0200-000017000000}" name="Dapat Ditagih Klien?"/>
    <tableColumn id="24" xr3:uid="{00000000-0010-0000-0200-000018000000}" name="Catat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blKasBank" displayName="TblKasBank" ref="A4:Q10" totalsRowShown="0" dataDxfId="67">
  <tableColumns count="17">
    <tableColumn id="1" xr3:uid="{00000000-0010-0000-0600-000001000000}" name="Akun Kas / Bank" dataDxfId="66"/>
    <tableColumn id="2" xr3:uid="{00000000-0010-0000-0600-000002000000}" name="Saldo Awal" dataDxfId="65"/>
    <tableColumn id="3" xr3:uid="{00000000-0010-0000-0600-000003000000}" name="Seluruh Pemasukan" dataDxfId="64"/>
    <tableColumn id="4" xr3:uid="{00000000-0010-0000-0600-000004000000}" name="Pengeluaran Langsung" dataDxfId="63"/>
    <tableColumn id="5" xr3:uid="{00000000-0010-0000-0600-000005000000}" name="Gaji Bersih Dibayar" dataDxfId="62"/>
    <tableColumn id="6" xr3:uid="{00000000-0010-0000-0600-000006000000}" name="Reimburse Dibayar" dataDxfId="61"/>
    <tableColumn id="7" xr3:uid="{00000000-0010-0000-0600-000007000000}" name="Dana Klien Keluar" dataDxfId="60"/>
    <tableColumn id="8" xr3:uid="{00000000-0010-0000-0600-000008000000}" name="Distribusi Partner" dataDxfId="59"/>
    <tableColumn id="9" xr3:uid="{00000000-0010-0000-0600-000009000000}" name="Pembayaran Kewajiban" dataDxfId="58"/>
    <tableColumn id="10" xr3:uid="{00000000-0010-0000-0600-00000A000000}" name="Transfer Masuk" dataDxfId="57"/>
    <tableColumn id="11" xr3:uid="{00000000-0010-0000-0600-00000B000000}" name="Transfer Keluar" dataDxfId="56"/>
    <tableColumn id="12" xr3:uid="{00000000-0010-0000-0600-00000C000000}" name="Saldo Menurut Buku" dataDxfId="55"/>
    <tableColumn id="13" xr3:uid="{00000000-0010-0000-0600-00000D000000}" name="Saldo Fisik / Rekening" dataDxfId="54"/>
    <tableColumn id="14" xr3:uid="{00000000-0010-0000-0600-00000E000000}" name="Selisih Rekonsiliasi" dataDxfId="53"/>
    <tableColumn id="15" xr3:uid="{00000000-0010-0000-0600-00000F000000}" name="Status" dataDxfId="52"/>
    <tableColumn id="16" xr3:uid="{00000000-0010-0000-0600-000010000000}" name="Tanggal Rekonsiliasi" dataDxfId="51"/>
    <tableColumn id="17" xr3:uid="{00000000-0010-0000-0600-000011000000}" name="Catatan" dataDxfId="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blGaji" displayName="TblGaji" ref="A4:W124" totalsRowShown="0">
  <tableColumns count="23">
    <tableColumn id="1" xr3:uid="{00000000-0010-0000-0300-000001000000}" name="ID Payroll"/>
    <tableColumn id="2" xr3:uid="{00000000-0010-0000-0300-000002000000}" name="Periode Gaji"/>
    <tableColumn id="3" xr3:uid="{00000000-0010-0000-0300-000003000000}" name="Nama Pegawai"/>
    <tableColumn id="4" xr3:uid="{00000000-0010-0000-0300-000004000000}" name="Jabatan"/>
    <tableColumn id="5" xr3:uid="{00000000-0010-0000-0300-000005000000}" name="Jenis Pegawai"/>
    <tableColumn id="6" xr3:uid="{00000000-0010-0000-0300-000006000000}" name="Gaji Pokok"/>
    <tableColumn id="7" xr3:uid="{00000000-0010-0000-0300-000007000000}" name="Tunjangan Tetap"/>
    <tableColumn id="8" xr3:uid="{00000000-0010-0000-0300-000008000000}" name="Transport/Makan"/>
    <tableColumn id="9" xr3:uid="{00000000-0010-0000-0300-000009000000}" name="Lembur"/>
    <tableColumn id="10" xr3:uid="{00000000-0010-0000-0300-00000A000000}" name="Bonus/Insentif"/>
    <tableColumn id="11" xr3:uid="{00000000-0010-0000-0300-00000B000000}" name="Penghasilan Bruto"/>
    <tableColumn id="12" xr3:uid="{00000000-0010-0000-0300-00000C000000}" name="PPh 21 Dipotong"/>
    <tableColumn id="13" xr3:uid="{00000000-0010-0000-0300-00000D000000}" name="BPJS Bagian Pegawai"/>
    <tableColumn id="14" xr3:uid="{00000000-0010-0000-0300-00000E000000}" name="Potongan Lain"/>
    <tableColumn id="15" xr3:uid="{00000000-0010-0000-0300-00000F000000}" name="BPJS Bagian Kantor"/>
    <tableColumn id="16" xr3:uid="{00000000-0010-0000-0300-000010000000}" name="Gaji Bersih Dibayar"/>
    <tableColumn id="17" xr3:uid="{00000000-0010-0000-0300-000011000000}" name="Total Beban Kantor"/>
    <tableColumn id="18" xr3:uid="{00000000-0010-0000-0300-000012000000}" name="Status Pembayaran"/>
    <tableColumn id="19" xr3:uid="{00000000-0010-0000-0300-000013000000}" name="Tanggal Bayar"/>
    <tableColumn id="20" xr3:uid="{00000000-0010-0000-0300-000014000000}" name="Akun Pembayaran"/>
    <tableColumn id="21" xr3:uid="{00000000-0010-0000-0300-000015000000}" name="Bukti Pembayaran"/>
    <tableColumn id="22" xr3:uid="{00000000-0010-0000-0300-000016000000}" name="Disetujui Oleh"/>
    <tableColumn id="23" xr3:uid="{00000000-0010-0000-0300-000017000000}" name="Catata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Reimburse" displayName="TblReimburse" ref="A4:R124" totalsRowShown="0">
  <tableColumns count="18">
    <tableColumn id="1" xr3:uid="{00000000-0010-0000-0400-000001000000}" name="ID Klaim"/>
    <tableColumn id="2" xr3:uid="{00000000-0010-0000-0400-000002000000}" name="Tanggal Pengajuan"/>
    <tableColumn id="3" xr3:uid="{00000000-0010-0000-0400-000003000000}" name="Pemohon"/>
    <tableColumn id="4" xr3:uid="{00000000-0010-0000-0400-000004000000}" name="Periode Mulai"/>
    <tableColumn id="5" xr3:uid="{00000000-0010-0000-0400-000005000000}" name="Periode Selesai"/>
    <tableColumn id="6" xr3:uid="{00000000-0010-0000-0400-000006000000}" name="Kode Perkara"/>
    <tableColumn id="7" xr3:uid="{00000000-0010-0000-0400-000007000000}" name="Klien"/>
    <tableColumn id="8" xr3:uid="{00000000-0010-0000-0400-000008000000}" name="Total Diajukan"/>
    <tableColumn id="9" xr3:uid="{00000000-0010-0000-0400-000009000000}" name="Total Disetujui"/>
    <tableColumn id="10" xr3:uid="{00000000-0010-0000-0400-00000A000000}" name="Total Dibayar"/>
    <tableColumn id="11" xr3:uid="{00000000-0010-0000-0400-00000B000000}" name="Sisa Klaim"/>
    <tableColumn id="12" xr3:uid="{00000000-0010-0000-0400-00000C000000}" name="Status Klaim"/>
    <tableColumn id="13" xr3:uid="{00000000-0010-0000-0400-00000D000000}" name="Disetujui Oleh"/>
    <tableColumn id="14" xr3:uid="{00000000-0010-0000-0400-00000E000000}" name="Tanggal Pembayaran"/>
    <tableColumn id="15" xr3:uid="{00000000-0010-0000-0400-00000F000000}" name="Akun Pembayaran"/>
    <tableColumn id="16" xr3:uid="{00000000-0010-0000-0400-000010000000}" name="Rekening Penerima"/>
    <tableColumn id="17" xr3:uid="{00000000-0010-0000-0400-000011000000}" name="Bukti Transfer"/>
    <tableColumn id="18" xr3:uid="{00000000-0010-0000-0400-000012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blInvoice" displayName="TblInvoice" ref="A4:R151" totalsRowShown="0">
  <tableColumns count="18">
    <tableColumn id="1" xr3:uid="{00000000-0010-0000-0500-000001000000}" name="No. Invoice"/>
    <tableColumn id="2" xr3:uid="{00000000-0010-0000-0500-000002000000}" name="Tanggal Invoice"/>
    <tableColumn id="3" xr3:uid="{00000000-0010-0000-0500-000003000000}" name="Jatuh Tempo"/>
    <tableColumn id="4" xr3:uid="{00000000-0010-0000-0500-000004000000}" name="Kode Perkara"/>
    <tableColumn id="5" xr3:uid="{00000000-0010-0000-0500-000005000000}" name="Nama Klien"/>
    <tableColumn id="6" xr3:uid="{00000000-0010-0000-0500-000006000000}" name="Jenis Tagihan"/>
    <tableColumn id="7" xr3:uid="{00000000-0010-0000-0500-000007000000}" name="Nilai Jasa Hukum"/>
    <tableColumn id="8" xr3:uid="{00000000-0010-0000-0500-000008000000}" name="Nilai Reimburse"/>
    <tableColumn id="9" xr3:uid="{00000000-0010-0000-0500-000009000000}" name="Pajak/Komponen Lain"/>
    <tableColumn id="10" xr3:uid="{00000000-0010-0000-0500-00000A000000}" name="Total Invoice"/>
    <tableColumn id="11" xr3:uid="{00000000-0010-0000-0500-00000B000000}" name="Penerimaan Tercatat"/>
    <tableColumn id="12" xr3:uid="{00000000-0010-0000-0500-00000C000000}" name="Sisa Piutang"/>
    <tableColumn id="13" xr3:uid="{00000000-0010-0000-0500-00000D000000}" name="Hari Lewat Jatuh Tempo"/>
    <tableColumn id="14" xr3:uid="{00000000-0010-0000-0500-00000E000000}" name="Status Tagihan"/>
    <tableColumn id="15" xr3:uid="{00000000-0010-0000-0500-00000F000000}" name="PIC Penagihan"/>
    <tableColumn id="16" xr3:uid="{00000000-0010-0000-0500-000010000000}" name="Tanggal Follow-up"/>
    <tableColumn id="17" xr3:uid="{00000000-0010-0000-0500-000011000000}" name="Kontak Klien"/>
    <tableColumn id="18" xr3:uid="{00000000-0010-0000-0500-000012000000}" name="Catata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blDanaKlien" displayName="TblDanaKlien" ref="A4:O154" totalsRowShown="0">
  <tableColumns count="15">
    <tableColumn id="1" xr3:uid="{00000000-0010-0000-0700-000001000000}" name="ID Mutasi Dana"/>
    <tableColumn id="2" xr3:uid="{00000000-0010-0000-0700-000002000000}" name="Tanggal"/>
    <tableColumn id="3" xr3:uid="{00000000-0010-0000-0700-000003000000}" name="Nama Klien"/>
    <tableColumn id="4" xr3:uid="{00000000-0010-0000-0700-000004000000}" name="Kode Perkara"/>
    <tableColumn id="5" xr3:uid="{00000000-0010-0000-0700-000005000000}" name="Jenis Mutasi"/>
    <tableColumn id="6" xr3:uid="{00000000-0010-0000-0700-000006000000}" name="Uraian / Tujuan"/>
    <tableColumn id="7" xr3:uid="{00000000-0010-0000-0700-000007000000}" name="Dana Masuk"/>
    <tableColumn id="8" xr3:uid="{00000000-0010-0000-0700-000008000000}" name="Dana Keluar"/>
    <tableColumn id="9" xr3:uid="{00000000-0010-0000-0700-000009000000}" name="Saldo Klien Berjalan"/>
    <tableColumn id="10" xr3:uid="{00000000-0010-0000-0700-00000A000000}" name="Akun Dana Klien"/>
    <tableColumn id="11" xr3:uid="{00000000-0010-0000-0700-00000B000000}" name="Bukti Transaksi"/>
    <tableColumn id="12" xr3:uid="{00000000-0010-0000-0700-00000C000000}" name="Status Persetujuan"/>
    <tableColumn id="13" xr3:uid="{00000000-0010-0000-0700-00000D000000}" name="Disetujui Oleh"/>
    <tableColumn id="14" xr3:uid="{00000000-0010-0000-0700-00000E000000}" name="No. Referensi"/>
    <tableColumn id="15" xr3:uid="{00000000-0010-0000-0700-00000F000000}" name="Catata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blPartner" displayName="TblPartner" ref="A4:P124" totalsRowShown="0">
  <tableColumns count="16">
    <tableColumn id="1" xr3:uid="{00000000-0010-0000-0800-000001000000}" name="ID Transaksi Partner"/>
    <tableColumn id="2" xr3:uid="{00000000-0010-0000-0800-000002000000}" name="Tanggal"/>
    <tableColumn id="3" xr3:uid="{00000000-0010-0000-0800-000003000000}" name="Periode"/>
    <tableColumn id="4" xr3:uid="{00000000-0010-0000-0800-000004000000}" name="Nama Partner"/>
    <tableColumn id="5" xr3:uid="{00000000-0010-0000-0800-000005000000}" name="Jenis Transaksi"/>
    <tableColumn id="6" xr3:uid="{00000000-0010-0000-0800-000006000000}" name="Kode Perkara"/>
    <tableColumn id="7" xr3:uid="{00000000-0010-0000-0800-000007000000}" name="Dasar / Keterangan"/>
    <tableColumn id="8" xr3:uid="{00000000-0010-0000-0800-000008000000}" name="Hak / Penambahan"/>
    <tableColumn id="9" xr3:uid="{00000000-0010-0000-0800-000009000000}" name="Pembayaran / Penarikan"/>
    <tableColumn id="10" xr3:uid="{00000000-0010-0000-0800-00000A000000}" name="Saldo Hak Berjalan"/>
    <tableColumn id="11" xr3:uid="{00000000-0010-0000-0800-00000B000000}" name="Tanggal Pembayaran"/>
    <tableColumn id="12" xr3:uid="{00000000-0010-0000-0800-00000C000000}" name="Akun Pembayaran"/>
    <tableColumn id="13" xr3:uid="{00000000-0010-0000-0800-00000D000000}" name="Status Persetujuan"/>
    <tableColumn id="14" xr3:uid="{00000000-0010-0000-0800-00000E000000}" name="Disetujui Oleh"/>
    <tableColumn id="15" xr3:uid="{00000000-0010-0000-0800-00000F000000}" name="Bukti / Referensi"/>
    <tableColumn id="16" xr3:uid="{00000000-0010-0000-0800-000010000000}" name="Catata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blAnggaran" displayName="TblAnggaran" ref="A4:J124" totalsRowShown="0">
  <tableColumns count="10">
    <tableColumn id="1" xr3:uid="{00000000-0010-0000-0900-000001000000}" name="Periode"/>
    <tableColumn id="2" xr3:uid="{00000000-0010-0000-0900-000002000000}" name="Kategori Anggaran"/>
    <tableColumn id="3" xr3:uid="{00000000-0010-0000-0900-000003000000}" name="Anggaran Bulanan"/>
    <tableColumn id="4" xr3:uid="{00000000-0010-0000-0900-000004000000}" name="Realisasi"/>
    <tableColumn id="5" xr3:uid="{00000000-0010-0000-0900-000005000000}" name="Selisih Anggaran"/>
    <tableColumn id="6" xr3:uid="{00000000-0010-0000-0900-000006000000}" name="Pemakaian Anggaran"/>
    <tableColumn id="7" xr3:uid="{00000000-0010-0000-0900-000007000000}" name="Status"/>
    <tableColumn id="8" xr3:uid="{00000000-0010-0000-0900-000008000000}" name="Penanggung Jawab"/>
    <tableColumn id="9" xr3:uid="{00000000-0010-0000-0900-000009000000}" name="Prioritas"/>
    <tableColumn id="10" xr3:uid="{00000000-0010-0000-0900-00000A000000}" name="Catata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A000000}" name="TblKewajiban" displayName="TblKewajiban" ref="A4:O124" totalsRowShown="0">
  <tableColumns count="15">
    <tableColumn id="1" xr3:uid="{00000000-0010-0000-0A00-000001000000}" name="ID Kewajiban"/>
    <tableColumn id="2" xr3:uid="{00000000-0010-0000-0A00-000002000000}" name="Periode"/>
    <tableColumn id="3" xr3:uid="{00000000-0010-0000-0A00-000003000000}" name="Jenis Kewajiban"/>
    <tableColumn id="4" xr3:uid="{00000000-0010-0000-0A00-000004000000}" name="Penerima / Instansi"/>
    <tableColumn id="5" xr3:uid="{00000000-0010-0000-0A00-000005000000}" name="Nilai Terutang"/>
    <tableColumn id="6" xr3:uid="{00000000-0010-0000-0A00-000006000000}" name="Nilai Sudah Dibayar"/>
    <tableColumn id="7" xr3:uid="{00000000-0010-0000-0A00-000007000000}" name="Sisa Kewajiban"/>
    <tableColumn id="8" xr3:uid="{00000000-0010-0000-0A00-000008000000}" name="Jatuh Tempo"/>
    <tableColumn id="9" xr3:uid="{00000000-0010-0000-0A00-000009000000}" name="Tanggal Pembayaran"/>
    <tableColumn id="10" xr3:uid="{00000000-0010-0000-0A00-00000A000000}" name="Akun Pembayaran"/>
    <tableColumn id="11" xr3:uid="{00000000-0010-0000-0A00-00000B000000}" name="Status"/>
    <tableColumn id="12" xr3:uid="{00000000-0010-0000-0A00-00000C000000}" name="No. Bukti / NTPN"/>
    <tableColumn id="13" xr3:uid="{00000000-0010-0000-0A00-00000D000000}" name="Penanggung Jawab"/>
    <tableColumn id="14" xr3:uid="{00000000-0010-0000-0A00-00000E000000}" name="Terkait Payroll / Invoice"/>
    <tableColumn id="15" xr3:uid="{00000000-0010-0000-0A00-00000F000000}" name="Catata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showGridLines="0" workbookViewId="0">
      <selection sqref="A1:I2"/>
    </sheetView>
  </sheetViews>
  <sheetFormatPr defaultRowHeight="13.8"/>
  <cols>
    <col min="1" max="1" width="27" customWidth="1"/>
    <col min="2" max="2" width="39" customWidth="1"/>
    <col min="3" max="3" width="87" customWidth="1"/>
    <col min="4" max="9" width="3" customWidth="1"/>
  </cols>
  <sheetData>
    <row r="1" spans="1:9" ht="25.05" customHeight="1">
      <c r="A1" s="237" t="s">
        <v>0</v>
      </c>
      <c r="B1" s="237" t="s">
        <v>0</v>
      </c>
      <c r="C1" s="237" t="s">
        <v>0</v>
      </c>
      <c r="D1" s="237" t="s">
        <v>0</v>
      </c>
      <c r="E1" s="237" t="s">
        <v>0</v>
      </c>
      <c r="F1" s="237" t="s">
        <v>0</v>
      </c>
      <c r="G1" s="237" t="s">
        <v>0</v>
      </c>
      <c r="H1" s="237" t="s">
        <v>0</v>
      </c>
      <c r="I1" s="237" t="s">
        <v>0</v>
      </c>
    </row>
    <row r="2" spans="1:9" ht="25.05" customHeight="1">
      <c r="A2" s="237" t="s">
        <v>0</v>
      </c>
      <c r="B2" s="237" t="s">
        <v>0</v>
      </c>
      <c r="C2" s="237" t="s">
        <v>0</v>
      </c>
      <c r="D2" s="237" t="s">
        <v>0</v>
      </c>
      <c r="E2" s="237" t="s">
        <v>0</v>
      </c>
      <c r="F2" s="237" t="s">
        <v>0</v>
      </c>
      <c r="G2" s="237" t="s">
        <v>0</v>
      </c>
      <c r="H2" s="237" t="s">
        <v>0</v>
      </c>
      <c r="I2" s="237" t="s">
        <v>0</v>
      </c>
    </row>
    <row r="3" spans="1:9" ht="22.95" customHeight="1">
      <c r="A3" s="236" t="s">
        <v>1</v>
      </c>
      <c r="B3" s="236" t="s">
        <v>1</v>
      </c>
      <c r="C3" s="236" t="s">
        <v>1</v>
      </c>
      <c r="D3" s="236" t="s">
        <v>1</v>
      </c>
      <c r="E3" s="236" t="s">
        <v>1</v>
      </c>
      <c r="F3" s="236" t="s">
        <v>1</v>
      </c>
      <c r="G3" s="236" t="s">
        <v>1</v>
      </c>
      <c r="H3" s="236" t="s">
        <v>1</v>
      </c>
      <c r="I3" s="236" t="s">
        <v>1</v>
      </c>
    </row>
    <row r="5" spans="1:9" ht="25.05" customHeight="1">
      <c r="A5" s="241" t="s">
        <v>2</v>
      </c>
      <c r="B5" s="241" t="s">
        <v>2</v>
      </c>
      <c r="C5" s="241" t="s">
        <v>2</v>
      </c>
      <c r="D5" s="241" t="s">
        <v>2</v>
      </c>
      <c r="E5" s="241" t="s">
        <v>2</v>
      </c>
      <c r="F5" s="241" t="s">
        <v>2</v>
      </c>
      <c r="G5" s="241" t="s">
        <v>2</v>
      </c>
      <c r="H5" s="241" t="s">
        <v>2</v>
      </c>
      <c r="I5" s="241" t="s">
        <v>2</v>
      </c>
    </row>
    <row r="6" spans="1:9" ht="37.049999999999997" customHeight="1">
      <c r="A6" s="7" t="s">
        <v>3</v>
      </c>
      <c r="B6" s="7" t="s">
        <v>4</v>
      </c>
      <c r="C6" s="7" t="s">
        <v>5</v>
      </c>
    </row>
    <row r="7" spans="1:9" ht="34.950000000000003" customHeight="1">
      <c r="A7" s="25" t="s">
        <v>6</v>
      </c>
      <c r="B7" s="26" t="s">
        <v>7</v>
      </c>
      <c r="C7" s="27" t="s">
        <v>8</v>
      </c>
    </row>
    <row r="8" spans="1:9" ht="31.95" customHeight="1">
      <c r="A8" s="25" t="s">
        <v>9</v>
      </c>
      <c r="B8" s="26" t="s">
        <v>10</v>
      </c>
      <c r="C8" s="27" t="s">
        <v>11</v>
      </c>
      <c r="D8" s="21"/>
      <c r="E8" s="21"/>
      <c r="F8" s="21"/>
      <c r="G8" s="21"/>
      <c r="H8" s="21"/>
      <c r="I8" s="21"/>
    </row>
    <row r="9" spans="1:9" ht="34.950000000000003" customHeight="1">
      <c r="A9" s="25" t="s">
        <v>12</v>
      </c>
      <c r="B9" s="26" t="s">
        <v>13</v>
      </c>
      <c r="C9" s="27" t="s">
        <v>14</v>
      </c>
    </row>
    <row r="10" spans="1:9" ht="34.950000000000003" customHeight="1">
      <c r="A10" s="25" t="s">
        <v>15</v>
      </c>
      <c r="B10" s="26" t="s">
        <v>16</v>
      </c>
      <c r="C10" s="27" t="s">
        <v>17</v>
      </c>
    </row>
    <row r="11" spans="1:9" ht="34.950000000000003" customHeight="1">
      <c r="A11" s="25" t="s">
        <v>18</v>
      </c>
      <c r="B11" s="26" t="s">
        <v>19</v>
      </c>
      <c r="C11" s="27" t="s">
        <v>20</v>
      </c>
    </row>
    <row r="12" spans="1:9" ht="34.950000000000003" customHeight="1">
      <c r="A12" s="25" t="s">
        <v>21</v>
      </c>
      <c r="B12" s="26" t="s">
        <v>22</v>
      </c>
      <c r="C12" s="27" t="s">
        <v>23</v>
      </c>
    </row>
    <row r="13" spans="1:9" ht="34.950000000000003" customHeight="1">
      <c r="A13" s="25" t="s">
        <v>24</v>
      </c>
      <c r="B13" s="26" t="s">
        <v>25</v>
      </c>
      <c r="C13" s="27" t="s">
        <v>26</v>
      </c>
    </row>
    <row r="14" spans="1:9" ht="34.950000000000003" customHeight="1">
      <c r="A14" s="25" t="s">
        <v>27</v>
      </c>
      <c r="B14" s="26" t="s">
        <v>28</v>
      </c>
      <c r="C14" s="27" t="s">
        <v>29</v>
      </c>
    </row>
    <row r="15" spans="1:9" ht="34.950000000000003" customHeight="1">
      <c r="A15" s="25" t="s">
        <v>30</v>
      </c>
      <c r="B15" s="26" t="s">
        <v>31</v>
      </c>
      <c r="C15" s="27" t="s">
        <v>32</v>
      </c>
    </row>
    <row r="16" spans="1:9" ht="34.950000000000003" customHeight="1">
      <c r="A16" s="25" t="s">
        <v>33</v>
      </c>
      <c r="B16" s="26" t="s">
        <v>34</v>
      </c>
      <c r="C16" s="27" t="s">
        <v>35</v>
      </c>
    </row>
    <row r="17" spans="1:9" ht="34.950000000000003" customHeight="1">
      <c r="A17" s="25" t="s">
        <v>36</v>
      </c>
      <c r="B17" s="26" t="s">
        <v>37</v>
      </c>
      <c r="C17" s="27" t="s">
        <v>38</v>
      </c>
    </row>
    <row r="18" spans="1:9" ht="34.950000000000003" customHeight="1">
      <c r="A18" s="25" t="s">
        <v>39</v>
      </c>
      <c r="B18" s="26" t="s">
        <v>40</v>
      </c>
      <c r="C18" s="28" t="s">
        <v>41</v>
      </c>
    </row>
    <row r="21" spans="1:9" ht="25.05" customHeight="1">
      <c r="A21" s="241" t="s">
        <v>42</v>
      </c>
      <c r="B21" s="241" t="s">
        <v>42</v>
      </c>
      <c r="C21" s="241" t="s">
        <v>42</v>
      </c>
      <c r="D21" s="241" t="s">
        <v>42</v>
      </c>
      <c r="E21" s="241" t="s">
        <v>42</v>
      </c>
      <c r="F21" s="241" t="s">
        <v>42</v>
      </c>
      <c r="G21" s="241" t="s">
        <v>42</v>
      </c>
      <c r="H21" s="241" t="s">
        <v>42</v>
      </c>
      <c r="I21" s="241" t="s">
        <v>42</v>
      </c>
    </row>
    <row r="22" spans="1:9" ht="42.6" customHeight="1">
      <c r="A22" s="48" t="s">
        <v>43</v>
      </c>
      <c r="B22" s="49" t="s">
        <v>44</v>
      </c>
    </row>
    <row r="23" spans="1:9" ht="51.6" customHeight="1">
      <c r="A23" s="48" t="s">
        <v>45</v>
      </c>
      <c r="B23" s="49" t="s">
        <v>46</v>
      </c>
    </row>
    <row r="24" spans="1:9" ht="45" customHeight="1">
      <c r="A24" s="48" t="s">
        <v>47</v>
      </c>
      <c r="B24" s="49" t="s">
        <v>48</v>
      </c>
    </row>
    <row r="25" spans="1:9" ht="46.2" customHeight="1">
      <c r="A25" s="48" t="s">
        <v>49</v>
      </c>
      <c r="B25" s="50" t="s">
        <v>50</v>
      </c>
    </row>
    <row r="28" spans="1:9" ht="25.05" customHeight="1">
      <c r="A28" s="241" t="s">
        <v>51</v>
      </c>
      <c r="B28" s="241" t="s">
        <v>51</v>
      </c>
      <c r="C28" s="241" t="s">
        <v>51</v>
      </c>
      <c r="D28" s="241" t="s">
        <v>51</v>
      </c>
      <c r="E28" s="241" t="s">
        <v>51</v>
      </c>
      <c r="F28" s="241" t="s">
        <v>51</v>
      </c>
      <c r="G28" s="241" t="s">
        <v>51</v>
      </c>
      <c r="H28" s="241" t="s">
        <v>51</v>
      </c>
      <c r="I28" s="241" t="s">
        <v>51</v>
      </c>
    </row>
    <row r="29" spans="1:9" ht="25.95" customHeight="1">
      <c r="A29" s="5" t="s">
        <v>52</v>
      </c>
      <c r="B29" t="s">
        <v>53</v>
      </c>
    </row>
    <row r="30" spans="1:9" ht="25.95" customHeight="1">
      <c r="A30" s="8" t="s">
        <v>54</v>
      </c>
      <c r="B30" t="s">
        <v>55</v>
      </c>
    </row>
    <row r="31" spans="1:9" ht="25.95" customHeight="1">
      <c r="A31" s="29" t="s">
        <v>56</v>
      </c>
      <c r="B31" t="s">
        <v>57</v>
      </c>
    </row>
    <row r="32" spans="1:9" ht="25.95" customHeight="1">
      <c r="A32" t="s">
        <v>58</v>
      </c>
      <c r="B32" t="s">
        <v>59</v>
      </c>
    </row>
    <row r="34" spans="1:9">
      <c r="A34" s="238" t="s">
        <v>464</v>
      </c>
      <c r="B34" s="238"/>
      <c r="C34" s="238"/>
      <c r="D34" s="238"/>
      <c r="E34" s="238"/>
      <c r="F34" s="238"/>
      <c r="G34" s="238"/>
      <c r="H34" s="238"/>
      <c r="I34" s="238"/>
    </row>
    <row r="35" spans="1:9">
      <c r="A35" t="s">
        <v>6</v>
      </c>
      <c r="B35" t="s">
        <v>465</v>
      </c>
      <c r="C35" s="21" t="s">
        <v>466</v>
      </c>
    </row>
    <row r="36" spans="1:9" ht="27.6">
      <c r="A36" t="s">
        <v>9</v>
      </c>
      <c r="B36" t="s">
        <v>467</v>
      </c>
      <c r="C36" s="21" t="s">
        <v>468</v>
      </c>
    </row>
    <row r="37" spans="1:9" ht="27.6">
      <c r="A37" t="s">
        <v>12</v>
      </c>
      <c r="B37" t="s">
        <v>469</v>
      </c>
      <c r="C37" s="21" t="s">
        <v>470</v>
      </c>
    </row>
    <row r="38" spans="1:9">
      <c r="A38" t="s">
        <v>15</v>
      </c>
      <c r="B38" t="s">
        <v>471</v>
      </c>
      <c r="C38" s="21" t="s">
        <v>472</v>
      </c>
    </row>
    <row r="39" spans="1:9">
      <c r="A39" t="s">
        <v>18</v>
      </c>
      <c r="B39" t="s">
        <v>473</v>
      </c>
      <c r="C39" s="21" t="s">
        <v>474</v>
      </c>
    </row>
    <row r="40" spans="1:9" ht="27.6">
      <c r="A40" t="s">
        <v>21</v>
      </c>
      <c r="B40" t="s">
        <v>475</v>
      </c>
      <c r="C40" s="21" t="s">
        <v>476</v>
      </c>
    </row>
    <row r="42" spans="1:9" ht="34.950000000000003" customHeight="1">
      <c r="A42" s="239" t="s">
        <v>477</v>
      </c>
      <c r="B42" s="239"/>
      <c r="C42" s="239"/>
      <c r="D42" s="239"/>
      <c r="E42" s="239"/>
      <c r="F42" s="239"/>
      <c r="G42" s="239"/>
      <c r="H42" s="239"/>
      <c r="I42" s="239"/>
    </row>
    <row r="43" spans="1:9" ht="28.05" customHeight="1">
      <c r="A43" t="s">
        <v>24</v>
      </c>
      <c r="B43" t="s">
        <v>478</v>
      </c>
      <c r="C43" s="21" t="s">
        <v>479</v>
      </c>
    </row>
    <row r="44" spans="1:9" ht="28.05" customHeight="1">
      <c r="A44" t="s">
        <v>27</v>
      </c>
      <c r="B44" t="s">
        <v>480</v>
      </c>
      <c r="C44" s="21" t="s">
        <v>481</v>
      </c>
    </row>
    <row r="45" spans="1:9" ht="28.05" customHeight="1">
      <c r="A45" t="s">
        <v>30</v>
      </c>
      <c r="B45" t="s">
        <v>482</v>
      </c>
      <c r="C45" s="21" t="s">
        <v>483</v>
      </c>
    </row>
    <row r="46" spans="1:9" ht="28.05" customHeight="1">
      <c r="A46" t="s">
        <v>33</v>
      </c>
      <c r="B46" t="s">
        <v>484</v>
      </c>
      <c r="C46" s="21" t="s">
        <v>485</v>
      </c>
    </row>
    <row r="47" spans="1:9" ht="28.05" customHeight="1">
      <c r="A47" t="s">
        <v>36</v>
      </c>
      <c r="B47" t="s">
        <v>486</v>
      </c>
      <c r="C47" s="21" t="s">
        <v>487</v>
      </c>
    </row>
    <row r="48" spans="1:9" ht="28.05" customHeight="1">
      <c r="A48" t="s">
        <v>39</v>
      </c>
      <c r="B48" t="s">
        <v>488</v>
      </c>
      <c r="C48" s="21" t="s">
        <v>489</v>
      </c>
    </row>
    <row r="49" spans="1:9" ht="28.05" customHeight="1">
      <c r="A49" t="s">
        <v>490</v>
      </c>
      <c r="B49" t="s">
        <v>491</v>
      </c>
      <c r="C49" s="21" t="s">
        <v>492</v>
      </c>
    </row>
    <row r="51" spans="1:9" ht="33" customHeight="1">
      <c r="A51" s="240" t="s">
        <v>493</v>
      </c>
      <c r="B51" s="240"/>
      <c r="C51" s="240"/>
      <c r="D51" s="240"/>
      <c r="E51" s="240"/>
      <c r="F51" s="240"/>
      <c r="G51" s="240"/>
      <c r="H51" s="240"/>
      <c r="I51" s="240"/>
    </row>
    <row r="52" spans="1:9" ht="30" customHeight="1">
      <c r="A52" t="s">
        <v>494</v>
      </c>
      <c r="B52" t="s">
        <v>495</v>
      </c>
      <c r="C52" s="21" t="s">
        <v>496</v>
      </c>
    </row>
    <row r="53" spans="1:9" ht="30" customHeight="1">
      <c r="A53" t="s">
        <v>497</v>
      </c>
      <c r="B53" t="s">
        <v>488</v>
      </c>
      <c r="C53" s="21" t="s">
        <v>498</v>
      </c>
    </row>
    <row r="54" spans="1:9" ht="30" customHeight="1">
      <c r="A54" t="s">
        <v>499</v>
      </c>
      <c r="B54" t="s">
        <v>500</v>
      </c>
      <c r="C54" s="21" t="s">
        <v>501</v>
      </c>
    </row>
    <row r="55" spans="1:9" ht="30" customHeight="1">
      <c r="A55" t="s">
        <v>502</v>
      </c>
      <c r="B55" t="s">
        <v>465</v>
      </c>
      <c r="C55" s="21" t="s">
        <v>503</v>
      </c>
    </row>
    <row r="56" spans="1:9" ht="30" customHeight="1">
      <c r="A56" t="s">
        <v>504</v>
      </c>
      <c r="B56" t="s">
        <v>505</v>
      </c>
      <c r="C56" s="21" t="s">
        <v>506</v>
      </c>
    </row>
    <row r="57" spans="1:9" ht="30" customHeight="1">
      <c r="A57" t="s">
        <v>507</v>
      </c>
      <c r="B57" t="s">
        <v>508</v>
      </c>
      <c r="C57" s="21" t="s">
        <v>509</v>
      </c>
    </row>
  </sheetData>
  <mergeCells count="8">
    <mergeCell ref="A1:I2"/>
    <mergeCell ref="A34:I34"/>
    <mergeCell ref="A42:I42"/>
    <mergeCell ref="A51:I51"/>
    <mergeCell ref="A3:I3"/>
    <mergeCell ref="A5:I5"/>
    <mergeCell ref="A21:I21"/>
    <mergeCell ref="A28:I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83"/>
  <sheetViews>
    <sheetView showGridLines="0" zoomScale="60" zoomScaleNormal="60" workbookViewId="0">
      <selection activeCell="G7" sqref="G7:J8"/>
    </sheetView>
  </sheetViews>
  <sheetFormatPr defaultRowHeight="13.8"/>
  <cols>
    <col min="1" max="1" width="12" customWidth="1"/>
    <col min="2" max="6" width="19" customWidth="1"/>
    <col min="7" max="7" width="20" customWidth="1"/>
    <col min="8" max="8" width="21" customWidth="1"/>
    <col min="9" max="9" width="19" customWidth="1"/>
    <col min="10" max="12" width="21" customWidth="1"/>
    <col min="13" max="13" width="19" customWidth="1"/>
    <col min="14" max="14" width="17" customWidth="1"/>
  </cols>
  <sheetData>
    <row r="1" spans="1:14" ht="24" customHeight="1">
      <c r="A1" s="251" t="s">
        <v>510</v>
      </c>
      <c r="B1" s="251" t="s">
        <v>510</v>
      </c>
      <c r="C1" s="251" t="s">
        <v>510</v>
      </c>
      <c r="D1" s="251" t="s">
        <v>510</v>
      </c>
      <c r="E1" s="251" t="s">
        <v>510</v>
      </c>
      <c r="F1" s="251" t="s">
        <v>510</v>
      </c>
      <c r="G1" s="251" t="s">
        <v>510</v>
      </c>
      <c r="H1" s="251" t="s">
        <v>510</v>
      </c>
      <c r="I1" s="251" t="s">
        <v>510</v>
      </c>
      <c r="J1" s="251" t="s">
        <v>510</v>
      </c>
      <c r="K1" s="251" t="s">
        <v>510</v>
      </c>
      <c r="L1" s="251" t="s">
        <v>510</v>
      </c>
      <c r="M1" s="251" t="s">
        <v>510</v>
      </c>
      <c r="N1" s="251" t="s">
        <v>510</v>
      </c>
    </row>
    <row r="2" spans="1:14" ht="24" customHeight="1">
      <c r="A2" s="252" t="s">
        <v>510</v>
      </c>
      <c r="B2" s="252" t="s">
        <v>510</v>
      </c>
      <c r="C2" s="252" t="s">
        <v>510</v>
      </c>
      <c r="D2" s="252" t="s">
        <v>510</v>
      </c>
      <c r="E2" s="252" t="s">
        <v>510</v>
      </c>
      <c r="F2" s="252" t="s">
        <v>510</v>
      </c>
      <c r="G2" s="252" t="s">
        <v>510</v>
      </c>
      <c r="H2" s="252" t="s">
        <v>510</v>
      </c>
      <c r="I2" s="252" t="s">
        <v>510</v>
      </c>
      <c r="J2" s="252" t="s">
        <v>510</v>
      </c>
      <c r="K2" s="252" t="s">
        <v>510</v>
      </c>
      <c r="L2" s="252" t="s">
        <v>510</v>
      </c>
      <c r="M2" s="252" t="s">
        <v>510</v>
      </c>
      <c r="N2" s="252" t="s">
        <v>510</v>
      </c>
    </row>
    <row r="3" spans="1:14" ht="22.05" customHeight="1">
      <c r="A3" s="253" t="s">
        <v>511</v>
      </c>
      <c r="B3" s="253" t="s">
        <v>511</v>
      </c>
      <c r="C3" s="253" t="s">
        <v>511</v>
      </c>
      <c r="D3" s="253" t="s">
        <v>511</v>
      </c>
      <c r="E3" s="253" t="s">
        <v>511</v>
      </c>
      <c r="F3" s="253" t="s">
        <v>511</v>
      </c>
      <c r="G3" s="253" t="s">
        <v>511</v>
      </c>
      <c r="H3" s="253" t="s">
        <v>511</v>
      </c>
      <c r="I3" s="253" t="s">
        <v>511</v>
      </c>
      <c r="J3" s="253" t="s">
        <v>511</v>
      </c>
      <c r="K3" s="253" t="s">
        <v>511</v>
      </c>
      <c r="L3" s="253" t="s">
        <v>511</v>
      </c>
      <c r="M3" s="253" t="s">
        <v>511</v>
      </c>
      <c r="N3" s="253" t="s">
        <v>511</v>
      </c>
    </row>
    <row r="4" spans="1:14" ht="25.95" customHeight="1">
      <c r="A4" s="150" t="s">
        <v>211</v>
      </c>
      <c r="B4" s="151">
        <f>MASTER!$AF$7</f>
        <v>2026</v>
      </c>
      <c r="C4" s="150"/>
      <c r="D4" s="150" t="s">
        <v>512</v>
      </c>
      <c r="E4" s="254" t="str">
        <f ca="1">CHOOSE(MASTER!$AF$15,"Januari","Februari","Maret","April","Mei","Juni","Juli","Agustus","September","Oktober","November","Desember")</f>
        <v>Agustus</v>
      </c>
      <c r="F4" s="255"/>
      <c r="G4" s="150"/>
      <c r="H4" s="256" t="str">
        <f ca="1">KONTROL!A68</f>
        <v>PERIKSA — ADA TEMUAN KRITIS / TINGGI</v>
      </c>
      <c r="I4" s="256"/>
      <c r="J4" s="256"/>
      <c r="K4" s="256"/>
      <c r="L4" s="256"/>
      <c r="M4" s="256"/>
      <c r="N4" s="256"/>
    </row>
    <row r="5" spans="1:14" ht="7.95" customHeight="1">
      <c r="A5" s="149"/>
      <c r="B5" s="149"/>
      <c r="C5" s="149"/>
      <c r="D5" s="149"/>
      <c r="E5" s="149"/>
      <c r="F5" s="149"/>
      <c r="G5" s="149"/>
      <c r="H5" s="149"/>
      <c r="I5" s="149"/>
      <c r="J5" s="149"/>
      <c r="K5" s="149"/>
      <c r="L5" s="149"/>
      <c r="M5" s="149"/>
      <c r="N5" s="149"/>
    </row>
    <row r="6" spans="1:14" ht="25.05" customHeight="1">
      <c r="A6" s="242" t="s">
        <v>513</v>
      </c>
      <c r="B6" s="243" t="s">
        <v>513</v>
      </c>
      <c r="C6" s="244" t="s">
        <v>513</v>
      </c>
      <c r="D6" s="242" t="s">
        <v>285</v>
      </c>
      <c r="E6" s="243" t="s">
        <v>285</v>
      </c>
      <c r="F6" s="244" t="s">
        <v>285</v>
      </c>
      <c r="G6" s="242" t="s">
        <v>296</v>
      </c>
      <c r="H6" s="243" t="s">
        <v>296</v>
      </c>
      <c r="I6" s="243" t="s">
        <v>296</v>
      </c>
      <c r="J6" s="244" t="s">
        <v>296</v>
      </c>
      <c r="K6" s="242" t="s">
        <v>514</v>
      </c>
      <c r="L6" s="243" t="s">
        <v>514</v>
      </c>
      <c r="M6" s="243" t="s">
        <v>514</v>
      </c>
      <c r="N6" s="244" t="s">
        <v>514</v>
      </c>
    </row>
    <row r="7" spans="1:14" ht="22.05" customHeight="1">
      <c r="A7" s="245">
        <f>LABA_RUGI!N7</f>
        <v>0</v>
      </c>
      <c r="B7" s="246"/>
      <c r="C7" s="247"/>
      <c r="D7" s="245">
        <f>LABA_RUGI!N14</f>
        <v>0</v>
      </c>
      <c r="E7" s="246"/>
      <c r="F7" s="247"/>
      <c r="G7" s="245">
        <f>LABA_RUGI!N26</f>
        <v>0</v>
      </c>
      <c r="H7" s="246"/>
      <c r="I7" s="246"/>
      <c r="J7" s="247"/>
      <c r="K7" s="245">
        <f>SUM(INVOICE_PIUTANG!$L$5:$L$151)</f>
        <v>33500000</v>
      </c>
      <c r="L7" s="246"/>
      <c r="M7" s="246"/>
      <c r="N7" s="247"/>
    </row>
    <row r="8" spans="1:14" ht="22.05" customHeight="1">
      <c r="A8" s="248"/>
      <c r="B8" s="249"/>
      <c r="C8" s="250"/>
      <c r="D8" s="248"/>
      <c r="E8" s="249"/>
      <c r="F8" s="250"/>
      <c r="G8" s="248"/>
      <c r="H8" s="249"/>
      <c r="I8" s="249"/>
      <c r="J8" s="250"/>
      <c r="K8" s="248"/>
      <c r="L8" s="249"/>
      <c r="M8" s="249"/>
      <c r="N8" s="250"/>
    </row>
    <row r="9" spans="1:14" ht="7.95" customHeight="1">
      <c r="A9" s="149"/>
      <c r="B9" s="149"/>
      <c r="C9" s="149"/>
      <c r="D9" s="149"/>
      <c r="E9" s="149"/>
      <c r="F9" s="149"/>
      <c r="G9" s="149"/>
      <c r="H9" s="149"/>
      <c r="I9" s="149"/>
      <c r="J9" s="149"/>
      <c r="K9" s="149"/>
      <c r="L9" s="149"/>
      <c r="M9" s="149"/>
      <c r="N9" s="149"/>
    </row>
    <row r="10" spans="1:14" ht="25.05" customHeight="1">
      <c r="A10" s="242" t="s">
        <v>515</v>
      </c>
      <c r="B10" s="243" t="s">
        <v>515</v>
      </c>
      <c r="C10" s="244" t="s">
        <v>515</v>
      </c>
      <c r="D10" s="242" t="s">
        <v>310</v>
      </c>
      <c r="E10" s="243" t="s">
        <v>310</v>
      </c>
      <c r="F10" s="244" t="s">
        <v>310</v>
      </c>
      <c r="G10" s="242" t="s">
        <v>516</v>
      </c>
      <c r="H10" s="243" t="s">
        <v>516</v>
      </c>
      <c r="I10" s="243" t="s">
        <v>516</v>
      </c>
      <c r="J10" s="244" t="s">
        <v>516</v>
      </c>
      <c r="K10" s="242" t="s">
        <v>517</v>
      </c>
      <c r="L10" s="243" t="s">
        <v>517</v>
      </c>
      <c r="M10" s="243" t="s">
        <v>517</v>
      </c>
      <c r="N10" s="244" t="s">
        <v>517</v>
      </c>
    </row>
    <row r="11" spans="1:14" ht="22.05" customHeight="1">
      <c r="A11" s="245">
        <f>NERACA!E6</f>
        <v>2904092</v>
      </c>
      <c r="B11" s="246"/>
      <c r="C11" s="247"/>
      <c r="D11" s="245">
        <f>SUM(DANA_KLIEN!$G$5:$G$154)-SUM(DANA_KLIEN!$H$5:$H$154)</f>
        <v>0</v>
      </c>
      <c r="E11" s="246"/>
      <c r="F11" s="247"/>
      <c r="G11" s="245">
        <f>TALANGAN_PARTNER!I9</f>
        <v>1000000</v>
      </c>
      <c r="H11" s="246"/>
      <c r="I11" s="246"/>
      <c r="J11" s="247"/>
      <c r="K11" s="245">
        <f>SUM(KEWAJIBAN!$G$5:$G$124)</f>
        <v>3000000</v>
      </c>
      <c r="L11" s="246"/>
      <c r="M11" s="246"/>
      <c r="N11" s="247"/>
    </row>
    <row r="12" spans="1:14" ht="22.05" customHeight="1">
      <c r="A12" s="248"/>
      <c r="B12" s="249"/>
      <c r="C12" s="250"/>
      <c r="D12" s="248"/>
      <c r="E12" s="249"/>
      <c r="F12" s="250"/>
      <c r="G12" s="248"/>
      <c r="H12" s="249"/>
      <c r="I12" s="249"/>
      <c r="J12" s="250"/>
      <c r="K12" s="248"/>
      <c r="L12" s="249"/>
      <c r="M12" s="249"/>
      <c r="N12" s="250"/>
    </row>
    <row r="13" spans="1:14" ht="7.95" customHeight="1">
      <c r="A13" s="149"/>
      <c r="B13" s="149"/>
      <c r="C13" s="149"/>
      <c r="D13" s="149"/>
      <c r="E13" s="149"/>
      <c r="F13" s="149"/>
      <c r="G13" s="149"/>
      <c r="H13" s="149"/>
      <c r="I13" s="149"/>
      <c r="J13" s="149"/>
      <c r="K13" s="149"/>
      <c r="L13" s="149"/>
      <c r="M13" s="149"/>
      <c r="N13" s="149"/>
    </row>
    <row r="14" spans="1:14" ht="7.95" customHeight="1">
      <c r="A14" s="149"/>
      <c r="B14" s="149"/>
      <c r="C14" s="149"/>
      <c r="D14" s="149"/>
      <c r="E14" s="149"/>
      <c r="F14" s="149"/>
      <c r="G14" s="149"/>
      <c r="H14" s="149"/>
      <c r="I14" s="149"/>
      <c r="J14" s="149"/>
      <c r="K14" s="149"/>
      <c r="L14" s="149"/>
      <c r="M14" s="149"/>
      <c r="N14" s="149"/>
    </row>
    <row r="15" spans="1:14" ht="22.95" customHeight="1">
      <c r="A15" s="257" t="s">
        <v>518</v>
      </c>
      <c r="B15" s="258" t="s">
        <v>518</v>
      </c>
      <c r="C15" s="258" t="s">
        <v>518</v>
      </c>
      <c r="D15" s="258" t="s">
        <v>518</v>
      </c>
      <c r="E15" s="258" t="s">
        <v>518</v>
      </c>
      <c r="F15" s="258" t="s">
        <v>518</v>
      </c>
      <c r="G15" s="258" t="s">
        <v>518</v>
      </c>
      <c r="H15" s="258" t="s">
        <v>518</v>
      </c>
      <c r="I15" s="258" t="s">
        <v>518</v>
      </c>
      <c r="J15" s="258" t="s">
        <v>518</v>
      </c>
      <c r="K15" s="258" t="s">
        <v>518</v>
      </c>
      <c r="L15" s="258" t="s">
        <v>518</v>
      </c>
      <c r="M15" s="258" t="s">
        <v>518</v>
      </c>
      <c r="N15" s="258" t="s">
        <v>518</v>
      </c>
    </row>
    <row r="16" spans="1:14" ht="42" customHeight="1">
      <c r="A16" s="153" t="s">
        <v>519</v>
      </c>
      <c r="B16" s="153" t="s">
        <v>520</v>
      </c>
      <c r="C16" s="153" t="s">
        <v>521</v>
      </c>
      <c r="D16" s="153" t="s">
        <v>522</v>
      </c>
      <c r="E16" s="153" t="s">
        <v>523</v>
      </c>
      <c r="F16" s="153" t="s">
        <v>524</v>
      </c>
      <c r="G16" s="153" t="s">
        <v>525</v>
      </c>
      <c r="H16" s="153" t="s">
        <v>526</v>
      </c>
      <c r="I16" s="153" t="s">
        <v>172</v>
      </c>
      <c r="J16" s="153" t="s">
        <v>527</v>
      </c>
      <c r="K16" s="153" t="s">
        <v>528</v>
      </c>
      <c r="L16" s="153" t="s">
        <v>529</v>
      </c>
      <c r="M16" s="153" t="s">
        <v>530</v>
      </c>
      <c r="N16" s="153" t="s">
        <v>531</v>
      </c>
    </row>
    <row r="17" spans="1:14" ht="21" customHeight="1">
      <c r="A17" s="155" t="s">
        <v>231</v>
      </c>
      <c r="B17" s="156">
        <f ca="1">IF(ROW()-16&gt;MASTER!$AF$15,"",SUMIFS(PEMASUKAN!$H$5:$H$204,PEMASUKAN!$C$5:$C$204,TEXT(DATE($B$4,ROW()-16,1),"yyyy-mm"),PEMASUKAN!$M$5:$M$204,"Pendapatan Operasional"))</f>
        <v>0</v>
      </c>
      <c r="C17" s="156">
        <f ca="1">IF(ROW()-16&gt;MASTER!$AF$15,"",SUMIFS(PENGELUARAN!$K$5:$K$204,PENGELUARAN!$C$5:$C$204,TEXT(DATE($B$4,ROW()-16,1),"yyyy-mm"),PENGELUARAN!$L$5:$L$204,"Kantor")+SUMIFS(GAJI!$Q$5:$Q$124,GAJI!$B$5:$B$124,"&gt;="&amp;DATE($B$4,ROW()-16,1),GAJI!$B$5:$B$124,"&lt;"&amp;DATE($B$4,ROW()-15,1)))</f>
        <v>0</v>
      </c>
      <c r="D17" s="156">
        <f ca="1">IF(ROW()-16&gt;MASTER!$AF$15,"",B17-C17)</f>
        <v>0</v>
      </c>
      <c r="E17" s="156">
        <f ca="1">IF(ROW()-16&gt;MASTER!$AF$15,"",SUM($D$17:D17))</f>
        <v>0</v>
      </c>
      <c r="F17" s="156">
        <f ca="1">IF(ROW()-16&gt;MASTER!$AF$15,"",IF(ROW()=17,SUMIFS(KAS_BANK!$B$5:$B$10,KAS_BANK!$A$5:$A$10,"&lt;&gt;Bank Dana Klien")+MAX(-KAS_BANK!$B$7,0)+MAX(-KAS_BANK!$B$8,0)+MAX(-KAS_BANK!$B$9,0),M16))</f>
        <v>0</v>
      </c>
      <c r="G17" s="156">
        <f ca="1">IF(ROW()-16&gt;MASTER!$AF$15,"",SUMIFS(PEMASUKAN!$J$5:$J$204,PEMASUKAN!$C$5:$C$204,TEXT(DATE($B$4,ROW()-16,1),"yyyy-mm"),PEMASUKAN!$M$5:$M$204,"Pendapatan Operasional")+SUMIFS(PEMASUKAN!$J$5:$J$204,PEMASUKAN!$C$5:$C$204,TEXT(DATE($B$4,ROW()-16,1),"yyyy-mm"),PEMASUKAN!$M$5:$M$204,"Penggantian Biaya"))</f>
        <v>0</v>
      </c>
      <c r="H17"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7" s="156">
        <f ca="1">IF(ROW()-16&gt;MASTER!$AF$15,"",SUMIFS(REIMBURSE!$J$5:$J$124,REIMBURSE!$N$5:$N$124,"&gt;="&amp;DATE($B$4,ROW()-16,1),REIMBURSE!$N$5:$N$124,"&lt;"&amp;DATE($B$4,ROW()-15,1)))</f>
        <v>0</v>
      </c>
      <c r="J17" s="157">
        <f ca="1">IF(ROW()-16&gt;MASTER!$AF$15,"",SUMIFS(PARTNER!$I$5:$I$124,PARTNER!$E$5:$E$124,MASTER!$Y$7,PARTNER!$V$5:$V$124,"&gt;="&amp;DATE($B$4,ROW()-16,1),PARTNER!$V$5:$V$124,"&lt;"&amp;DATE($B$4,ROW()-15,1))+SUMIFS(PARTNER!$I$5:$I$124,PARTNER!$E$5:$E$124,MASTER!$Y$8,PARTNER!$V$5:$V$124,"&gt;="&amp;DATE($B$4,ROW()-16,1),PARTNER!$V$5:$V$124,"&lt;"&amp;DATE($B$4,ROW()-15,1)))</f>
        <v>0</v>
      </c>
      <c r="K17" s="157">
        <f ca="1">IF(ROW()-16&gt;MASTER!$AF$15,"",SUMIFS(PARTNER!$I$5:$I$124,PARTNER!$E$5:$E$124,MASTER!$Y$9,PARTNER!$V$5:$V$124,"&gt;="&amp;DATE($B$4,ROW()-16,1),PARTNER!$V$5:$V$124,"&lt;"&amp;DATE($B$4,ROW()-15,1)))</f>
        <v>0</v>
      </c>
      <c r="L17" s="156" cm="1">
        <f t="array" aca="1" ref="L17" ca="1">IF(ROW()-16&gt;MASTER!$AF$15,"",INDEX(ARUS_KAS!$B$24:$M$24,1,ROW()-16)+INDEX(ARUS_KAS!$B$26:$M$26,1,ROW()-16)+INDEX(ARUS_KAS!$B$28:$M$28,1,ROW()-16))</f>
        <v>0</v>
      </c>
      <c r="M17" s="157" cm="1">
        <f t="array" aca="1" ref="M17" ca="1">IF(ROW()-16&gt;MASTER!$AF$15,"",F17+INDEX(ARUS_KAS!$B$8:$M$8,1,ROW()-16)+INDEX(ARUS_KAS!$B$9:$M$9,1,ROW()-16)-INDEX(ARUS_KAS!$B$12:$M$12,1,ROW()-16)-INDEX(ARUS_KAS!$B$13:$M$13,1,ROW()-16)-INDEX(ARUS_KAS!$B$14:$M$14,1,ROW()-16)-INDEX(ARUS_KAS!$B$15:$M$15,1,ROW()-16)+INDEX(ARUS_KAS!$B$24:$M$24,1,ROW()-16)-INDEX(ARUS_KAS!$B$25:$M$25,1,ROW()-16)+INDEX(ARUS_KAS!$B$26:$M$26,1,ROW()-16)+INDEX(ARUS_KAS!$B$28:$M$28,1,ROW()-16))</f>
        <v>0</v>
      </c>
      <c r="N17" s="157">
        <f ca="1">IF(ROW()-16&gt;MASTER!$AF$15,"",ABS(F17+G17-H17-I17-J17-K17+L17-M17))</f>
        <v>0</v>
      </c>
    </row>
    <row r="18" spans="1:14" ht="21" customHeight="1">
      <c r="A18" s="158" t="s">
        <v>232</v>
      </c>
      <c r="B18" s="156">
        <f ca="1">IF(ROW()-16&gt;MASTER!$AF$15,"",SUMIFS(PEMASUKAN!$H$5:$H$204,PEMASUKAN!$C$5:$C$204,TEXT(DATE($B$4,ROW()-16,1),"yyyy-mm"),PEMASUKAN!$M$5:$M$204,"Pendapatan Operasional"))</f>
        <v>0</v>
      </c>
      <c r="C18" s="156">
        <f ca="1">IF(ROW()-16&gt;MASTER!$AF$15,"",SUMIFS(PENGELUARAN!$K$5:$K$204,PENGELUARAN!$C$5:$C$204,TEXT(DATE($B$4,ROW()-16,1),"yyyy-mm"),PENGELUARAN!$L$5:$L$204,"Kantor")+SUMIFS(GAJI!$Q$5:$Q$124,GAJI!$B$5:$B$124,"&gt;="&amp;DATE($B$4,ROW()-16,1),GAJI!$B$5:$B$124,"&lt;"&amp;DATE($B$4,ROW()-15,1)))</f>
        <v>0</v>
      </c>
      <c r="D18" s="156">
        <f ca="1">IF(ROW()-16&gt;MASTER!$AF$15,"",B18-C18)</f>
        <v>0</v>
      </c>
      <c r="E18" s="156">
        <f ca="1">IF(ROW()-16&gt;MASTER!$AF$15,"",SUM($D$17:D18))</f>
        <v>0</v>
      </c>
      <c r="F18" s="156">
        <f ca="1">IF(ROW()-16&gt;MASTER!$AF$15,"",IF(ROW()=17,SUMIFS(KAS_BANK!$B$5:$B$10,KAS_BANK!$A$5:$A$10,"&lt;&gt;Bank Dana Klien")+MAX(-KAS_BANK!$B$7,0)+MAX(-KAS_BANK!$B$8,0)+MAX(-KAS_BANK!$B$9,0),M17))</f>
        <v>0</v>
      </c>
      <c r="G18" s="156">
        <f ca="1">IF(ROW()-16&gt;MASTER!$AF$15,"",SUMIFS(PEMASUKAN!$J$5:$J$204,PEMASUKAN!$C$5:$C$204,TEXT(DATE($B$4,ROW()-16,1),"yyyy-mm"),PEMASUKAN!$M$5:$M$204,"Pendapatan Operasional")+SUMIFS(PEMASUKAN!$J$5:$J$204,PEMASUKAN!$C$5:$C$204,TEXT(DATE($B$4,ROW()-16,1),"yyyy-mm"),PEMASUKAN!$M$5:$M$204,"Penggantian Biaya"))</f>
        <v>0</v>
      </c>
      <c r="H18"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8" s="156">
        <f ca="1">IF(ROW()-16&gt;MASTER!$AF$15,"",SUMIFS(REIMBURSE!$J$5:$J$124,REIMBURSE!$N$5:$N$124,"&gt;="&amp;DATE($B$4,ROW()-16,1),REIMBURSE!$N$5:$N$124,"&lt;"&amp;DATE($B$4,ROW()-15,1)))</f>
        <v>0</v>
      </c>
      <c r="J18" s="157">
        <f ca="1">IF(ROW()-16&gt;MASTER!$AF$15,"",SUMIFS(PARTNER!$I$5:$I$124,PARTNER!$E$5:$E$124,MASTER!$Y$7,PARTNER!$V$5:$V$124,"&gt;="&amp;DATE($B$4,ROW()-16,1),PARTNER!$V$5:$V$124,"&lt;"&amp;DATE($B$4,ROW()-15,1))+SUMIFS(PARTNER!$I$5:$I$124,PARTNER!$E$5:$E$124,MASTER!$Y$8,PARTNER!$V$5:$V$124,"&gt;="&amp;DATE($B$4,ROW()-16,1),PARTNER!$V$5:$V$124,"&lt;"&amp;DATE($B$4,ROW()-15,1)))</f>
        <v>0</v>
      </c>
      <c r="K18" s="157">
        <f ca="1">IF(ROW()-16&gt;MASTER!$AF$15,"",SUMIFS(PARTNER!$I$5:$I$124,PARTNER!$E$5:$E$124,MASTER!$Y$9,PARTNER!$V$5:$V$124,"&gt;="&amp;DATE($B$4,ROW()-16,1),PARTNER!$V$5:$V$124,"&lt;"&amp;DATE($B$4,ROW()-15,1)))</f>
        <v>0</v>
      </c>
      <c r="L18" s="156" cm="1">
        <f t="array" aca="1" ref="L18" ca="1">IF(ROW()-16&gt;MASTER!$AF$15,"",INDEX(ARUS_KAS!$B$24:$M$24,1,ROW()-16)+INDEX(ARUS_KAS!$B$26:$M$26,1,ROW()-16)+INDEX(ARUS_KAS!$B$28:$M$28,1,ROW()-16))</f>
        <v>0</v>
      </c>
      <c r="M18" s="157" cm="1">
        <f t="array" aca="1" ref="M18" ca="1">IF(ROW()-16&gt;MASTER!$AF$15,"",F18+INDEX(ARUS_KAS!$B$8:$M$8,1,ROW()-16)+INDEX(ARUS_KAS!$B$9:$M$9,1,ROW()-16)-INDEX(ARUS_KAS!$B$12:$M$12,1,ROW()-16)-INDEX(ARUS_KAS!$B$13:$M$13,1,ROW()-16)-INDEX(ARUS_KAS!$B$14:$M$14,1,ROW()-16)-INDEX(ARUS_KAS!$B$15:$M$15,1,ROW()-16)+INDEX(ARUS_KAS!$B$24:$M$24,1,ROW()-16)-INDEX(ARUS_KAS!$B$25:$M$25,1,ROW()-16)+INDEX(ARUS_KAS!$B$26:$M$26,1,ROW()-16)+INDEX(ARUS_KAS!$B$28:$M$28,1,ROW()-16))</f>
        <v>0</v>
      </c>
      <c r="N18" s="157">
        <f ca="1">IF(ROW()-16&gt;MASTER!$AF$15,"",ABS(F18+G18-H18-I18-J18-K18+L18-M18))</f>
        <v>0</v>
      </c>
    </row>
    <row r="19" spans="1:14" ht="21" customHeight="1">
      <c r="A19" s="155" t="s">
        <v>233</v>
      </c>
      <c r="B19" s="156">
        <f ca="1">IF(ROW()-16&gt;MASTER!$AF$15,"",SUMIFS(PEMASUKAN!$H$5:$H$204,PEMASUKAN!$C$5:$C$204,TEXT(DATE($B$4,ROW()-16,1),"yyyy-mm"),PEMASUKAN!$M$5:$M$204,"Pendapatan Operasional"))</f>
        <v>0</v>
      </c>
      <c r="C19" s="156">
        <f ca="1">IF(ROW()-16&gt;MASTER!$AF$15,"",SUMIFS(PENGELUARAN!$K$5:$K$204,PENGELUARAN!$C$5:$C$204,TEXT(DATE($B$4,ROW()-16,1),"yyyy-mm"),PENGELUARAN!$L$5:$L$204,"Kantor")+SUMIFS(GAJI!$Q$5:$Q$124,GAJI!$B$5:$B$124,"&gt;="&amp;DATE($B$4,ROW()-16,1),GAJI!$B$5:$B$124,"&lt;"&amp;DATE($B$4,ROW()-15,1)))</f>
        <v>0</v>
      </c>
      <c r="D19" s="156">
        <f ca="1">IF(ROW()-16&gt;MASTER!$AF$15,"",B19-C19)</f>
        <v>0</v>
      </c>
      <c r="E19" s="156">
        <f ca="1">IF(ROW()-16&gt;MASTER!$AF$15,"",SUM($D$17:D19))</f>
        <v>0</v>
      </c>
      <c r="F19" s="156">
        <f ca="1">IF(ROW()-16&gt;MASTER!$AF$15,"",IF(ROW()=17,SUMIFS(KAS_BANK!$B$5:$B$10,KAS_BANK!$A$5:$A$10,"&lt;&gt;Bank Dana Klien")+MAX(-KAS_BANK!$B$7,0)+MAX(-KAS_BANK!$B$8,0)+MAX(-KAS_BANK!$B$9,0),M18))</f>
        <v>0</v>
      </c>
      <c r="G19" s="156">
        <f ca="1">IF(ROW()-16&gt;MASTER!$AF$15,"",SUMIFS(PEMASUKAN!$J$5:$J$204,PEMASUKAN!$C$5:$C$204,TEXT(DATE($B$4,ROW()-16,1),"yyyy-mm"),PEMASUKAN!$M$5:$M$204,"Pendapatan Operasional")+SUMIFS(PEMASUKAN!$J$5:$J$204,PEMASUKAN!$C$5:$C$204,TEXT(DATE($B$4,ROW()-16,1),"yyyy-mm"),PEMASUKAN!$M$5:$M$204,"Penggantian Biaya"))</f>
        <v>0</v>
      </c>
      <c r="H19"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9" s="156">
        <f ca="1">IF(ROW()-16&gt;MASTER!$AF$15,"",SUMIFS(REIMBURSE!$J$5:$J$124,REIMBURSE!$N$5:$N$124,"&gt;="&amp;DATE($B$4,ROW()-16,1),REIMBURSE!$N$5:$N$124,"&lt;"&amp;DATE($B$4,ROW()-15,1)))</f>
        <v>0</v>
      </c>
      <c r="J19" s="157">
        <f ca="1">IF(ROW()-16&gt;MASTER!$AF$15,"",SUMIFS(PARTNER!$I$5:$I$124,PARTNER!$E$5:$E$124,MASTER!$Y$7,PARTNER!$V$5:$V$124,"&gt;="&amp;DATE($B$4,ROW()-16,1),PARTNER!$V$5:$V$124,"&lt;"&amp;DATE($B$4,ROW()-15,1))+SUMIFS(PARTNER!$I$5:$I$124,PARTNER!$E$5:$E$124,MASTER!$Y$8,PARTNER!$V$5:$V$124,"&gt;="&amp;DATE($B$4,ROW()-16,1),PARTNER!$V$5:$V$124,"&lt;"&amp;DATE($B$4,ROW()-15,1)))</f>
        <v>0</v>
      </c>
      <c r="K19" s="157">
        <f ca="1">IF(ROW()-16&gt;MASTER!$AF$15,"",SUMIFS(PARTNER!$I$5:$I$124,PARTNER!$E$5:$E$124,MASTER!$Y$9,PARTNER!$V$5:$V$124,"&gt;="&amp;DATE($B$4,ROW()-16,1),PARTNER!$V$5:$V$124,"&lt;"&amp;DATE($B$4,ROW()-15,1)))</f>
        <v>0</v>
      </c>
      <c r="L19" s="156" cm="1">
        <f t="array" aca="1" ref="L19" ca="1">IF(ROW()-16&gt;MASTER!$AF$15,"",INDEX(ARUS_KAS!$B$24:$M$24,1,ROW()-16)+INDEX(ARUS_KAS!$B$26:$M$26,1,ROW()-16)+INDEX(ARUS_KAS!$B$28:$M$28,1,ROW()-16))</f>
        <v>0</v>
      </c>
      <c r="M19" s="157" cm="1">
        <f t="array" aca="1" ref="M19" ca="1">IF(ROW()-16&gt;MASTER!$AF$15,"",F19+INDEX(ARUS_KAS!$B$8:$M$8,1,ROW()-16)+INDEX(ARUS_KAS!$B$9:$M$9,1,ROW()-16)-INDEX(ARUS_KAS!$B$12:$M$12,1,ROW()-16)-INDEX(ARUS_KAS!$B$13:$M$13,1,ROW()-16)-INDEX(ARUS_KAS!$B$14:$M$14,1,ROW()-16)-INDEX(ARUS_KAS!$B$15:$M$15,1,ROW()-16)+INDEX(ARUS_KAS!$B$24:$M$24,1,ROW()-16)-INDEX(ARUS_KAS!$B$25:$M$25,1,ROW()-16)+INDEX(ARUS_KAS!$B$26:$M$26,1,ROW()-16)+INDEX(ARUS_KAS!$B$28:$M$28,1,ROW()-16))</f>
        <v>0</v>
      </c>
      <c r="N19" s="157">
        <f ca="1">IF(ROW()-16&gt;MASTER!$AF$15,"",ABS(F19+G19-H19-I19-J19-K19+L19-M19))</f>
        <v>0</v>
      </c>
    </row>
    <row r="20" spans="1:14" ht="21" customHeight="1">
      <c r="A20" s="158" t="s">
        <v>234</v>
      </c>
      <c r="B20" s="156">
        <f ca="1">IF(ROW()-16&gt;MASTER!$AF$15,"",SUMIFS(PEMASUKAN!$H$5:$H$204,PEMASUKAN!$C$5:$C$204,TEXT(DATE($B$4,ROW()-16,1),"yyyy-mm"),PEMASUKAN!$M$5:$M$204,"Pendapatan Operasional"))</f>
        <v>0</v>
      </c>
      <c r="C20" s="156">
        <f ca="1">IF(ROW()-16&gt;MASTER!$AF$15,"",SUMIFS(PENGELUARAN!$K$5:$K$204,PENGELUARAN!$C$5:$C$204,TEXT(DATE($B$4,ROW()-16,1),"yyyy-mm"),PENGELUARAN!$L$5:$L$204,"Kantor")+SUMIFS(GAJI!$Q$5:$Q$124,GAJI!$B$5:$B$124,"&gt;="&amp;DATE($B$4,ROW()-16,1),GAJI!$B$5:$B$124,"&lt;"&amp;DATE($B$4,ROW()-15,1)))</f>
        <v>0</v>
      </c>
      <c r="D20" s="156">
        <f ca="1">IF(ROW()-16&gt;MASTER!$AF$15,"",B20-C20)</f>
        <v>0</v>
      </c>
      <c r="E20" s="156">
        <f ca="1">IF(ROW()-16&gt;MASTER!$AF$15,"",SUM($D$17:D20))</f>
        <v>0</v>
      </c>
      <c r="F20" s="156">
        <f ca="1">IF(ROW()-16&gt;MASTER!$AF$15,"",IF(ROW()=17,SUMIFS(KAS_BANK!$B$5:$B$10,KAS_BANK!$A$5:$A$10,"&lt;&gt;Bank Dana Klien")+MAX(-KAS_BANK!$B$7,0)+MAX(-KAS_BANK!$B$8,0)+MAX(-KAS_BANK!$B$9,0),M19))</f>
        <v>0</v>
      </c>
      <c r="G20" s="156">
        <f ca="1">IF(ROW()-16&gt;MASTER!$AF$15,"",SUMIFS(PEMASUKAN!$J$5:$J$204,PEMASUKAN!$C$5:$C$204,TEXT(DATE($B$4,ROW()-16,1),"yyyy-mm"),PEMASUKAN!$M$5:$M$204,"Pendapatan Operasional")+SUMIFS(PEMASUKAN!$J$5:$J$204,PEMASUKAN!$C$5:$C$204,TEXT(DATE($B$4,ROW()-16,1),"yyyy-mm"),PEMASUKAN!$M$5:$M$204,"Penggantian Biaya"))</f>
        <v>0</v>
      </c>
      <c r="H20"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0" s="156">
        <f ca="1">IF(ROW()-16&gt;MASTER!$AF$15,"",SUMIFS(REIMBURSE!$J$5:$J$124,REIMBURSE!$N$5:$N$124,"&gt;="&amp;DATE($B$4,ROW()-16,1),REIMBURSE!$N$5:$N$124,"&lt;"&amp;DATE($B$4,ROW()-15,1)))</f>
        <v>0</v>
      </c>
      <c r="J20" s="157">
        <f ca="1">IF(ROW()-16&gt;MASTER!$AF$15,"",SUMIFS(PARTNER!$I$5:$I$124,PARTNER!$E$5:$E$124,MASTER!$Y$7,PARTNER!$V$5:$V$124,"&gt;="&amp;DATE($B$4,ROW()-16,1),PARTNER!$V$5:$V$124,"&lt;"&amp;DATE($B$4,ROW()-15,1))+SUMIFS(PARTNER!$I$5:$I$124,PARTNER!$E$5:$E$124,MASTER!$Y$8,PARTNER!$V$5:$V$124,"&gt;="&amp;DATE($B$4,ROW()-16,1),PARTNER!$V$5:$V$124,"&lt;"&amp;DATE($B$4,ROW()-15,1)))</f>
        <v>0</v>
      </c>
      <c r="K20" s="157">
        <f ca="1">IF(ROW()-16&gt;MASTER!$AF$15,"",SUMIFS(PARTNER!$I$5:$I$124,PARTNER!$E$5:$E$124,MASTER!$Y$9,PARTNER!$V$5:$V$124,"&gt;="&amp;DATE($B$4,ROW()-16,1),PARTNER!$V$5:$V$124,"&lt;"&amp;DATE($B$4,ROW()-15,1)))</f>
        <v>0</v>
      </c>
      <c r="L20" s="156" cm="1">
        <f t="array" aca="1" ref="L20" ca="1">IF(ROW()-16&gt;MASTER!$AF$15,"",INDEX(ARUS_KAS!$B$24:$M$24,1,ROW()-16)+INDEX(ARUS_KAS!$B$26:$M$26,1,ROW()-16)+INDEX(ARUS_KAS!$B$28:$M$28,1,ROW()-16))</f>
        <v>0</v>
      </c>
      <c r="M20" s="157" cm="1">
        <f t="array" aca="1" ref="M20" ca="1">IF(ROW()-16&gt;MASTER!$AF$15,"",F20+INDEX(ARUS_KAS!$B$8:$M$8,1,ROW()-16)+INDEX(ARUS_KAS!$B$9:$M$9,1,ROW()-16)-INDEX(ARUS_KAS!$B$12:$M$12,1,ROW()-16)-INDEX(ARUS_KAS!$B$13:$M$13,1,ROW()-16)-INDEX(ARUS_KAS!$B$14:$M$14,1,ROW()-16)-INDEX(ARUS_KAS!$B$15:$M$15,1,ROW()-16)+INDEX(ARUS_KAS!$B$24:$M$24,1,ROW()-16)-INDEX(ARUS_KAS!$B$25:$M$25,1,ROW()-16)+INDEX(ARUS_KAS!$B$26:$M$26,1,ROW()-16)+INDEX(ARUS_KAS!$B$28:$M$28,1,ROW()-16))</f>
        <v>0</v>
      </c>
      <c r="N20" s="157">
        <f ca="1">IF(ROW()-16&gt;MASTER!$AF$15,"",ABS(F20+G20-H20-I20-J20-K20+L20-M20))</f>
        <v>0</v>
      </c>
    </row>
    <row r="21" spans="1:14" ht="21" customHeight="1">
      <c r="A21" s="155" t="s">
        <v>235</v>
      </c>
      <c r="B21" s="156">
        <f ca="1">IF(ROW()-16&gt;MASTER!$AF$15,"",SUMIFS(PEMASUKAN!$H$5:$H$204,PEMASUKAN!$C$5:$C$204,TEXT(DATE($B$4,ROW()-16,1),"yyyy-mm"),PEMASUKAN!$M$5:$M$204,"Pendapatan Operasional"))</f>
        <v>0</v>
      </c>
      <c r="C21" s="156">
        <f ca="1">IF(ROW()-16&gt;MASTER!$AF$15,"",SUMIFS(PENGELUARAN!$K$5:$K$204,PENGELUARAN!$C$5:$C$204,TEXT(DATE($B$4,ROW()-16,1),"yyyy-mm"),PENGELUARAN!$L$5:$L$204,"Kantor")+SUMIFS(GAJI!$Q$5:$Q$124,GAJI!$B$5:$B$124,"&gt;="&amp;DATE($B$4,ROW()-16,1),GAJI!$B$5:$B$124,"&lt;"&amp;DATE($B$4,ROW()-15,1)))</f>
        <v>0</v>
      </c>
      <c r="D21" s="156">
        <f ca="1">IF(ROW()-16&gt;MASTER!$AF$15,"",B21-C21)</f>
        <v>0</v>
      </c>
      <c r="E21" s="156">
        <f ca="1">IF(ROW()-16&gt;MASTER!$AF$15,"",SUM($D$17:D21))</f>
        <v>0</v>
      </c>
      <c r="F21" s="156">
        <f ca="1">IF(ROW()-16&gt;MASTER!$AF$15,"",IF(ROW()=17,SUMIFS(KAS_BANK!$B$5:$B$10,KAS_BANK!$A$5:$A$10,"&lt;&gt;Bank Dana Klien")+MAX(-KAS_BANK!$B$7,0)+MAX(-KAS_BANK!$B$8,0)+MAX(-KAS_BANK!$B$9,0),M20))</f>
        <v>0</v>
      </c>
      <c r="G21" s="156">
        <f ca="1">IF(ROW()-16&gt;MASTER!$AF$15,"",SUMIFS(PEMASUKAN!$J$5:$J$204,PEMASUKAN!$C$5:$C$204,TEXT(DATE($B$4,ROW()-16,1),"yyyy-mm"),PEMASUKAN!$M$5:$M$204,"Pendapatan Operasional")+SUMIFS(PEMASUKAN!$J$5:$J$204,PEMASUKAN!$C$5:$C$204,TEXT(DATE($B$4,ROW()-16,1),"yyyy-mm"),PEMASUKAN!$M$5:$M$204,"Penggantian Biaya"))</f>
        <v>0</v>
      </c>
      <c r="H21"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1" s="156">
        <f ca="1">IF(ROW()-16&gt;MASTER!$AF$15,"",SUMIFS(REIMBURSE!$J$5:$J$124,REIMBURSE!$N$5:$N$124,"&gt;="&amp;DATE($B$4,ROW()-16,1),REIMBURSE!$N$5:$N$124,"&lt;"&amp;DATE($B$4,ROW()-15,1)))</f>
        <v>0</v>
      </c>
      <c r="J21" s="157">
        <f ca="1">IF(ROW()-16&gt;MASTER!$AF$15,"",SUMIFS(PARTNER!$I$5:$I$124,PARTNER!$E$5:$E$124,MASTER!$Y$7,PARTNER!$V$5:$V$124,"&gt;="&amp;DATE($B$4,ROW()-16,1),PARTNER!$V$5:$V$124,"&lt;"&amp;DATE($B$4,ROW()-15,1))+SUMIFS(PARTNER!$I$5:$I$124,PARTNER!$E$5:$E$124,MASTER!$Y$8,PARTNER!$V$5:$V$124,"&gt;="&amp;DATE($B$4,ROW()-16,1),PARTNER!$V$5:$V$124,"&lt;"&amp;DATE($B$4,ROW()-15,1)))</f>
        <v>0</v>
      </c>
      <c r="K21" s="157">
        <f ca="1">IF(ROW()-16&gt;MASTER!$AF$15,"",SUMIFS(PARTNER!$I$5:$I$124,PARTNER!$E$5:$E$124,MASTER!$Y$9,PARTNER!$V$5:$V$124,"&gt;="&amp;DATE($B$4,ROW()-16,1),PARTNER!$V$5:$V$124,"&lt;"&amp;DATE($B$4,ROW()-15,1)))</f>
        <v>0</v>
      </c>
      <c r="L21" s="156" cm="1">
        <f t="array" aca="1" ref="L21" ca="1">IF(ROW()-16&gt;MASTER!$AF$15,"",INDEX(ARUS_KAS!$B$24:$M$24,1,ROW()-16)+INDEX(ARUS_KAS!$B$26:$M$26,1,ROW()-16)+INDEX(ARUS_KAS!$B$28:$M$28,1,ROW()-16))</f>
        <v>0</v>
      </c>
      <c r="M21" s="157" cm="1">
        <f t="array" aca="1" ref="M21" ca="1">IF(ROW()-16&gt;MASTER!$AF$15,"",F21+INDEX(ARUS_KAS!$B$8:$M$8,1,ROW()-16)+INDEX(ARUS_KAS!$B$9:$M$9,1,ROW()-16)-INDEX(ARUS_KAS!$B$12:$M$12,1,ROW()-16)-INDEX(ARUS_KAS!$B$13:$M$13,1,ROW()-16)-INDEX(ARUS_KAS!$B$14:$M$14,1,ROW()-16)-INDEX(ARUS_KAS!$B$15:$M$15,1,ROW()-16)+INDEX(ARUS_KAS!$B$24:$M$24,1,ROW()-16)-INDEX(ARUS_KAS!$B$25:$M$25,1,ROW()-16)+INDEX(ARUS_KAS!$B$26:$M$26,1,ROW()-16)+INDEX(ARUS_KAS!$B$28:$M$28,1,ROW()-16))</f>
        <v>0</v>
      </c>
      <c r="N21" s="157">
        <f ca="1">IF(ROW()-16&gt;MASTER!$AF$15,"",ABS(F21+G21-H21-I21-J21-K21+L21-M21))</f>
        <v>0</v>
      </c>
    </row>
    <row r="22" spans="1:14" ht="21" customHeight="1">
      <c r="A22" s="158" t="s">
        <v>236</v>
      </c>
      <c r="B22" s="156">
        <f ca="1">IF(ROW()-16&gt;MASTER!$AF$15,"",SUMIFS(PEMASUKAN!$H$5:$H$204,PEMASUKAN!$C$5:$C$204,TEXT(DATE($B$4,ROW()-16,1),"yyyy-mm"),PEMASUKAN!$M$5:$M$204,"Pendapatan Operasional"))</f>
        <v>0</v>
      </c>
      <c r="C22" s="156">
        <f ca="1">IF(ROW()-16&gt;MASTER!$AF$15,"",SUMIFS(PENGELUARAN!$K$5:$K$204,PENGELUARAN!$C$5:$C$204,TEXT(DATE($B$4,ROW()-16,1),"yyyy-mm"),PENGELUARAN!$L$5:$L$204,"Kantor")+SUMIFS(GAJI!$Q$5:$Q$124,GAJI!$B$5:$B$124,"&gt;="&amp;DATE($B$4,ROW()-16,1),GAJI!$B$5:$B$124,"&lt;"&amp;DATE($B$4,ROW()-15,1)))</f>
        <v>0</v>
      </c>
      <c r="D22" s="156">
        <f ca="1">IF(ROW()-16&gt;MASTER!$AF$15,"",B22-C22)</f>
        <v>0</v>
      </c>
      <c r="E22" s="156">
        <f ca="1">IF(ROW()-16&gt;MASTER!$AF$15,"",SUM($D$17:D22))</f>
        <v>0</v>
      </c>
      <c r="F22" s="156">
        <f ca="1">IF(ROW()-16&gt;MASTER!$AF$15,"",IF(ROW()=17,SUMIFS(KAS_BANK!$B$5:$B$10,KAS_BANK!$A$5:$A$10,"&lt;&gt;Bank Dana Klien")+MAX(-KAS_BANK!$B$7,0)+MAX(-KAS_BANK!$B$8,0)+MAX(-KAS_BANK!$B$9,0),M21))</f>
        <v>0</v>
      </c>
      <c r="G22" s="156">
        <f ca="1">IF(ROW()-16&gt;MASTER!$AF$15,"",SUMIFS(PEMASUKAN!$J$5:$J$204,PEMASUKAN!$C$5:$C$204,TEXT(DATE($B$4,ROW()-16,1),"yyyy-mm"),PEMASUKAN!$M$5:$M$204,"Pendapatan Operasional")+SUMIFS(PEMASUKAN!$J$5:$J$204,PEMASUKAN!$C$5:$C$204,TEXT(DATE($B$4,ROW()-16,1),"yyyy-mm"),PEMASUKAN!$M$5:$M$204,"Penggantian Biaya"))</f>
        <v>0</v>
      </c>
      <c r="H22"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2" s="156">
        <f ca="1">IF(ROW()-16&gt;MASTER!$AF$15,"",SUMIFS(REIMBURSE!$J$5:$J$124,REIMBURSE!$N$5:$N$124,"&gt;="&amp;DATE($B$4,ROW()-16,1),REIMBURSE!$N$5:$N$124,"&lt;"&amp;DATE($B$4,ROW()-15,1)))</f>
        <v>0</v>
      </c>
      <c r="J22" s="157">
        <f ca="1">IF(ROW()-16&gt;MASTER!$AF$15,"",SUMIFS(PARTNER!$I$5:$I$124,PARTNER!$E$5:$E$124,MASTER!$Y$7,PARTNER!$V$5:$V$124,"&gt;="&amp;DATE($B$4,ROW()-16,1),PARTNER!$V$5:$V$124,"&lt;"&amp;DATE($B$4,ROW()-15,1))+SUMIFS(PARTNER!$I$5:$I$124,PARTNER!$E$5:$E$124,MASTER!$Y$8,PARTNER!$V$5:$V$124,"&gt;="&amp;DATE($B$4,ROW()-16,1),PARTNER!$V$5:$V$124,"&lt;"&amp;DATE($B$4,ROW()-15,1)))</f>
        <v>0</v>
      </c>
      <c r="K22" s="157">
        <f ca="1">IF(ROW()-16&gt;MASTER!$AF$15,"",SUMIFS(PARTNER!$I$5:$I$124,PARTNER!$E$5:$E$124,MASTER!$Y$9,PARTNER!$V$5:$V$124,"&gt;="&amp;DATE($B$4,ROW()-16,1),PARTNER!$V$5:$V$124,"&lt;"&amp;DATE($B$4,ROW()-15,1)))</f>
        <v>0</v>
      </c>
      <c r="L22" s="156" cm="1">
        <f t="array" aca="1" ref="L22" ca="1">IF(ROW()-16&gt;MASTER!$AF$15,"",INDEX(ARUS_KAS!$B$24:$M$24,1,ROW()-16)+INDEX(ARUS_KAS!$B$26:$M$26,1,ROW()-16)+INDEX(ARUS_KAS!$B$28:$M$28,1,ROW()-16))</f>
        <v>0</v>
      </c>
      <c r="M22" s="157" cm="1">
        <f t="array" aca="1" ref="M22" ca="1">IF(ROW()-16&gt;MASTER!$AF$15,"",F22+INDEX(ARUS_KAS!$B$8:$M$8,1,ROW()-16)+INDEX(ARUS_KAS!$B$9:$M$9,1,ROW()-16)-INDEX(ARUS_KAS!$B$12:$M$12,1,ROW()-16)-INDEX(ARUS_KAS!$B$13:$M$13,1,ROW()-16)-INDEX(ARUS_KAS!$B$14:$M$14,1,ROW()-16)-INDEX(ARUS_KAS!$B$15:$M$15,1,ROW()-16)+INDEX(ARUS_KAS!$B$24:$M$24,1,ROW()-16)-INDEX(ARUS_KAS!$B$25:$M$25,1,ROW()-16)+INDEX(ARUS_KAS!$B$26:$M$26,1,ROW()-16)+INDEX(ARUS_KAS!$B$28:$M$28,1,ROW()-16))</f>
        <v>0</v>
      </c>
      <c r="N22" s="157">
        <f ca="1">IF(ROW()-16&gt;MASTER!$AF$15,"",ABS(F22+G22-H22-I22-J22-K22+L22-M22))</f>
        <v>0</v>
      </c>
    </row>
    <row r="23" spans="1:14" ht="21" customHeight="1">
      <c r="A23" s="155" t="s">
        <v>237</v>
      </c>
      <c r="B23" s="156">
        <f ca="1">IF(ROW()-16&gt;MASTER!$AF$15,"",SUMIFS(PEMASUKAN!$H$5:$H$204,PEMASUKAN!$C$5:$C$204,TEXT(DATE($B$4,ROW()-16,1),"yyyy-mm"),PEMASUKAN!$M$5:$M$204,"Pendapatan Operasional"))</f>
        <v>16000000</v>
      </c>
      <c r="C23" s="156">
        <f ca="1">IF(ROW()-16&gt;MASTER!$AF$15,"",SUMIFS(PENGELUARAN!$K$5:$K$204,PENGELUARAN!$C$5:$C$204,TEXT(DATE($B$4,ROW()-16,1),"yyyy-mm"),PENGELUARAN!$L$5:$L$204,"Kantor")+SUMIFS(GAJI!$Q$5:$Q$124,GAJI!$B$5:$B$124,"&gt;="&amp;DATE($B$4,ROW()-16,1),GAJI!$B$5:$B$124,"&lt;"&amp;DATE($B$4,ROW()-15,1)))</f>
        <v>3390600</v>
      </c>
      <c r="D23" s="156">
        <f ca="1">IF(ROW()-16&gt;MASTER!$AF$15,"",B23-C23)</f>
        <v>12609400</v>
      </c>
      <c r="E23" s="156">
        <f ca="1">IF(ROW()-16&gt;MASTER!$AF$15,"",SUM($D$17:D23))</f>
        <v>12609400</v>
      </c>
      <c r="F23" s="156">
        <f ca="1">IF(ROW()-16&gt;MASTER!$AF$15,"",IF(ROW()=17,SUMIFS(KAS_BANK!$B$5:$B$10,KAS_BANK!$A$5:$A$10,"&lt;&gt;Bank Dana Klien")+MAX(-KAS_BANK!$B$7,0)+MAX(-KAS_BANK!$B$8,0)+MAX(-KAS_BANK!$B$9,0),M22))</f>
        <v>0</v>
      </c>
      <c r="G23" s="156">
        <f ca="1">IF(ROW()-16&gt;MASTER!$AF$15,"",SUMIFS(PEMASUKAN!$J$5:$J$204,PEMASUKAN!$C$5:$C$204,TEXT(DATE($B$4,ROW()-16,1),"yyyy-mm"),PEMASUKAN!$M$5:$M$204,"Pendapatan Operasional")+SUMIFS(PEMASUKAN!$J$5:$J$204,PEMASUKAN!$C$5:$C$204,TEXT(DATE($B$4,ROW()-16,1),"yyyy-mm"),PEMASUKAN!$M$5:$M$204,"Penggantian Biaya"))</f>
        <v>16000000</v>
      </c>
      <c r="H23"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3390600</v>
      </c>
      <c r="I23" s="156">
        <f ca="1">IF(ROW()-16&gt;MASTER!$AF$15,"",SUMIFS(REIMBURSE!$J$5:$J$124,REIMBURSE!$N$5:$N$124,"&gt;="&amp;DATE($B$4,ROW()-16,1),REIMBURSE!$N$5:$N$124,"&lt;"&amp;DATE($B$4,ROW()-15,1)))</f>
        <v>0</v>
      </c>
      <c r="J23" s="157">
        <f ca="1">IF(ROW()-16&gt;MASTER!$AF$15,"",SUMIFS(PARTNER!$I$5:$I$124,PARTNER!$E$5:$E$124,MASTER!$Y$7,PARTNER!$V$5:$V$124,"&gt;="&amp;DATE($B$4,ROW()-16,1),PARTNER!$V$5:$V$124,"&lt;"&amp;DATE($B$4,ROW()-15,1))+SUMIFS(PARTNER!$I$5:$I$124,PARTNER!$E$5:$E$124,MASTER!$Y$8,PARTNER!$V$5:$V$124,"&gt;="&amp;DATE($B$4,ROW()-16,1),PARTNER!$V$5:$V$124,"&lt;"&amp;DATE($B$4,ROW()-15,1)))</f>
        <v>9000000</v>
      </c>
      <c r="K23" s="157">
        <f ca="1">IF(ROW()-16&gt;MASTER!$AF$15,"",SUMIFS(PARTNER!$I$5:$I$124,PARTNER!$E$5:$E$124,MASTER!$Y$9,PARTNER!$V$5:$V$124,"&gt;="&amp;DATE($B$4,ROW()-16,1),PARTNER!$V$5:$V$124,"&lt;"&amp;DATE($B$4,ROW()-15,1)))</f>
        <v>0</v>
      </c>
      <c r="L23" s="156" cm="1">
        <f t="array" aca="1" ref="L23" ca="1">IF(ROW()-16&gt;MASTER!$AF$15,"",INDEX(ARUS_KAS!$B$24:$M$24,1,ROW()-16)+INDEX(ARUS_KAS!$B$26:$M$26,1,ROW()-16)+INDEX(ARUS_KAS!$B$28:$M$28,1,ROW()-16))</f>
        <v>1000000</v>
      </c>
      <c r="M23" s="157" cm="1">
        <f t="array" aca="1" ref="M23" ca="1">IF(ROW()-16&gt;MASTER!$AF$15,"",F23+INDEX(ARUS_KAS!$B$8:$M$8,1,ROW()-16)+INDEX(ARUS_KAS!$B$9:$M$9,1,ROW()-16)-INDEX(ARUS_KAS!$B$12:$M$12,1,ROW()-16)-INDEX(ARUS_KAS!$B$13:$M$13,1,ROW()-16)-INDEX(ARUS_KAS!$B$14:$M$14,1,ROW()-16)-INDEX(ARUS_KAS!$B$15:$M$15,1,ROW()-16)+INDEX(ARUS_KAS!$B$24:$M$24,1,ROW()-16)-INDEX(ARUS_KAS!$B$25:$M$25,1,ROW()-16)+INDEX(ARUS_KAS!$B$26:$M$26,1,ROW()-16)+INDEX(ARUS_KAS!$B$28:$M$28,1,ROW()-16))</f>
        <v>4609400</v>
      </c>
      <c r="N23" s="157">
        <f ca="1">IF(ROW()-16&gt;MASTER!$AF$15,"",ABS(F23+G23-H23-I23-J23-K23+L23-M23))</f>
        <v>0</v>
      </c>
    </row>
    <row r="24" spans="1:14" ht="21" customHeight="1">
      <c r="A24" s="158" t="s">
        <v>238</v>
      </c>
      <c r="B24" s="156">
        <f ca="1">IF(ROW()-16&gt;MASTER!$AF$15,"",SUMIFS(PEMASUKAN!$H$5:$H$204,PEMASUKAN!$C$5:$C$204,TEXT(DATE($B$4,ROW()-16,1),"yyyy-mm"),PEMASUKAN!$M$5:$M$204,"Pendapatan Operasional"))</f>
        <v>0</v>
      </c>
      <c r="C24" s="156">
        <f ca="1">IF(ROW()-16&gt;MASTER!$AF$15,"",SUMIFS(PENGELUARAN!$K$5:$K$204,PENGELUARAN!$C$5:$C$204,TEXT(DATE($B$4,ROW()-16,1),"yyyy-mm"),PENGELUARAN!$L$5:$L$204,"Kantor")+SUMIFS(GAJI!$Q$5:$Q$124,GAJI!$B$5:$B$124,"&gt;="&amp;DATE($B$4,ROW()-16,1),GAJI!$B$5:$B$124,"&lt;"&amp;DATE($B$4,ROW()-15,1)))</f>
        <v>4705308</v>
      </c>
      <c r="D24" s="156">
        <f ca="1">IF(ROW()-16&gt;MASTER!$AF$15,"",B24-C24)</f>
        <v>-4705308</v>
      </c>
      <c r="E24" s="156">
        <f ca="1">IF(ROW()-16&gt;MASTER!$AF$15,"",SUM($D$17:D24))</f>
        <v>7904092</v>
      </c>
      <c r="F24" s="156">
        <f ca="1">IF(ROW()-16&gt;MASTER!$AF$15,"",IF(ROW()=17,SUMIFS(KAS_BANK!$B$5:$B$10,KAS_BANK!$A$5:$A$10,"&lt;&gt;Bank Dana Klien")+MAX(-KAS_BANK!$B$7,0)+MAX(-KAS_BANK!$B$8,0)+MAX(-KAS_BANK!$B$9,0),M23))</f>
        <v>4609400</v>
      </c>
      <c r="G24" s="156">
        <f ca="1">IF(ROW()-16&gt;MASTER!$AF$15,"",SUMIFS(PEMASUKAN!$J$5:$J$204,PEMASUKAN!$C$5:$C$204,TEXT(DATE($B$4,ROW()-16,1),"yyyy-mm"),PEMASUKAN!$M$5:$M$204,"Pendapatan Operasional")+SUMIFS(PEMASUKAN!$J$5:$J$204,PEMASUKAN!$C$5:$C$204,TEXT(DATE($B$4,ROW()-16,1),"yyyy-mm"),PEMASUKAN!$M$5:$M$204,"Penggantian Biaya"))</f>
        <v>0</v>
      </c>
      <c r="H24"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1705308</v>
      </c>
      <c r="I24" s="156">
        <f ca="1">IF(ROW()-16&gt;MASTER!$AF$15,"",SUMIFS(REIMBURSE!$J$5:$J$124,REIMBURSE!$N$5:$N$124,"&gt;="&amp;DATE($B$4,ROW()-16,1),REIMBURSE!$N$5:$N$124,"&lt;"&amp;DATE($B$4,ROW()-15,1)))</f>
        <v>0</v>
      </c>
      <c r="J24" s="157">
        <f ca="1">IF(ROW()-16&gt;MASTER!$AF$15,"",SUMIFS(PARTNER!$I$5:$I$124,PARTNER!$E$5:$E$124,MASTER!$Y$7,PARTNER!$V$5:$V$124,"&gt;="&amp;DATE($B$4,ROW()-16,1),PARTNER!$V$5:$V$124,"&lt;"&amp;DATE($B$4,ROW()-15,1))+SUMIFS(PARTNER!$I$5:$I$124,PARTNER!$E$5:$E$124,MASTER!$Y$8,PARTNER!$V$5:$V$124,"&gt;="&amp;DATE($B$4,ROW()-16,1),PARTNER!$V$5:$V$124,"&lt;"&amp;DATE($B$4,ROW()-15,1)))</f>
        <v>0</v>
      </c>
      <c r="K24" s="157">
        <f ca="1">IF(ROW()-16&gt;MASTER!$AF$15,"",SUMIFS(PARTNER!$I$5:$I$124,PARTNER!$E$5:$E$124,MASTER!$Y$9,PARTNER!$V$5:$V$124,"&gt;="&amp;DATE($B$4,ROW()-16,1),PARTNER!$V$5:$V$124,"&lt;"&amp;DATE($B$4,ROW()-15,1)))</f>
        <v>0</v>
      </c>
      <c r="L24" s="156" cm="1">
        <f t="array" aca="1" ref="L24" ca="1">IF(ROW()-16&gt;MASTER!$AF$15,"",INDEX(ARUS_KAS!$B$24:$M$24,1,ROW()-16)+INDEX(ARUS_KAS!$B$26:$M$26,1,ROW()-16)+INDEX(ARUS_KAS!$B$28:$M$28,1,ROW()-16))</f>
        <v>0</v>
      </c>
      <c r="M24" s="157" cm="1">
        <f t="array" aca="1" ref="M24" ca="1">IF(ROW()-16&gt;MASTER!$AF$15,"",F24+INDEX(ARUS_KAS!$B$8:$M$8,1,ROW()-16)+INDEX(ARUS_KAS!$B$9:$M$9,1,ROW()-16)-INDEX(ARUS_KAS!$B$12:$M$12,1,ROW()-16)-INDEX(ARUS_KAS!$B$13:$M$13,1,ROW()-16)-INDEX(ARUS_KAS!$B$14:$M$14,1,ROW()-16)-INDEX(ARUS_KAS!$B$15:$M$15,1,ROW()-16)+INDEX(ARUS_KAS!$B$24:$M$24,1,ROW()-16)-INDEX(ARUS_KAS!$B$25:$M$25,1,ROW()-16)+INDEX(ARUS_KAS!$B$26:$M$26,1,ROW()-16)+INDEX(ARUS_KAS!$B$28:$M$28,1,ROW()-16))</f>
        <v>2904092</v>
      </c>
      <c r="N24" s="157">
        <f ca="1">IF(ROW()-16&gt;MASTER!$AF$15,"",ABS(F24+G24-H24-I24-J24-K24+L24-M24))</f>
        <v>0</v>
      </c>
    </row>
    <row r="25" spans="1:14" ht="21" customHeight="1">
      <c r="A25" s="155" t="s">
        <v>239</v>
      </c>
      <c r="B25" s="156" t="str">
        <f ca="1">IF(ROW()-16&gt;MASTER!$AF$15,"",SUMIFS(PEMASUKAN!$H$5:$H$204,PEMASUKAN!$C$5:$C$204,TEXT(DATE($B$4,ROW()-16,1),"yyyy-mm"),PEMASUKAN!$M$5:$M$204,"Pendapatan Operasional"))</f>
        <v/>
      </c>
      <c r="C25" s="156" t="str">
        <f ca="1">IF(ROW()-16&gt;MASTER!$AF$15,"",SUMIFS(PENGELUARAN!$K$5:$K$204,PENGELUARAN!$C$5:$C$204,TEXT(DATE($B$4,ROW()-16,1),"yyyy-mm"),PENGELUARAN!$L$5:$L$204,"Kantor")+SUMIFS(GAJI!$Q$5:$Q$124,GAJI!$B$5:$B$124,"&gt;="&amp;DATE($B$4,ROW()-16,1),GAJI!$B$5:$B$124,"&lt;"&amp;DATE($B$4,ROW()-15,1)))</f>
        <v/>
      </c>
      <c r="D25" s="156" t="str">
        <f ca="1">IF(ROW()-16&gt;MASTER!$AF$15,"",B25-C25)</f>
        <v/>
      </c>
      <c r="E25" s="156" t="str">
        <f ca="1">IF(ROW()-16&gt;MASTER!$AF$15,"",SUM($D$17:D25))</f>
        <v/>
      </c>
      <c r="F25" s="156" t="str">
        <f ca="1">IF(ROW()-16&gt;MASTER!$AF$15,"",IF(ROW()=17,SUMIFS(KAS_BANK!$B$5:$B$10,KAS_BANK!$A$5:$A$10,"&lt;&gt;Bank Dana Klien")+MAX(-KAS_BANK!$B$7,0)+MAX(-KAS_BANK!$B$8,0)+MAX(-KAS_BANK!$B$9,0),M24))</f>
        <v/>
      </c>
      <c r="G25" s="156" t="str">
        <f ca="1">IF(ROW()-16&gt;MASTER!$AF$15,"",SUMIFS(PEMASUKAN!$J$5:$J$204,PEMASUKAN!$C$5:$C$204,TEXT(DATE($B$4,ROW()-16,1),"yyyy-mm"),PEMASUKAN!$M$5:$M$204,"Pendapatan Operasional")+SUMIFS(PEMASUKAN!$J$5:$J$204,PEMASUKAN!$C$5:$C$204,TEXT(DATE($B$4,ROW()-16,1),"yyyy-mm"),PEMASUKAN!$M$5:$M$204,"Penggantian Biaya"))</f>
        <v/>
      </c>
      <c r="H25"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5" s="156" t="str">
        <f ca="1">IF(ROW()-16&gt;MASTER!$AF$15,"",SUMIFS(REIMBURSE!$J$5:$J$124,REIMBURSE!$N$5:$N$124,"&gt;="&amp;DATE($B$4,ROW()-16,1),REIMBURSE!$N$5:$N$124,"&lt;"&amp;DATE($B$4,ROW()-15,1)))</f>
        <v/>
      </c>
      <c r="J25" s="157" t="str">
        <f ca="1">IF(ROW()-16&gt;MASTER!$AF$15,"",SUMIFS(PARTNER!$I$5:$I$124,PARTNER!$E$5:$E$124,MASTER!$Y$7,PARTNER!$V$5:$V$124,"&gt;="&amp;DATE($B$4,ROW()-16,1),PARTNER!$V$5:$V$124,"&lt;"&amp;DATE($B$4,ROW()-15,1))+SUMIFS(PARTNER!$I$5:$I$124,PARTNER!$E$5:$E$124,MASTER!$Y$8,PARTNER!$V$5:$V$124,"&gt;="&amp;DATE($B$4,ROW()-16,1),PARTNER!$V$5:$V$124,"&lt;"&amp;DATE($B$4,ROW()-15,1)))</f>
        <v/>
      </c>
      <c r="K25" s="157" t="str">
        <f ca="1">IF(ROW()-16&gt;MASTER!$AF$15,"",SUMIFS(PARTNER!$I$5:$I$124,PARTNER!$E$5:$E$124,MASTER!$Y$9,PARTNER!$V$5:$V$124,"&gt;="&amp;DATE($B$4,ROW()-16,1),PARTNER!$V$5:$V$124,"&lt;"&amp;DATE($B$4,ROW()-15,1)))</f>
        <v/>
      </c>
      <c r="L25" s="156" t="str" cm="1">
        <f t="array" aca="1" ref="L25" ca="1">IF(ROW()-16&gt;MASTER!$AF$15,"",INDEX(ARUS_KAS!$B$24:$M$24,1,ROW()-16)+INDEX(ARUS_KAS!$B$26:$M$26,1,ROW()-16)+INDEX(ARUS_KAS!$B$28:$M$28,1,ROW()-16))</f>
        <v/>
      </c>
      <c r="M25" s="157" t="str" cm="1">
        <f t="array" aca="1" ref="M25" ca="1">IF(ROW()-16&gt;MASTER!$AF$15,"",F25+INDEX(ARUS_KAS!$B$8:$M$8,1,ROW()-16)+INDEX(ARUS_KAS!$B$9:$M$9,1,ROW()-16)-INDEX(ARUS_KAS!$B$12:$M$12,1,ROW()-16)-INDEX(ARUS_KAS!$B$13:$M$13,1,ROW()-16)-INDEX(ARUS_KAS!$B$14:$M$14,1,ROW()-16)-INDEX(ARUS_KAS!$B$15:$M$15,1,ROW()-16)+INDEX(ARUS_KAS!$B$24:$M$24,1,ROW()-16)-INDEX(ARUS_KAS!$B$25:$M$25,1,ROW()-16)+INDEX(ARUS_KAS!$B$26:$M$26,1,ROW()-16)+INDEX(ARUS_KAS!$B$28:$M$28,1,ROW()-16))</f>
        <v/>
      </c>
      <c r="N25" s="157" t="str">
        <f ca="1">IF(ROW()-16&gt;MASTER!$AF$15,"",ABS(F25+G25-H25-I25-J25-K25+L25-M25))</f>
        <v/>
      </c>
    </row>
    <row r="26" spans="1:14" ht="21" customHeight="1">
      <c r="A26" s="158" t="s">
        <v>240</v>
      </c>
      <c r="B26" s="156" t="str">
        <f ca="1">IF(ROW()-16&gt;MASTER!$AF$15,"",SUMIFS(PEMASUKAN!$H$5:$H$204,PEMASUKAN!$C$5:$C$204,TEXT(DATE($B$4,ROW()-16,1),"yyyy-mm"),PEMASUKAN!$M$5:$M$204,"Pendapatan Operasional"))</f>
        <v/>
      </c>
      <c r="C26" s="156" t="str">
        <f ca="1">IF(ROW()-16&gt;MASTER!$AF$15,"",SUMIFS(PENGELUARAN!$K$5:$K$204,PENGELUARAN!$C$5:$C$204,TEXT(DATE($B$4,ROW()-16,1),"yyyy-mm"),PENGELUARAN!$L$5:$L$204,"Kantor")+SUMIFS(GAJI!$Q$5:$Q$124,GAJI!$B$5:$B$124,"&gt;="&amp;DATE($B$4,ROW()-16,1),GAJI!$B$5:$B$124,"&lt;"&amp;DATE($B$4,ROW()-15,1)))</f>
        <v/>
      </c>
      <c r="D26" s="156" t="str">
        <f ca="1">IF(ROW()-16&gt;MASTER!$AF$15,"",B26-C26)</f>
        <v/>
      </c>
      <c r="E26" s="156" t="str">
        <f ca="1">IF(ROW()-16&gt;MASTER!$AF$15,"",SUM($D$17:D26))</f>
        <v/>
      </c>
      <c r="F26" s="156" t="str">
        <f ca="1">IF(ROW()-16&gt;MASTER!$AF$15,"",IF(ROW()=17,SUMIFS(KAS_BANK!$B$5:$B$10,KAS_BANK!$A$5:$A$10,"&lt;&gt;Bank Dana Klien")+MAX(-KAS_BANK!$B$7,0)+MAX(-KAS_BANK!$B$8,0)+MAX(-KAS_BANK!$B$9,0),M25))</f>
        <v/>
      </c>
      <c r="G26" s="156" t="str">
        <f ca="1">IF(ROW()-16&gt;MASTER!$AF$15,"",SUMIFS(PEMASUKAN!$J$5:$J$204,PEMASUKAN!$C$5:$C$204,TEXT(DATE($B$4,ROW()-16,1),"yyyy-mm"),PEMASUKAN!$M$5:$M$204,"Pendapatan Operasional")+SUMIFS(PEMASUKAN!$J$5:$J$204,PEMASUKAN!$C$5:$C$204,TEXT(DATE($B$4,ROW()-16,1),"yyyy-mm"),PEMASUKAN!$M$5:$M$204,"Penggantian Biaya"))</f>
        <v/>
      </c>
      <c r="H26"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6" s="156" t="str">
        <f ca="1">IF(ROW()-16&gt;MASTER!$AF$15,"",SUMIFS(REIMBURSE!$J$5:$J$124,REIMBURSE!$N$5:$N$124,"&gt;="&amp;DATE($B$4,ROW()-16,1),REIMBURSE!$N$5:$N$124,"&lt;"&amp;DATE($B$4,ROW()-15,1)))</f>
        <v/>
      </c>
      <c r="J26" s="157" t="str">
        <f ca="1">IF(ROW()-16&gt;MASTER!$AF$15,"",SUMIFS(PARTNER!$I$5:$I$124,PARTNER!$E$5:$E$124,MASTER!$Y$7,PARTNER!$V$5:$V$124,"&gt;="&amp;DATE($B$4,ROW()-16,1),PARTNER!$V$5:$V$124,"&lt;"&amp;DATE($B$4,ROW()-15,1))+SUMIFS(PARTNER!$I$5:$I$124,PARTNER!$E$5:$E$124,MASTER!$Y$8,PARTNER!$V$5:$V$124,"&gt;="&amp;DATE($B$4,ROW()-16,1),PARTNER!$V$5:$V$124,"&lt;"&amp;DATE($B$4,ROW()-15,1)))</f>
        <v/>
      </c>
      <c r="K26" s="157" t="str">
        <f ca="1">IF(ROW()-16&gt;MASTER!$AF$15,"",SUMIFS(PARTNER!$I$5:$I$124,PARTNER!$E$5:$E$124,MASTER!$Y$9,PARTNER!$V$5:$V$124,"&gt;="&amp;DATE($B$4,ROW()-16,1),PARTNER!$V$5:$V$124,"&lt;"&amp;DATE($B$4,ROW()-15,1)))</f>
        <v/>
      </c>
      <c r="L26" s="156" t="str" cm="1">
        <f t="array" aca="1" ref="L26" ca="1">IF(ROW()-16&gt;MASTER!$AF$15,"",INDEX(ARUS_KAS!$B$24:$M$24,1,ROW()-16)+INDEX(ARUS_KAS!$B$26:$M$26,1,ROW()-16)+INDEX(ARUS_KAS!$B$28:$M$28,1,ROW()-16))</f>
        <v/>
      </c>
      <c r="M26" s="157" t="str" cm="1">
        <f t="array" aca="1" ref="M26" ca="1">IF(ROW()-16&gt;MASTER!$AF$15,"",F26+INDEX(ARUS_KAS!$B$8:$M$8,1,ROW()-16)+INDEX(ARUS_KAS!$B$9:$M$9,1,ROW()-16)-INDEX(ARUS_KAS!$B$12:$M$12,1,ROW()-16)-INDEX(ARUS_KAS!$B$13:$M$13,1,ROW()-16)-INDEX(ARUS_KAS!$B$14:$M$14,1,ROW()-16)-INDEX(ARUS_KAS!$B$15:$M$15,1,ROW()-16)+INDEX(ARUS_KAS!$B$24:$M$24,1,ROW()-16)-INDEX(ARUS_KAS!$B$25:$M$25,1,ROW()-16)+INDEX(ARUS_KAS!$B$26:$M$26,1,ROW()-16)+INDEX(ARUS_KAS!$B$28:$M$28,1,ROW()-16))</f>
        <v/>
      </c>
      <c r="N26" s="157" t="str">
        <f ca="1">IF(ROW()-16&gt;MASTER!$AF$15,"",ABS(F26+G26-H26-I26-J26-K26+L26-M26))</f>
        <v/>
      </c>
    </row>
    <row r="27" spans="1:14" ht="21" customHeight="1">
      <c r="A27" s="155" t="s">
        <v>241</v>
      </c>
      <c r="B27" s="156" t="str">
        <f ca="1">IF(ROW()-16&gt;MASTER!$AF$15,"",SUMIFS(PEMASUKAN!$H$5:$H$204,PEMASUKAN!$C$5:$C$204,TEXT(DATE($B$4,ROW()-16,1),"yyyy-mm"),PEMASUKAN!$M$5:$M$204,"Pendapatan Operasional"))</f>
        <v/>
      </c>
      <c r="C27" s="156" t="str">
        <f ca="1">IF(ROW()-16&gt;MASTER!$AF$15,"",SUMIFS(PENGELUARAN!$K$5:$K$204,PENGELUARAN!$C$5:$C$204,TEXT(DATE($B$4,ROW()-16,1),"yyyy-mm"),PENGELUARAN!$L$5:$L$204,"Kantor")+SUMIFS(GAJI!$Q$5:$Q$124,GAJI!$B$5:$B$124,"&gt;="&amp;DATE($B$4,ROW()-16,1),GAJI!$B$5:$B$124,"&lt;"&amp;DATE($B$4,ROW()-15,1)))</f>
        <v/>
      </c>
      <c r="D27" s="156" t="str">
        <f ca="1">IF(ROW()-16&gt;MASTER!$AF$15,"",B27-C27)</f>
        <v/>
      </c>
      <c r="E27" s="156" t="str">
        <f ca="1">IF(ROW()-16&gt;MASTER!$AF$15,"",SUM($D$17:D27))</f>
        <v/>
      </c>
      <c r="F27" s="156" t="str">
        <f ca="1">IF(ROW()-16&gt;MASTER!$AF$15,"",IF(ROW()=17,SUMIFS(KAS_BANK!$B$5:$B$10,KAS_BANK!$A$5:$A$10,"&lt;&gt;Bank Dana Klien")+MAX(-KAS_BANK!$B$7,0)+MAX(-KAS_BANK!$B$8,0)+MAX(-KAS_BANK!$B$9,0),M26))</f>
        <v/>
      </c>
      <c r="G27" s="156" t="str">
        <f ca="1">IF(ROW()-16&gt;MASTER!$AF$15,"",SUMIFS(PEMASUKAN!$J$5:$J$204,PEMASUKAN!$C$5:$C$204,TEXT(DATE($B$4,ROW()-16,1),"yyyy-mm"),PEMASUKAN!$M$5:$M$204,"Pendapatan Operasional")+SUMIFS(PEMASUKAN!$J$5:$J$204,PEMASUKAN!$C$5:$C$204,TEXT(DATE($B$4,ROW()-16,1),"yyyy-mm"),PEMASUKAN!$M$5:$M$204,"Penggantian Biaya"))</f>
        <v/>
      </c>
      <c r="H27"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7" s="156" t="str">
        <f ca="1">IF(ROW()-16&gt;MASTER!$AF$15,"",SUMIFS(REIMBURSE!$J$5:$J$124,REIMBURSE!$N$5:$N$124,"&gt;="&amp;DATE($B$4,ROW()-16,1),REIMBURSE!$N$5:$N$124,"&lt;"&amp;DATE($B$4,ROW()-15,1)))</f>
        <v/>
      </c>
      <c r="J27" s="157" t="str">
        <f ca="1">IF(ROW()-16&gt;MASTER!$AF$15,"",SUMIFS(PARTNER!$I$5:$I$124,PARTNER!$E$5:$E$124,MASTER!$Y$7,PARTNER!$V$5:$V$124,"&gt;="&amp;DATE($B$4,ROW()-16,1),PARTNER!$V$5:$V$124,"&lt;"&amp;DATE($B$4,ROW()-15,1))+SUMIFS(PARTNER!$I$5:$I$124,PARTNER!$E$5:$E$124,MASTER!$Y$8,PARTNER!$V$5:$V$124,"&gt;="&amp;DATE($B$4,ROW()-16,1),PARTNER!$V$5:$V$124,"&lt;"&amp;DATE($B$4,ROW()-15,1)))</f>
        <v/>
      </c>
      <c r="K27" s="157" t="str">
        <f ca="1">IF(ROW()-16&gt;MASTER!$AF$15,"",SUMIFS(PARTNER!$I$5:$I$124,PARTNER!$E$5:$E$124,MASTER!$Y$9,PARTNER!$V$5:$V$124,"&gt;="&amp;DATE($B$4,ROW()-16,1),PARTNER!$V$5:$V$124,"&lt;"&amp;DATE($B$4,ROW()-15,1)))</f>
        <v/>
      </c>
      <c r="L27" s="156" t="str" cm="1">
        <f t="array" aca="1" ref="L27" ca="1">IF(ROW()-16&gt;MASTER!$AF$15,"",INDEX(ARUS_KAS!$B$24:$M$24,1,ROW()-16)+INDEX(ARUS_KAS!$B$26:$M$26,1,ROW()-16)+INDEX(ARUS_KAS!$B$28:$M$28,1,ROW()-16))</f>
        <v/>
      </c>
      <c r="M27" s="157" t="str" cm="1">
        <f t="array" aca="1" ref="M27" ca="1">IF(ROW()-16&gt;MASTER!$AF$15,"",F27+INDEX(ARUS_KAS!$B$8:$M$8,1,ROW()-16)+INDEX(ARUS_KAS!$B$9:$M$9,1,ROW()-16)-INDEX(ARUS_KAS!$B$12:$M$12,1,ROW()-16)-INDEX(ARUS_KAS!$B$13:$M$13,1,ROW()-16)-INDEX(ARUS_KAS!$B$14:$M$14,1,ROW()-16)-INDEX(ARUS_KAS!$B$15:$M$15,1,ROW()-16)+INDEX(ARUS_KAS!$B$24:$M$24,1,ROW()-16)-INDEX(ARUS_KAS!$B$25:$M$25,1,ROW()-16)+INDEX(ARUS_KAS!$B$26:$M$26,1,ROW()-16)+INDEX(ARUS_KAS!$B$28:$M$28,1,ROW()-16))</f>
        <v/>
      </c>
      <c r="N27" s="157" t="str">
        <f ca="1">IF(ROW()-16&gt;MASTER!$AF$15,"",ABS(F27+G27-H27-I27-J27-K27+L27-M27))</f>
        <v/>
      </c>
    </row>
    <row r="28" spans="1:14" ht="21" customHeight="1">
      <c r="A28" s="158" t="s">
        <v>242</v>
      </c>
      <c r="B28" s="156" t="str">
        <f ca="1">IF(ROW()-16&gt;MASTER!$AF$15,"",SUMIFS(PEMASUKAN!$H$5:$H$204,PEMASUKAN!$C$5:$C$204,TEXT(DATE($B$4,ROW()-16,1),"yyyy-mm"),PEMASUKAN!$M$5:$M$204,"Pendapatan Operasional"))</f>
        <v/>
      </c>
      <c r="C28" s="156" t="str">
        <f ca="1">IF(ROW()-16&gt;MASTER!$AF$15,"",SUMIFS(PENGELUARAN!$K$5:$K$204,PENGELUARAN!$C$5:$C$204,TEXT(DATE($B$4,ROW()-16,1),"yyyy-mm"),PENGELUARAN!$L$5:$L$204,"Kantor")+SUMIFS(GAJI!$Q$5:$Q$124,GAJI!$B$5:$B$124,"&gt;="&amp;DATE($B$4,ROW()-16,1),GAJI!$B$5:$B$124,"&lt;"&amp;DATE($B$4,ROW()-15,1)))</f>
        <v/>
      </c>
      <c r="D28" s="156" t="str">
        <f ca="1">IF(ROW()-16&gt;MASTER!$AF$15,"",B28-C28)</f>
        <v/>
      </c>
      <c r="E28" s="156" t="str">
        <f ca="1">IF(ROW()-16&gt;MASTER!$AF$15,"",SUM($D$17:D28))</f>
        <v/>
      </c>
      <c r="F28" s="156" t="str">
        <f ca="1">IF(ROW()-16&gt;MASTER!$AF$15,"",IF(ROW()=17,SUMIFS(KAS_BANK!$B$5:$B$10,KAS_BANK!$A$5:$A$10,"&lt;&gt;Bank Dana Klien")+MAX(-KAS_BANK!$B$7,0)+MAX(-KAS_BANK!$B$8,0)+MAX(-KAS_BANK!$B$9,0),M27))</f>
        <v/>
      </c>
      <c r="G28" s="156" t="str">
        <f ca="1">IF(ROW()-16&gt;MASTER!$AF$15,"",SUMIFS(PEMASUKAN!$J$5:$J$204,PEMASUKAN!$C$5:$C$204,TEXT(DATE($B$4,ROW()-16,1),"yyyy-mm"),PEMASUKAN!$M$5:$M$204,"Pendapatan Operasional")+SUMIFS(PEMASUKAN!$J$5:$J$204,PEMASUKAN!$C$5:$C$204,TEXT(DATE($B$4,ROW()-16,1),"yyyy-mm"),PEMASUKAN!$M$5:$M$204,"Penggantian Biaya"))</f>
        <v/>
      </c>
      <c r="H28"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8" s="156" t="str">
        <f ca="1">IF(ROW()-16&gt;MASTER!$AF$15,"",SUMIFS(REIMBURSE!$J$5:$J$124,REIMBURSE!$N$5:$N$124,"&gt;="&amp;DATE($B$4,ROW()-16,1),REIMBURSE!$N$5:$N$124,"&lt;"&amp;DATE($B$4,ROW()-15,1)))</f>
        <v/>
      </c>
      <c r="J28" s="157" t="str">
        <f ca="1">IF(ROW()-16&gt;MASTER!$AF$15,"",SUMIFS(PARTNER!$I$5:$I$124,PARTNER!$E$5:$E$124,MASTER!$Y$7,PARTNER!$V$5:$V$124,"&gt;="&amp;DATE($B$4,ROW()-16,1),PARTNER!$V$5:$V$124,"&lt;"&amp;DATE($B$4,ROW()-15,1))+SUMIFS(PARTNER!$I$5:$I$124,PARTNER!$E$5:$E$124,MASTER!$Y$8,PARTNER!$V$5:$V$124,"&gt;="&amp;DATE($B$4,ROW()-16,1),PARTNER!$V$5:$V$124,"&lt;"&amp;DATE($B$4,ROW()-15,1)))</f>
        <v/>
      </c>
      <c r="K28" s="157" t="str">
        <f ca="1">IF(ROW()-16&gt;MASTER!$AF$15,"",SUMIFS(PARTNER!$I$5:$I$124,PARTNER!$E$5:$E$124,MASTER!$Y$9,PARTNER!$V$5:$V$124,"&gt;="&amp;DATE($B$4,ROW()-16,1),PARTNER!$V$5:$V$124,"&lt;"&amp;DATE($B$4,ROW()-15,1)))</f>
        <v/>
      </c>
      <c r="L28" s="156" t="str" cm="1">
        <f t="array" aca="1" ref="L28" ca="1">IF(ROW()-16&gt;MASTER!$AF$15,"",INDEX(ARUS_KAS!$B$24:$M$24,1,ROW()-16)+INDEX(ARUS_KAS!$B$26:$M$26,1,ROW()-16)+INDEX(ARUS_KAS!$B$28:$M$28,1,ROW()-16))</f>
        <v/>
      </c>
      <c r="M28" s="157" t="str" cm="1">
        <f t="array" aca="1" ref="M28" ca="1">IF(ROW()-16&gt;MASTER!$AF$15,"",F28+INDEX(ARUS_KAS!$B$8:$M$8,1,ROW()-16)+INDEX(ARUS_KAS!$B$9:$M$9,1,ROW()-16)-INDEX(ARUS_KAS!$B$12:$M$12,1,ROW()-16)-INDEX(ARUS_KAS!$B$13:$M$13,1,ROW()-16)-INDEX(ARUS_KAS!$B$14:$M$14,1,ROW()-16)-INDEX(ARUS_KAS!$B$15:$M$15,1,ROW()-16)+INDEX(ARUS_KAS!$B$24:$M$24,1,ROW()-16)-INDEX(ARUS_KAS!$B$25:$M$25,1,ROW()-16)+INDEX(ARUS_KAS!$B$26:$M$26,1,ROW()-16)+INDEX(ARUS_KAS!$B$28:$M$28,1,ROW()-16))</f>
        <v/>
      </c>
      <c r="N28" s="157" t="str">
        <f ca="1">IF(ROW()-16&gt;MASTER!$AF$15,"",ABS(F28+G28-H28-I28-J28-K28+L28-M28))</f>
        <v/>
      </c>
    </row>
    <row r="29" spans="1:14" ht="24" customHeight="1">
      <c r="A29" s="159" t="s">
        <v>243</v>
      </c>
      <c r="B29" s="160">
        <f ca="1">SUM(B17:B28)</f>
        <v>16000000</v>
      </c>
      <c r="C29" s="160">
        <f ca="1">SUM(C17:C28)</f>
        <v>8095908</v>
      </c>
      <c r="D29" s="160">
        <f ca="1">SUM(D17:D28)</f>
        <v>7904092</v>
      </c>
      <c r="E29" s="160" cm="1">
        <f t="array" aca="1" ref="E29" ca="1">IFERROR(INDEX(E17:E28,MASTER!$AF$15),0)</f>
        <v>7904092</v>
      </c>
      <c r="F29" s="160" cm="1">
        <f t="array" aca="1" ref="F29" ca="1">IFERROR(INDEX(F17:F28,MASTER!$AF$15),"")</f>
        <v>4609400</v>
      </c>
      <c r="G29" s="160">
        <f t="shared" ref="G29:L29" ca="1" si="0">SUM(G17:G28)</f>
        <v>16000000</v>
      </c>
      <c r="H29" s="160">
        <f t="shared" ca="1" si="0"/>
        <v>5095908</v>
      </c>
      <c r="I29" s="160">
        <f t="shared" ca="1" si="0"/>
        <v>0</v>
      </c>
      <c r="J29" s="160">
        <f t="shared" ca="1" si="0"/>
        <v>9000000</v>
      </c>
      <c r="K29" s="160">
        <f t="shared" ca="1" si="0"/>
        <v>0</v>
      </c>
      <c r="L29" s="160">
        <f t="shared" ca="1" si="0"/>
        <v>1000000</v>
      </c>
      <c r="M29" s="160" cm="1">
        <f t="array" aca="1" ref="M29" ca="1">IFERROR(INDEX(M17:M28,MASTER!$AF$15),0)</f>
        <v>2904092</v>
      </c>
      <c r="N29" s="160">
        <f ca="1">SUM(N17:N28)</f>
        <v>0</v>
      </c>
    </row>
    <row r="30" spans="1:14" ht="28.05" customHeight="1">
      <c r="A30" s="149"/>
      <c r="B30" s="149"/>
      <c r="C30" s="149"/>
      <c r="D30" s="149"/>
      <c r="E30" s="149"/>
      <c r="F30" s="149"/>
      <c r="G30" s="149"/>
      <c r="H30" s="149"/>
      <c r="I30" s="149"/>
      <c r="J30" s="149"/>
      <c r="K30" s="149"/>
      <c r="L30" s="149"/>
      <c r="M30" s="149"/>
      <c r="N30" s="149"/>
    </row>
    <row r="31" spans="1:14" ht="24" customHeight="1">
      <c r="A31" s="259" t="s">
        <v>532</v>
      </c>
      <c r="B31" s="260" t="s">
        <v>532</v>
      </c>
      <c r="C31" s="260" t="s">
        <v>532</v>
      </c>
      <c r="D31" s="260" t="s">
        <v>532</v>
      </c>
      <c r="E31" s="260" t="s">
        <v>532</v>
      </c>
      <c r="F31" s="260" t="s">
        <v>532</v>
      </c>
      <c r="G31" s="260" t="s">
        <v>532</v>
      </c>
      <c r="H31" s="260" t="s">
        <v>532</v>
      </c>
      <c r="I31" s="260" t="s">
        <v>532</v>
      </c>
      <c r="J31" s="260" t="s">
        <v>532</v>
      </c>
      <c r="K31" s="260" t="s">
        <v>532</v>
      </c>
      <c r="L31" s="260" t="s">
        <v>532</v>
      </c>
      <c r="M31" s="260" t="s">
        <v>532</v>
      </c>
      <c r="N31" s="260" t="s">
        <v>532</v>
      </c>
    </row>
    <row r="32" spans="1:14" ht="14.4">
      <c r="A32" s="149"/>
      <c r="B32" s="149"/>
      <c r="C32" s="149"/>
      <c r="D32" s="149"/>
      <c r="E32" s="149"/>
      <c r="F32" s="149"/>
      <c r="G32" s="149"/>
      <c r="H32" s="149"/>
      <c r="I32" s="149"/>
      <c r="J32" s="149"/>
      <c r="K32" s="149"/>
      <c r="L32" s="149"/>
      <c r="M32" s="149"/>
      <c r="N32" s="149"/>
    </row>
    <row r="33" spans="1:14" ht="22.95" customHeight="1">
      <c r="A33" s="257" t="s">
        <v>533</v>
      </c>
      <c r="B33" s="258" t="s">
        <v>533</v>
      </c>
      <c r="C33" s="258" t="s">
        <v>533</v>
      </c>
      <c r="D33" s="258" t="s">
        <v>533</v>
      </c>
      <c r="E33" s="258" t="s">
        <v>533</v>
      </c>
      <c r="F33" s="258" t="s">
        <v>533</v>
      </c>
      <c r="G33" s="258" t="s">
        <v>533</v>
      </c>
      <c r="H33" s="258" t="s">
        <v>534</v>
      </c>
      <c r="I33" s="258" t="s">
        <v>534</v>
      </c>
      <c r="J33" s="258" t="s">
        <v>534</v>
      </c>
      <c r="K33" s="258" t="s">
        <v>534</v>
      </c>
      <c r="L33" s="258" t="s">
        <v>534</v>
      </c>
      <c r="M33" s="258" t="s">
        <v>534</v>
      </c>
      <c r="N33" s="258" t="s">
        <v>534</v>
      </c>
    </row>
    <row r="34" spans="1:14" s="228" customFormat="1" ht="25.05" customHeight="1">
      <c r="A34" s="227"/>
      <c r="B34" s="227"/>
      <c r="C34" s="227"/>
      <c r="D34" s="227"/>
      <c r="E34" s="227"/>
      <c r="F34" s="227"/>
      <c r="G34" s="227"/>
      <c r="H34" s="227"/>
      <c r="I34" s="227"/>
      <c r="J34" s="227"/>
      <c r="K34" s="227"/>
      <c r="L34" s="227"/>
      <c r="M34" s="227"/>
      <c r="N34" s="227"/>
    </row>
    <row r="35" spans="1:14" s="228" customFormat="1" ht="22.95" customHeight="1">
      <c r="A35" s="261" t="s">
        <v>535</v>
      </c>
      <c r="B35" s="261" t="s">
        <v>535</v>
      </c>
      <c r="C35" s="261" t="s">
        <v>535</v>
      </c>
      <c r="D35" s="261" t="s">
        <v>535</v>
      </c>
      <c r="E35" s="262">
        <f ca="1">INDEX($F$17:$F$28,MASTER!$AF$15)</f>
        <v>4609400</v>
      </c>
      <c r="F35" s="262"/>
      <c r="G35" s="262"/>
      <c r="H35" s="261" t="s">
        <v>536</v>
      </c>
      <c r="I35" s="261" t="s">
        <v>536</v>
      </c>
      <c r="J35" s="261" t="s">
        <v>536</v>
      </c>
      <c r="K35" s="261" t="s">
        <v>536</v>
      </c>
      <c r="L35" s="262">
        <f ca="1">INDEX($D$17:$D$28,MASTER!$AF$15)</f>
        <v>-4705308</v>
      </c>
      <c r="M35" s="262"/>
      <c r="N35" s="262"/>
    </row>
    <row r="36" spans="1:14" s="228" customFormat="1" ht="22.95" customHeight="1">
      <c r="A36" s="263" t="s">
        <v>537</v>
      </c>
      <c r="B36" s="263" t="s">
        <v>537</v>
      </c>
      <c r="C36" s="263" t="s">
        <v>537</v>
      </c>
      <c r="D36" s="263" t="s">
        <v>537</v>
      </c>
      <c r="E36" s="264">
        <f ca="1">INDEX($G$17:$G$28,MASTER!$AF$15)</f>
        <v>0</v>
      </c>
      <c r="F36" s="264"/>
      <c r="G36" s="264"/>
      <c r="H36" s="263" t="s">
        <v>538</v>
      </c>
      <c r="I36" s="263" t="s">
        <v>538</v>
      </c>
      <c r="J36" s="263" t="s">
        <v>538</v>
      </c>
      <c r="K36" s="263" t="s">
        <v>538</v>
      </c>
      <c r="L36" s="264">
        <f ca="1">INDEX($E$17:$E$28,MASTER!$AF$15)</f>
        <v>7904092</v>
      </c>
      <c r="M36" s="264"/>
      <c r="N36" s="264"/>
    </row>
    <row r="37" spans="1:14" s="228" customFormat="1" ht="22.95" customHeight="1">
      <c r="A37" s="261" t="s">
        <v>539</v>
      </c>
      <c r="B37" s="261" t="s">
        <v>539</v>
      </c>
      <c r="C37" s="261" t="s">
        <v>539</v>
      </c>
      <c r="D37" s="261" t="s">
        <v>539</v>
      </c>
      <c r="E37" s="262">
        <f ca="1">INDEX($H$17:$H$28,MASTER!$AF$15)</f>
        <v>1705308</v>
      </c>
      <c r="F37" s="262"/>
      <c r="G37" s="262"/>
      <c r="H37" s="261" t="s">
        <v>540</v>
      </c>
      <c r="I37" s="261" t="s">
        <v>540</v>
      </c>
      <c r="J37" s="261" t="s">
        <v>540</v>
      </c>
      <c r="K37" s="261" t="s">
        <v>540</v>
      </c>
      <c r="L37" s="262">
        <f ca="1">INDEX($J$17:$J$28,MASTER!$AF$15)</f>
        <v>0</v>
      </c>
      <c r="M37" s="262"/>
      <c r="N37" s="262"/>
    </row>
    <row r="38" spans="1:14" s="228" customFormat="1" ht="22.95" customHeight="1">
      <c r="A38" s="263" t="s">
        <v>541</v>
      </c>
      <c r="B38" s="263" t="s">
        <v>541</v>
      </c>
      <c r="C38" s="263" t="s">
        <v>541</v>
      </c>
      <c r="D38" s="263" t="s">
        <v>541</v>
      </c>
      <c r="E38" s="264">
        <f ca="1">INDEX($I$17:$I$28,MASTER!$AF$15)</f>
        <v>0</v>
      </c>
      <c r="F38" s="264"/>
      <c r="G38" s="264"/>
      <c r="H38" s="263" t="s">
        <v>542</v>
      </c>
      <c r="I38" s="263" t="s">
        <v>542</v>
      </c>
      <c r="J38" s="263" t="s">
        <v>542</v>
      </c>
      <c r="K38" s="263" t="s">
        <v>542</v>
      </c>
      <c r="L38" s="264">
        <f>TALANGAN_PARTNER!I9</f>
        <v>1000000</v>
      </c>
      <c r="M38" s="264"/>
      <c r="N38" s="264"/>
    </row>
    <row r="39" spans="1:14" s="228" customFormat="1" ht="22.95" customHeight="1">
      <c r="A39" s="261" t="s">
        <v>543</v>
      </c>
      <c r="B39" s="261" t="s">
        <v>543</v>
      </c>
      <c r="C39" s="261" t="s">
        <v>543</v>
      </c>
      <c r="D39" s="261" t="s">
        <v>543</v>
      </c>
      <c r="E39" s="262">
        <f ca="1">INDEX($J$17:$J$28,MASTER!$AF$15)</f>
        <v>0</v>
      </c>
      <c r="F39" s="262"/>
      <c r="G39" s="262"/>
      <c r="H39" s="261" t="s">
        <v>544</v>
      </c>
      <c r="I39" s="261" t="s">
        <v>544</v>
      </c>
      <c r="J39" s="261" t="s">
        <v>544</v>
      </c>
      <c r="K39" s="261" t="s">
        <v>544</v>
      </c>
      <c r="L39" s="262">
        <f>EKUITAS!N8</f>
        <v>-9000000</v>
      </c>
      <c r="M39" s="262"/>
      <c r="N39" s="262"/>
    </row>
    <row r="40" spans="1:14" s="228" customFormat="1" ht="22.95" customHeight="1">
      <c r="A40" s="263" t="s">
        <v>545</v>
      </c>
      <c r="B40" s="263" t="s">
        <v>545</v>
      </c>
      <c r="C40" s="263" t="s">
        <v>545</v>
      </c>
      <c r="D40" s="263" t="s">
        <v>545</v>
      </c>
      <c r="E40" s="264">
        <f ca="1">INDEX($K$17:$K$28,MASTER!$AF$15)</f>
        <v>0</v>
      </c>
      <c r="F40" s="264"/>
      <c r="G40" s="264"/>
      <c r="H40" s="263" t="s">
        <v>546</v>
      </c>
      <c r="I40" s="263" t="s">
        <v>546</v>
      </c>
      <c r="J40" s="263" t="s">
        <v>546</v>
      </c>
      <c r="K40" s="263" t="s">
        <v>546</v>
      </c>
      <c r="L40" s="264">
        <f>SUM(INVOICE_PIUTANG!$L$5:$L$151)</f>
        <v>33500000</v>
      </c>
      <c r="M40" s="264"/>
      <c r="N40" s="264"/>
    </row>
    <row r="41" spans="1:14" s="228" customFormat="1" ht="22.95" customHeight="1">
      <c r="A41" s="261" t="s">
        <v>547</v>
      </c>
      <c r="B41" s="261" t="s">
        <v>547</v>
      </c>
      <c r="C41" s="261" t="s">
        <v>547</v>
      </c>
      <c r="D41" s="261" t="s">
        <v>547</v>
      </c>
      <c r="E41" s="262">
        <f ca="1">INDEX($L$17:$L$28,MASTER!$AF$15)</f>
        <v>0</v>
      </c>
      <c r="F41" s="262"/>
      <c r="G41" s="262"/>
      <c r="H41" s="261" t="s">
        <v>548</v>
      </c>
      <c r="I41" s="261" t="s">
        <v>548</v>
      </c>
      <c r="J41" s="261" t="s">
        <v>548</v>
      </c>
      <c r="K41" s="261" t="s">
        <v>548</v>
      </c>
      <c r="L41" s="262">
        <f ca="1">INDEX($N$17:$N$28,MASTER!$AF$15)</f>
        <v>0</v>
      </c>
      <c r="M41" s="262"/>
      <c r="N41" s="262"/>
    </row>
    <row r="42" spans="1:14" ht="34.049999999999997" customHeight="1">
      <c r="A42" s="265" t="s">
        <v>549</v>
      </c>
      <c r="B42" s="265" t="s">
        <v>549</v>
      </c>
      <c r="C42" s="265" t="s">
        <v>549</v>
      </c>
      <c r="D42" s="265" t="s">
        <v>549</v>
      </c>
      <c r="E42" s="266">
        <f ca="1">INDEX($M$17:$M$28,MASTER!$AF$15)</f>
        <v>2904092</v>
      </c>
      <c r="F42" s="266"/>
      <c r="G42" s="266"/>
      <c r="H42" s="265" t="s">
        <v>550</v>
      </c>
      <c r="I42" s="265" t="s">
        <v>550</v>
      </c>
      <c r="J42" s="265" t="s">
        <v>550</v>
      </c>
      <c r="K42" s="265" t="s">
        <v>550</v>
      </c>
      <c r="L42" s="267" t="str">
        <f ca="1">KONTROL!A68</f>
        <v>PERIKSA — ADA TEMUAN KRITIS / TINGGI</v>
      </c>
      <c r="M42" s="267"/>
      <c r="N42" s="267"/>
    </row>
    <row r="43" spans="1:14" ht="14.4">
      <c r="A43" s="149"/>
      <c r="B43" s="149"/>
      <c r="C43" s="149"/>
      <c r="D43" s="149"/>
      <c r="E43" s="149"/>
      <c r="F43" s="149"/>
      <c r="G43" s="149"/>
      <c r="H43" s="149"/>
      <c r="I43" s="149"/>
      <c r="J43" s="149"/>
      <c r="K43" s="149"/>
      <c r="L43" s="149"/>
      <c r="M43" s="149"/>
      <c r="N43" s="149"/>
    </row>
    <row r="44" spans="1:14" ht="22.95" customHeight="1">
      <c r="A44" s="257" t="s">
        <v>551</v>
      </c>
      <c r="B44" s="258" t="s">
        <v>551</v>
      </c>
      <c r="C44" s="258" t="s">
        <v>551</v>
      </c>
      <c r="D44" s="258" t="s">
        <v>551</v>
      </c>
      <c r="E44" s="258" t="s">
        <v>551</v>
      </c>
      <c r="F44" s="258" t="s">
        <v>551</v>
      </c>
      <c r="G44" s="258" t="s">
        <v>551</v>
      </c>
      <c r="H44" s="258" t="s">
        <v>551</v>
      </c>
      <c r="I44" s="258" t="s">
        <v>551</v>
      </c>
      <c r="J44" s="258" t="s">
        <v>551</v>
      </c>
      <c r="K44" s="258" t="s">
        <v>551</v>
      </c>
      <c r="L44" s="258" t="s">
        <v>551</v>
      </c>
      <c r="M44" s="258" t="s">
        <v>551</v>
      </c>
      <c r="N44" s="258" t="s">
        <v>551</v>
      </c>
    </row>
    <row r="45" spans="1:14" ht="40.049999999999997" customHeight="1">
      <c r="A45" s="268" t="s">
        <v>214</v>
      </c>
      <c r="B45" s="268" t="s">
        <v>214</v>
      </c>
      <c r="C45" s="268" t="s">
        <v>552</v>
      </c>
      <c r="D45" s="268" t="s">
        <v>552</v>
      </c>
      <c r="E45" s="268" t="s">
        <v>553</v>
      </c>
      <c r="F45" s="268" t="s">
        <v>553</v>
      </c>
      <c r="G45" s="268" t="s">
        <v>528</v>
      </c>
      <c r="H45" s="268" t="s">
        <v>528</v>
      </c>
      <c r="I45" s="268" t="s">
        <v>172</v>
      </c>
      <c r="J45" s="268" t="s">
        <v>172</v>
      </c>
      <c r="K45" s="268" t="s">
        <v>554</v>
      </c>
      <c r="L45" s="268" t="s">
        <v>554</v>
      </c>
      <c r="M45" s="268" t="s">
        <v>555</v>
      </c>
      <c r="N45" s="268" t="s">
        <v>555</v>
      </c>
    </row>
    <row r="46" spans="1:14" ht="22.95" customHeight="1">
      <c r="A46" s="269" t="str">
        <f>MASTER!A5</f>
        <v>Fajar Roni</v>
      </c>
      <c r="B46" s="269"/>
      <c r="C46" s="270">
        <f>SUMIFS(PARTNER!$H$5:$H$124,PARTNER!$D$5:$D$124,$A46,PARTNER!$E$5:$E$124,MASTER!$Y$6)</f>
        <v>0</v>
      </c>
      <c r="D46" s="270"/>
      <c r="E46" s="270">
        <f>SUMIFS(PARTNER!$I$5:$I$124,PARTNER!$D$5:$D$124,$A46,PARTNER!$E$5:$E$124,MASTER!$Y$7)+SUMIFS(PARTNER!$I$5:$I$124,PARTNER!$D$5:$D$124,$A46,PARTNER!$E$5:$E$124,MASTER!$Y$8)</f>
        <v>9000000</v>
      </c>
      <c r="F46" s="270"/>
      <c r="G46" s="270">
        <f>SUMIFS(PARTNER!$I$5:$I$124,PARTNER!$D$5:$D$124,$A46,PARTNER!$E$5:$E$124,MASTER!$Y$9)</f>
        <v>0</v>
      </c>
      <c r="H46" s="270"/>
      <c r="I46" s="270">
        <f>SUMIFS(REIMBURSE!$J$5:$J$124,REIMBURSE!$C$5:$C$124,$A46)</f>
        <v>0</v>
      </c>
      <c r="J46" s="270"/>
      <c r="K46" s="270">
        <f>SUMIFS(TALANGAN_PARTNER!$I$6:$I$8,TALANGAN_PARTNER!$A$6:$A$8,$A46)</f>
        <v>1000000</v>
      </c>
      <c r="L46" s="270"/>
      <c r="M46" s="270">
        <f>SUMIFS(PARTNER!$H$5:$H$124,PARTNER!$D$5:$D$124,$A46)-SUMIFS(PARTNER!$I$5:$I$124,PARTNER!$D$5:$D$124,$A46)+SUMIFS(PARTNER!$I$5:$I$124,PARTNER!$D$5:$D$124,$A46,PARTNER!$E$5:$E$124,MASTER!$Y$9)</f>
        <v>0</v>
      </c>
      <c r="N46" s="270"/>
    </row>
    <row r="47" spans="1:14" ht="22.95" customHeight="1">
      <c r="A47" s="272" t="str">
        <f>MASTER!A6</f>
        <v>Reza Evaldo Kusumah</v>
      </c>
      <c r="B47" s="272"/>
      <c r="C47" s="271">
        <f>SUMIFS(PARTNER!$H$5:$H$124,PARTNER!$D$5:$D$124,$A47,PARTNER!$E$5:$E$124,MASTER!$Y$6)</f>
        <v>0</v>
      </c>
      <c r="D47" s="271"/>
      <c r="E47" s="271">
        <f>SUMIFS(PARTNER!$I$5:$I$124,PARTNER!$D$5:$D$124,$A47,PARTNER!$E$5:$E$124,MASTER!$Y$7)+SUMIFS(PARTNER!$I$5:$I$124,PARTNER!$D$5:$D$124,$A47,PARTNER!$E$5:$E$124,MASTER!$Y$8)</f>
        <v>0</v>
      </c>
      <c r="F47" s="271"/>
      <c r="G47" s="271">
        <f>SUMIFS(PARTNER!$I$5:$I$124,PARTNER!$D$5:$D$124,$A47,PARTNER!$E$5:$E$124,MASTER!$Y$9)</f>
        <v>0</v>
      </c>
      <c r="H47" s="271"/>
      <c r="I47" s="271">
        <f>SUMIFS(REIMBURSE!$J$5:$J$124,REIMBURSE!$C$5:$C$124,$A47)</f>
        <v>0</v>
      </c>
      <c r="J47" s="271"/>
      <c r="K47" s="271">
        <f>SUMIFS(TALANGAN_PARTNER!$I$6:$I$8,TALANGAN_PARTNER!$A$6:$A$8,$A47)</f>
        <v>0</v>
      </c>
      <c r="L47" s="271"/>
      <c r="M47" s="271">
        <f>SUMIFS(PARTNER!$H$5:$H$124,PARTNER!$D$5:$D$124,$A47)-SUMIFS(PARTNER!$I$5:$I$124,PARTNER!$D$5:$D$124,$A47)+SUMIFS(PARTNER!$I$5:$I$124,PARTNER!$D$5:$D$124,$A47,PARTNER!$E$5:$E$124,MASTER!$Y$9)</f>
        <v>0</v>
      </c>
      <c r="N47" s="271"/>
    </row>
    <row r="48" spans="1:14" ht="22.95" customHeight="1">
      <c r="A48" s="269" t="str">
        <f>MASTER!A7</f>
        <v>Anggara Putra</v>
      </c>
      <c r="B48" s="269"/>
      <c r="C48" s="270">
        <f>SUMIFS(PARTNER!$H$5:$H$124,PARTNER!$D$5:$D$124,$A48,PARTNER!$E$5:$E$124,MASTER!$Y$6)</f>
        <v>0</v>
      </c>
      <c r="D48" s="270"/>
      <c r="E48" s="270">
        <f>SUMIFS(PARTNER!$I$5:$I$124,PARTNER!$D$5:$D$124,$A48,PARTNER!$E$5:$E$124,MASTER!$Y$7)+SUMIFS(PARTNER!$I$5:$I$124,PARTNER!$D$5:$D$124,$A48,PARTNER!$E$5:$E$124,MASTER!$Y$8)</f>
        <v>0</v>
      </c>
      <c r="F48" s="270"/>
      <c r="G48" s="270">
        <f>SUMIFS(PARTNER!$I$5:$I$124,PARTNER!$D$5:$D$124,$A48,PARTNER!$E$5:$E$124,MASTER!$Y$9)</f>
        <v>0</v>
      </c>
      <c r="H48" s="270"/>
      <c r="I48" s="270">
        <f>SUMIFS(REIMBURSE!$J$5:$J$124,REIMBURSE!$C$5:$C$124,$A48)</f>
        <v>0</v>
      </c>
      <c r="J48" s="270"/>
      <c r="K48" s="270">
        <f>SUMIFS(TALANGAN_PARTNER!$I$6:$I$8,TALANGAN_PARTNER!$A$6:$A$8,$A48)</f>
        <v>0</v>
      </c>
      <c r="L48" s="270"/>
      <c r="M48" s="270">
        <f>SUMIFS(PARTNER!$H$5:$H$124,PARTNER!$D$5:$D$124,$A48)-SUMIFS(PARTNER!$I$5:$I$124,PARTNER!$D$5:$D$124,$A48)+SUMIFS(PARTNER!$I$5:$I$124,PARTNER!$D$5:$D$124,$A48,PARTNER!$E$5:$E$124,MASTER!$Y$9)</f>
        <v>0</v>
      </c>
      <c r="N48" s="270"/>
    </row>
    <row r="49" spans="1:14" ht="24" customHeight="1">
      <c r="A49" s="276" t="s">
        <v>556</v>
      </c>
      <c r="B49" s="276" t="s">
        <v>556</v>
      </c>
      <c r="C49" s="273">
        <f>SUM(C46:C48)</f>
        <v>0</v>
      </c>
      <c r="D49" s="273"/>
      <c r="E49" s="273">
        <f>SUM(E46:E48)</f>
        <v>9000000</v>
      </c>
      <c r="F49" s="273"/>
      <c r="G49" s="273">
        <f>SUM(G46:G48)</f>
        <v>0</v>
      </c>
      <c r="H49" s="273"/>
      <c r="I49" s="273">
        <f>SUM(I46:I48)</f>
        <v>0</v>
      </c>
      <c r="J49" s="273"/>
      <c r="K49" s="273">
        <f>SUM(K46:K48)</f>
        <v>1000000</v>
      </c>
      <c r="L49" s="273"/>
      <c r="M49" s="273">
        <f>SUM(M46:M48)</f>
        <v>0</v>
      </c>
      <c r="N49" s="273"/>
    </row>
    <row r="50" spans="1:14" ht="14.4">
      <c r="A50" s="149"/>
      <c r="B50" s="149"/>
      <c r="C50" s="149"/>
      <c r="D50" s="149"/>
      <c r="E50" s="149"/>
      <c r="F50" s="149"/>
      <c r="G50" s="149"/>
      <c r="H50" s="149"/>
      <c r="I50" s="149"/>
      <c r="J50" s="149"/>
      <c r="K50" s="149"/>
      <c r="L50" s="149"/>
      <c r="M50" s="149"/>
      <c r="N50" s="149"/>
    </row>
    <row r="51" spans="1:14" ht="22.95" customHeight="1">
      <c r="A51" s="257" t="s">
        <v>557</v>
      </c>
      <c r="B51" s="258" t="s">
        <v>557</v>
      </c>
      <c r="C51" s="258" t="s">
        <v>557</v>
      </c>
      <c r="D51" s="258" t="s">
        <v>557</v>
      </c>
      <c r="E51" s="258" t="s">
        <v>557</v>
      </c>
      <c r="F51" s="258" t="s">
        <v>557</v>
      </c>
      <c r="G51" s="258" t="s">
        <v>557</v>
      </c>
      <c r="H51" s="258" t="s">
        <v>557</v>
      </c>
      <c r="I51" s="258" t="s">
        <v>557</v>
      </c>
      <c r="J51" s="258" t="s">
        <v>557</v>
      </c>
      <c r="K51" s="258" t="s">
        <v>557</v>
      </c>
      <c r="L51" s="258" t="s">
        <v>557</v>
      </c>
      <c r="M51" s="258" t="s">
        <v>557</v>
      </c>
      <c r="N51" s="258" t="s">
        <v>557</v>
      </c>
    </row>
    <row r="52" spans="1:14" ht="22.95" customHeight="1">
      <c r="A52" s="274" t="s">
        <v>558</v>
      </c>
      <c r="B52" s="274" t="s">
        <v>558</v>
      </c>
      <c r="C52" s="274" t="s">
        <v>558</v>
      </c>
      <c r="D52" s="274" t="s">
        <v>558</v>
      </c>
      <c r="E52" s="274" t="s">
        <v>558</v>
      </c>
      <c r="F52" s="275">
        <f ca="1">SUMIFS(KONTROL!$B$5:$B$65,KONTROL!$D$5:$D$65,"Kritis")</f>
        <v>7808184</v>
      </c>
      <c r="G52" s="275"/>
      <c r="H52" s="274" t="s">
        <v>559</v>
      </c>
      <c r="I52" s="274" t="s">
        <v>559</v>
      </c>
      <c r="J52" s="274" t="s">
        <v>559</v>
      </c>
      <c r="K52" s="274" t="s">
        <v>559</v>
      </c>
      <c r="L52" s="274" t="s">
        <v>559</v>
      </c>
      <c r="M52" s="275">
        <f ca="1">SUMIFS(KONTROL!$B$5:$B$65,KONTROL!$D$5:$D$65,"Tinggi")</f>
        <v>18000003</v>
      </c>
      <c r="N52" s="275"/>
    </row>
    <row r="53" spans="1:14" ht="22.95" customHeight="1">
      <c r="A53" s="279" t="s">
        <v>560</v>
      </c>
      <c r="B53" s="279" t="s">
        <v>560</v>
      </c>
      <c r="C53" s="279" t="s">
        <v>560</v>
      </c>
      <c r="D53" s="279" t="s">
        <v>560</v>
      </c>
      <c r="E53" s="279" t="s">
        <v>560</v>
      </c>
      <c r="F53" s="280">
        <f>SUMIFS(KONTROL!$B$5:$B$65,KONTROL!$D$5:$D$65,"Sedang")</f>
        <v>8</v>
      </c>
      <c r="G53" s="280"/>
      <c r="H53" s="279" t="s">
        <v>561</v>
      </c>
      <c r="I53" s="279" t="s">
        <v>561</v>
      </c>
      <c r="J53" s="279" t="s">
        <v>561</v>
      </c>
      <c r="K53" s="279" t="s">
        <v>561</v>
      </c>
      <c r="L53" s="279" t="s">
        <v>561</v>
      </c>
      <c r="M53" s="280">
        <f>KONTROL!B36</f>
        <v>1</v>
      </c>
      <c r="N53" s="280"/>
    </row>
    <row r="54" spans="1:14" ht="22.95" customHeight="1">
      <c r="A54" s="274" t="s">
        <v>562</v>
      </c>
      <c r="B54" s="274" t="s">
        <v>562</v>
      </c>
      <c r="C54" s="274" t="s">
        <v>562</v>
      </c>
      <c r="D54" s="274" t="s">
        <v>562</v>
      </c>
      <c r="E54" s="274" t="s">
        <v>562</v>
      </c>
      <c r="F54" s="275">
        <f>SUM(KONTROL!B58:B60)</f>
        <v>0</v>
      </c>
      <c r="G54" s="275"/>
      <c r="H54" s="274" t="s">
        <v>563</v>
      </c>
      <c r="I54" s="274" t="s">
        <v>563</v>
      </c>
      <c r="J54" s="274" t="s">
        <v>563</v>
      </c>
      <c r="K54" s="274" t="s">
        <v>563</v>
      </c>
      <c r="L54" s="274" t="s">
        <v>563</v>
      </c>
      <c r="M54" s="275">
        <f>KONTROL!B64</f>
        <v>0</v>
      </c>
      <c r="N54" s="275"/>
    </row>
    <row r="55" spans="1:14" ht="22.95" customHeight="1">
      <c r="A55" s="279" t="s">
        <v>564</v>
      </c>
      <c r="B55" s="279" t="s">
        <v>564</v>
      </c>
      <c r="C55" s="279" t="s">
        <v>564</v>
      </c>
      <c r="D55" s="279" t="s">
        <v>564</v>
      </c>
      <c r="E55" s="279" t="s">
        <v>564</v>
      </c>
      <c r="F55" s="280">
        <f ca="1">KONTROL!B61</f>
        <v>0</v>
      </c>
      <c r="G55" s="280"/>
      <c r="H55" s="279" t="s">
        <v>565</v>
      </c>
      <c r="I55" s="279" t="s">
        <v>565</v>
      </c>
      <c r="J55" s="279" t="s">
        <v>565</v>
      </c>
      <c r="K55" s="279" t="s">
        <v>565</v>
      </c>
      <c r="L55" s="279" t="s">
        <v>565</v>
      </c>
      <c r="M55" s="280">
        <f ca="1">KONTROL!B65</f>
        <v>0</v>
      </c>
      <c r="N55" s="280"/>
    </row>
    <row r="56" spans="1:14">
      <c r="A56" s="154"/>
      <c r="B56" s="154"/>
      <c r="C56" s="154"/>
      <c r="D56" s="154"/>
      <c r="E56" s="154"/>
      <c r="F56" s="154"/>
      <c r="G56" s="154"/>
      <c r="H56" s="154"/>
      <c r="I56" s="154"/>
      <c r="J56" s="154"/>
      <c r="K56" s="154"/>
      <c r="L56" s="154"/>
      <c r="M56" s="154"/>
      <c r="N56" s="154"/>
    </row>
    <row r="57" spans="1:14" ht="22.05" customHeight="1">
      <c r="A57" s="281" t="str">
        <f ca="1">KONTROL!A68</f>
        <v>PERIKSA — ADA TEMUAN KRITIS / TINGGI</v>
      </c>
      <c r="B57" s="281"/>
      <c r="C57" s="281"/>
      <c r="D57" s="281"/>
      <c r="E57" s="281"/>
      <c r="F57" s="281"/>
      <c r="G57" s="281"/>
      <c r="H57" s="281"/>
      <c r="I57" s="281"/>
      <c r="J57" s="281"/>
      <c r="K57" s="281"/>
      <c r="L57" s="281"/>
      <c r="M57" s="281"/>
      <c r="N57" s="281"/>
    </row>
    <row r="58" spans="1:14" ht="22.05" customHeight="1">
      <c r="A58" s="281"/>
      <c r="B58" s="281"/>
      <c r="C58" s="281"/>
      <c r="D58" s="281"/>
      <c r="E58" s="281"/>
      <c r="F58" s="281"/>
      <c r="G58" s="281"/>
      <c r="H58" s="281"/>
      <c r="I58" s="281"/>
      <c r="J58" s="281"/>
      <c r="K58" s="281"/>
      <c r="L58" s="281"/>
      <c r="M58" s="281"/>
      <c r="N58" s="281"/>
    </row>
    <row r="59" spans="1:14">
      <c r="A59" s="161"/>
      <c r="B59" s="161"/>
      <c r="C59" s="161"/>
      <c r="D59" s="161"/>
      <c r="E59" s="161"/>
      <c r="F59" s="161"/>
      <c r="G59" s="161"/>
      <c r="H59" s="161"/>
      <c r="I59" s="161"/>
      <c r="J59" s="161"/>
      <c r="K59" s="161"/>
      <c r="L59" s="161"/>
      <c r="M59" s="161"/>
      <c r="N59" s="161"/>
    </row>
    <row r="60" spans="1:14" ht="28.05" customHeight="1">
      <c r="A60" s="277" t="s">
        <v>566</v>
      </c>
      <c r="B60" s="277" t="s">
        <v>566</v>
      </c>
      <c r="C60" s="277" t="s">
        <v>566</v>
      </c>
      <c r="D60" s="277" t="s">
        <v>566</v>
      </c>
      <c r="E60" s="277" t="s">
        <v>566</v>
      </c>
      <c r="F60" s="277" t="s">
        <v>566</v>
      </c>
      <c r="G60" s="277" t="s">
        <v>566</v>
      </c>
      <c r="H60" s="277" t="s">
        <v>566</v>
      </c>
      <c r="I60" s="277" t="s">
        <v>566</v>
      </c>
      <c r="J60" s="277" t="s">
        <v>566</v>
      </c>
      <c r="K60" s="277" t="s">
        <v>566</v>
      </c>
      <c r="L60" s="277" t="s">
        <v>566</v>
      </c>
      <c r="M60" s="277" t="s">
        <v>566</v>
      </c>
      <c r="N60" s="277" t="s">
        <v>566</v>
      </c>
    </row>
    <row r="61" spans="1:14" ht="14.4">
      <c r="A61" s="149"/>
      <c r="B61" s="149"/>
      <c r="C61" s="149"/>
      <c r="D61" s="149"/>
      <c r="E61" s="149"/>
      <c r="F61" s="149"/>
      <c r="G61" s="149"/>
      <c r="H61" s="149"/>
      <c r="I61" s="149"/>
      <c r="J61" s="149"/>
      <c r="K61" s="149"/>
      <c r="L61" s="149"/>
      <c r="M61" s="149"/>
      <c r="N61" s="149"/>
    </row>
    <row r="62" spans="1:14" ht="22.95" customHeight="1">
      <c r="A62" s="152" t="s">
        <v>567</v>
      </c>
      <c r="B62" s="150"/>
      <c r="C62" s="150"/>
      <c r="D62" s="150"/>
      <c r="E62" s="150"/>
      <c r="F62" s="150"/>
      <c r="G62" s="150"/>
      <c r="H62" s="150"/>
      <c r="I62" s="150"/>
      <c r="J62" s="150"/>
      <c r="K62" s="150"/>
      <c r="L62" s="150"/>
      <c r="M62" s="150"/>
      <c r="N62" s="150"/>
    </row>
    <row r="63" spans="1:14" ht="7.95" customHeight="1">
      <c r="A63" s="149"/>
      <c r="B63" s="149"/>
      <c r="C63" s="149"/>
      <c r="D63" s="149"/>
      <c r="E63" s="149"/>
      <c r="F63" s="149"/>
      <c r="G63" s="149"/>
      <c r="H63" s="149"/>
      <c r="I63" s="149"/>
      <c r="J63" s="149"/>
      <c r="K63" s="149"/>
      <c r="L63" s="149"/>
      <c r="M63" s="149"/>
      <c r="N63" s="149"/>
    </row>
    <row r="64" spans="1:14" ht="14.4">
      <c r="A64" s="149"/>
      <c r="B64" s="149"/>
      <c r="C64" s="149"/>
      <c r="D64" s="149"/>
      <c r="E64" s="149"/>
      <c r="F64" s="149"/>
      <c r="G64" s="149"/>
      <c r="H64" s="149"/>
      <c r="I64" s="149"/>
      <c r="J64" s="149"/>
      <c r="K64" s="149"/>
      <c r="L64" s="149"/>
      <c r="M64" s="149"/>
      <c r="N64" s="149"/>
    </row>
    <row r="65" spans="1:14" ht="14.4">
      <c r="A65" s="149"/>
      <c r="B65" s="149"/>
      <c r="C65" s="149"/>
      <c r="D65" s="149"/>
      <c r="E65" s="149"/>
      <c r="F65" s="149"/>
      <c r="G65" s="149"/>
      <c r="H65" s="149"/>
      <c r="I65" s="149"/>
      <c r="J65" s="149"/>
      <c r="K65" s="149"/>
      <c r="L65" s="149"/>
      <c r="M65" s="149"/>
      <c r="N65" s="149"/>
    </row>
    <row r="66" spans="1:14" ht="14.4">
      <c r="A66" s="149"/>
      <c r="B66" s="149"/>
      <c r="C66" s="149"/>
      <c r="D66" s="149"/>
      <c r="E66" s="149"/>
      <c r="F66" s="149"/>
      <c r="G66" s="149"/>
      <c r="H66" s="149"/>
      <c r="I66" s="149"/>
      <c r="J66" s="149"/>
      <c r="K66" s="149"/>
      <c r="L66" s="149"/>
      <c r="M66" s="149"/>
      <c r="N66" s="149"/>
    </row>
    <row r="67" spans="1:14" ht="14.4">
      <c r="A67" s="149"/>
      <c r="B67" s="149"/>
      <c r="C67" s="149"/>
      <c r="D67" s="149"/>
      <c r="E67" s="149"/>
      <c r="F67" s="149"/>
      <c r="G67" s="149"/>
      <c r="H67" s="149"/>
      <c r="I67" s="149"/>
      <c r="J67" s="149"/>
      <c r="K67" s="149"/>
      <c r="L67" s="149"/>
      <c r="M67" s="149"/>
      <c r="N67" s="149"/>
    </row>
    <row r="68" spans="1:14" ht="14.4">
      <c r="A68" s="149"/>
      <c r="B68" s="149"/>
      <c r="C68" s="149"/>
      <c r="D68" s="149"/>
      <c r="E68" s="149"/>
      <c r="F68" s="149"/>
      <c r="G68" s="149"/>
      <c r="H68" s="149"/>
      <c r="I68" s="149"/>
      <c r="J68" s="149"/>
      <c r="K68" s="149"/>
      <c r="L68" s="149"/>
      <c r="M68" s="149"/>
      <c r="N68" s="149"/>
    </row>
    <row r="69" spans="1:14" ht="14.4">
      <c r="A69" s="149"/>
      <c r="B69" s="149"/>
      <c r="C69" s="149"/>
      <c r="D69" s="149"/>
      <c r="E69" s="149"/>
      <c r="F69" s="149"/>
      <c r="G69" s="149"/>
      <c r="H69" s="149"/>
      <c r="I69" s="149"/>
      <c r="J69" s="149"/>
      <c r="K69" s="149"/>
      <c r="L69" s="149"/>
      <c r="M69" s="149"/>
      <c r="N69" s="149"/>
    </row>
    <row r="70" spans="1:14" ht="14.4">
      <c r="A70" s="149"/>
      <c r="B70" s="149"/>
      <c r="C70" s="149"/>
      <c r="D70" s="149"/>
      <c r="E70" s="149"/>
      <c r="F70" s="149"/>
      <c r="G70" s="149"/>
      <c r="H70" s="149"/>
      <c r="I70" s="149"/>
      <c r="J70" s="149"/>
      <c r="K70" s="149"/>
      <c r="L70" s="149"/>
      <c r="M70" s="149"/>
      <c r="N70" s="149"/>
    </row>
    <row r="83" spans="1:14">
      <c r="A83" s="278" t="s">
        <v>568</v>
      </c>
      <c r="B83" s="278"/>
      <c r="C83" s="278"/>
      <c r="D83" s="278"/>
      <c r="E83" s="278"/>
      <c r="F83" s="278"/>
      <c r="G83" s="278"/>
      <c r="H83" s="278"/>
      <c r="I83" s="278"/>
      <c r="J83" s="278"/>
      <c r="K83" s="278"/>
      <c r="L83" s="278"/>
      <c r="M83" s="278"/>
      <c r="N83" s="278"/>
    </row>
  </sheetData>
  <mergeCells count="112">
    <mergeCell ref="A60:N60"/>
    <mergeCell ref="A83:N83"/>
    <mergeCell ref="A55:E55"/>
    <mergeCell ref="F55:G55"/>
    <mergeCell ref="H55:L55"/>
    <mergeCell ref="M55:N55"/>
    <mergeCell ref="A57:N58"/>
    <mergeCell ref="A53:E53"/>
    <mergeCell ref="F53:G53"/>
    <mergeCell ref="H53:L53"/>
    <mergeCell ref="M53:N53"/>
    <mergeCell ref="A54:E54"/>
    <mergeCell ref="F54:G54"/>
    <mergeCell ref="H54:L54"/>
    <mergeCell ref="M54:N54"/>
    <mergeCell ref="K49:L49"/>
    <mergeCell ref="M49:N49"/>
    <mergeCell ref="A51:N51"/>
    <mergeCell ref="A52:E52"/>
    <mergeCell ref="F52:G52"/>
    <mergeCell ref="H52:L52"/>
    <mergeCell ref="M52:N52"/>
    <mergeCell ref="A49:B49"/>
    <mergeCell ref="C49:D49"/>
    <mergeCell ref="E49:F49"/>
    <mergeCell ref="G49:H49"/>
    <mergeCell ref="I49:J49"/>
    <mergeCell ref="K47:L47"/>
    <mergeCell ref="M47:N47"/>
    <mergeCell ref="A48:B48"/>
    <mergeCell ref="C48:D48"/>
    <mergeCell ref="E48:F48"/>
    <mergeCell ref="G48:H48"/>
    <mergeCell ref="I48:J48"/>
    <mergeCell ref="K48:L48"/>
    <mergeCell ref="M48:N48"/>
    <mergeCell ref="A47:B47"/>
    <mergeCell ref="C47:D47"/>
    <mergeCell ref="E47:F47"/>
    <mergeCell ref="G47:H47"/>
    <mergeCell ref="I47:J47"/>
    <mergeCell ref="K45:L45"/>
    <mergeCell ref="M45:N45"/>
    <mergeCell ref="A46:B46"/>
    <mergeCell ref="C46:D46"/>
    <mergeCell ref="E46:F46"/>
    <mergeCell ref="G46:H46"/>
    <mergeCell ref="I46:J46"/>
    <mergeCell ref="K46:L46"/>
    <mergeCell ref="M46:N46"/>
    <mergeCell ref="A45:B45"/>
    <mergeCell ref="C45:D45"/>
    <mergeCell ref="E45:F45"/>
    <mergeCell ref="G45:H45"/>
    <mergeCell ref="I45:J45"/>
    <mergeCell ref="A42:D42"/>
    <mergeCell ref="E42:G42"/>
    <mergeCell ref="H42:K42"/>
    <mergeCell ref="L42:N42"/>
    <mergeCell ref="A44:N44"/>
    <mergeCell ref="A40:D40"/>
    <mergeCell ref="E40:G40"/>
    <mergeCell ref="H40:K40"/>
    <mergeCell ref="L40:N40"/>
    <mergeCell ref="A41:D41"/>
    <mergeCell ref="E41:G41"/>
    <mergeCell ref="H41:K41"/>
    <mergeCell ref="L41:N41"/>
    <mergeCell ref="A38:D38"/>
    <mergeCell ref="E38:G38"/>
    <mergeCell ref="H38:K38"/>
    <mergeCell ref="L38:N38"/>
    <mergeCell ref="A39:D39"/>
    <mergeCell ref="E39:G39"/>
    <mergeCell ref="H39:K39"/>
    <mergeCell ref="L39:N39"/>
    <mergeCell ref="A36:D36"/>
    <mergeCell ref="E36:G36"/>
    <mergeCell ref="H36:K36"/>
    <mergeCell ref="L36:N36"/>
    <mergeCell ref="A37:D37"/>
    <mergeCell ref="E37:G37"/>
    <mergeCell ref="H37:K37"/>
    <mergeCell ref="L37:N37"/>
    <mergeCell ref="A15:N15"/>
    <mergeCell ref="A31:N31"/>
    <mergeCell ref="A33:G33"/>
    <mergeCell ref="H33:N33"/>
    <mergeCell ref="A35:D35"/>
    <mergeCell ref="E35:G35"/>
    <mergeCell ref="H35:K35"/>
    <mergeCell ref="L35:N35"/>
    <mergeCell ref="K7:N8"/>
    <mergeCell ref="A10:C10"/>
    <mergeCell ref="A11:C12"/>
    <mergeCell ref="D10:F10"/>
    <mergeCell ref="D11:F12"/>
    <mergeCell ref="G10:J10"/>
    <mergeCell ref="G11:J12"/>
    <mergeCell ref="K10:N10"/>
    <mergeCell ref="K11:N12"/>
    <mergeCell ref="A7:C8"/>
    <mergeCell ref="D6:F6"/>
    <mergeCell ref="D7:F8"/>
    <mergeCell ref="G6:J6"/>
    <mergeCell ref="G7:J8"/>
    <mergeCell ref="A1:N2"/>
    <mergeCell ref="A3:N3"/>
    <mergeCell ref="E4:F4"/>
    <mergeCell ref="H4:N4"/>
    <mergeCell ref="A6:C6"/>
    <mergeCell ref="K6:N6"/>
  </mergeCells>
  <conditionalFormatting sqref="D17:D28">
    <cfRule type="expression" dxfId="49" priority="1">
      <formula>$D17&lt;0</formula>
    </cfRule>
  </conditionalFormatting>
  <conditionalFormatting sqref="G7:J8">
    <cfRule type="cellIs" dxfId="48" priority="5" operator="lessThan">
      <formula>0</formula>
    </cfRule>
    <cfRule type="cellIs" dxfId="47" priority="6" operator="greaterThanOrEqual">
      <formula>0</formula>
    </cfRule>
  </conditionalFormatting>
  <conditionalFormatting sqref="H4:N4">
    <cfRule type="containsText" dxfId="46" priority="3" operator="containsText" text="PERIKSA"/>
    <cfRule type="containsText" dxfId="45" priority="4" operator="containsText" text="RUMUS SESUAI"/>
  </conditionalFormatting>
  <conditionalFormatting sqref="K7:N8">
    <cfRule type="cellIs" dxfId="44" priority="7" operator="greaterThan">
      <formula>0</formula>
    </cfRule>
  </conditionalFormatting>
  <conditionalFormatting sqref="N17:N28">
    <cfRule type="expression" dxfId="43" priority="2">
      <formula>$N17&gt;0</formula>
    </cfRule>
  </conditionalFormatting>
  <pageMargins left="0.7" right="0.7" top="0.75" bottom="0.75" header="0.3" footer="0.3"/>
  <pageSetup scale="3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4"/>
  <sheetViews>
    <sheetView showGridLines="0" topLeftCell="A4" workbookViewId="0">
      <selection activeCell="W2" sqref="W2"/>
    </sheetView>
  </sheetViews>
  <sheetFormatPr defaultRowHeight="13.8"/>
  <cols>
    <col min="1" max="1" width="20" customWidth="1"/>
    <col min="2" max="2" width="27" customWidth="1"/>
    <col min="3" max="3" width="38" customWidth="1"/>
    <col min="4" max="4" width="23" customWidth="1"/>
    <col min="5" max="5" width="16" customWidth="1"/>
    <col min="6" max="6" width="19" customWidth="1"/>
    <col min="7" max="8" width="22" customWidth="1"/>
    <col min="9" max="9" width="23" customWidth="1"/>
    <col min="10" max="11" width="22" customWidth="1"/>
    <col min="12" max="12" width="24" customWidth="1"/>
    <col min="13" max="14" width="23" customWidth="1"/>
    <col min="15" max="15" width="19" customWidth="1"/>
    <col min="16" max="16" width="21" customWidth="1"/>
    <col min="17" max="17" width="17" customWidth="1"/>
    <col min="18" max="18" width="37" customWidth="1"/>
    <col min="23" max="23" width="11.796875" customWidth="1"/>
    <col min="24" max="24" width="13.5" customWidth="1"/>
    <col min="25" max="25" width="16.3984375" customWidth="1"/>
  </cols>
  <sheetData>
    <row r="1" spans="1:26" ht="25.05" customHeight="1">
      <c r="A1" s="237" t="s">
        <v>60</v>
      </c>
      <c r="B1" s="237" t="s">
        <v>60</v>
      </c>
      <c r="C1" s="237" t="s">
        <v>60</v>
      </c>
      <c r="D1" s="237" t="s">
        <v>60</v>
      </c>
      <c r="E1" s="237" t="s">
        <v>60</v>
      </c>
      <c r="F1" s="237" t="s">
        <v>60</v>
      </c>
      <c r="G1" s="237" t="s">
        <v>60</v>
      </c>
      <c r="H1" s="237" t="s">
        <v>60</v>
      </c>
      <c r="I1" s="237" t="s">
        <v>60</v>
      </c>
      <c r="J1" s="237" t="s">
        <v>60</v>
      </c>
      <c r="K1" s="237" t="s">
        <v>60</v>
      </c>
      <c r="L1" s="237" t="s">
        <v>60</v>
      </c>
      <c r="M1" s="237" t="s">
        <v>60</v>
      </c>
      <c r="N1" s="237" t="s">
        <v>60</v>
      </c>
      <c r="O1" s="237" t="s">
        <v>60</v>
      </c>
      <c r="P1" s="237" t="s">
        <v>60</v>
      </c>
      <c r="Q1" s="237" t="s">
        <v>60</v>
      </c>
      <c r="R1" s="237" t="s">
        <v>60</v>
      </c>
    </row>
    <row r="2" spans="1:26" ht="25.05" customHeight="1">
      <c r="A2" s="237" t="s">
        <v>60</v>
      </c>
      <c r="B2" s="237" t="s">
        <v>60</v>
      </c>
      <c r="C2" s="237" t="s">
        <v>60</v>
      </c>
      <c r="D2" s="237" t="s">
        <v>60</v>
      </c>
      <c r="E2" s="237" t="s">
        <v>60</v>
      </c>
      <c r="F2" s="237" t="s">
        <v>60</v>
      </c>
      <c r="G2" s="237" t="s">
        <v>60</v>
      </c>
      <c r="H2" s="237" t="s">
        <v>60</v>
      </c>
      <c r="I2" s="237" t="s">
        <v>60</v>
      </c>
      <c r="J2" s="237" t="s">
        <v>60</v>
      </c>
      <c r="K2" s="237" t="s">
        <v>60</v>
      </c>
      <c r="L2" s="237" t="s">
        <v>60</v>
      </c>
      <c r="M2" s="237" t="s">
        <v>60</v>
      </c>
      <c r="N2" s="237" t="s">
        <v>60</v>
      </c>
      <c r="O2" s="237" t="s">
        <v>60</v>
      </c>
      <c r="P2" s="237" t="s">
        <v>60</v>
      </c>
      <c r="Q2" s="237" t="s">
        <v>60</v>
      </c>
      <c r="R2" s="237" t="s">
        <v>60</v>
      </c>
    </row>
    <row r="3" spans="1:26" ht="22.95" customHeight="1">
      <c r="A3" s="236" t="s">
        <v>61</v>
      </c>
      <c r="B3" s="236" t="s">
        <v>61</v>
      </c>
      <c r="C3" s="236" t="s">
        <v>61</v>
      </c>
      <c r="D3" s="236" t="s">
        <v>61</v>
      </c>
      <c r="E3" s="236" t="s">
        <v>61</v>
      </c>
      <c r="F3" s="236" t="s">
        <v>61</v>
      </c>
      <c r="G3" s="236" t="s">
        <v>61</v>
      </c>
      <c r="H3" s="236" t="s">
        <v>61</v>
      </c>
      <c r="I3" s="236" t="s">
        <v>61</v>
      </c>
      <c r="J3" s="236" t="s">
        <v>61</v>
      </c>
      <c r="K3" s="236" t="s">
        <v>61</v>
      </c>
      <c r="L3" s="236" t="s">
        <v>61</v>
      </c>
      <c r="M3" s="236" t="s">
        <v>61</v>
      </c>
      <c r="N3" s="236" t="s">
        <v>61</v>
      </c>
      <c r="O3" s="236" t="s">
        <v>61</v>
      </c>
      <c r="P3" s="236" t="s">
        <v>61</v>
      </c>
      <c r="Q3" s="236" t="s">
        <v>61</v>
      </c>
      <c r="R3" s="236" t="s">
        <v>61</v>
      </c>
    </row>
    <row r="4" spans="1:26" ht="37.049999999999997" customHeight="1">
      <c r="A4" s="7" t="s">
        <v>62</v>
      </c>
      <c r="B4" s="7" t="s">
        <v>63</v>
      </c>
      <c r="C4" s="7" t="s">
        <v>64</v>
      </c>
      <c r="D4" s="7" t="s">
        <v>65</v>
      </c>
      <c r="E4" s="7" t="s">
        <v>66</v>
      </c>
      <c r="F4" s="7" t="s">
        <v>67</v>
      </c>
      <c r="G4" s="7" t="s">
        <v>68</v>
      </c>
      <c r="H4" s="7" t="s">
        <v>69</v>
      </c>
      <c r="I4" s="7" t="s">
        <v>70</v>
      </c>
      <c r="J4" s="7" t="s">
        <v>71</v>
      </c>
      <c r="K4" s="7" t="s">
        <v>72</v>
      </c>
      <c r="L4" s="7" t="s">
        <v>73</v>
      </c>
      <c r="M4" s="7" t="s">
        <v>74</v>
      </c>
      <c r="N4" s="7" t="s">
        <v>75</v>
      </c>
      <c r="O4" s="7" t="s">
        <v>76</v>
      </c>
      <c r="P4" s="7" t="s">
        <v>77</v>
      </c>
      <c r="Q4" s="7" t="s">
        <v>78</v>
      </c>
      <c r="R4" s="7" t="s">
        <v>79</v>
      </c>
      <c r="S4" s="66" t="s">
        <v>166</v>
      </c>
      <c r="T4" s="66" t="s">
        <v>569</v>
      </c>
      <c r="U4" s="66" t="s">
        <v>570</v>
      </c>
      <c r="V4" s="66" t="s">
        <v>571</v>
      </c>
      <c r="W4" s="66" t="s">
        <v>572</v>
      </c>
      <c r="X4" s="66" t="s">
        <v>573</v>
      </c>
      <c r="Y4" s="66" t="s">
        <v>574</v>
      </c>
      <c r="Z4" s="66" t="s">
        <v>575</v>
      </c>
    </row>
    <row r="5" spans="1:26" s="57" customFormat="1" ht="22.8">
      <c r="A5" s="52" t="s">
        <v>576</v>
      </c>
      <c r="B5" s="52" t="s">
        <v>1017</v>
      </c>
      <c r="C5" s="53" t="s">
        <v>1019</v>
      </c>
      <c r="D5" s="53" t="s">
        <v>577</v>
      </c>
      <c r="E5" s="54">
        <v>46232</v>
      </c>
      <c r="F5" s="53" t="s">
        <v>578</v>
      </c>
      <c r="G5" s="70">
        <v>165000000</v>
      </c>
      <c r="H5" s="71">
        <f>IF(A5="","",SUMIFS(INVOICE_PIUTANG!$G$5:$G$151,INVOICE_PIUTANG!$D$5:$D$151,A5))</f>
        <v>49500000</v>
      </c>
      <c r="I5" s="71">
        <f>IF(A5="","",SUMIFS(PEMASUKAN!$H$5:$H$204,PEMASUKAN!$D$5:$D$204,A5,PEMASUKAN!$M$5:$M$204,"Pendapatan Operasional"))</f>
        <v>16000000</v>
      </c>
      <c r="J5" s="71">
        <f t="shared" ref="J5:J36" si="0">IF(A5="","",MAX(G5-I5,0))</f>
        <v>149000000</v>
      </c>
      <c r="K5" s="71">
        <f>IF(A5="","",SUMIFS(SALDO_AWAL_2026!$F$33:$F$132,SALDO_AWAL_2026!$A$33:$A$132,A5)+SUMIFS(PENGELUARAN!$K$5:$K$204,PENGELUARAN!$D$5:$D$204,A5,PENGELUARAN!$L$5:$L$204,"Kantor"))</f>
        <v>8191816</v>
      </c>
      <c r="L5" s="71">
        <f>IF(A5="","",SUMIFS(PENGELUARAN!$K$5:$K$204,PENGELUARAN!$D$5:$D$204,A5,PENGELUARAN!$L$5:$L$204,"Klien"))</f>
        <v>0</v>
      </c>
      <c r="M5" s="71">
        <f>IF(A5="","",SUMIFS(PEMASUKAN!$H$5:$H$204,PEMASUKAN!$D$5:$D$204,A5,PEMASUKAN!$M$5:$M$204,"Penggantian Biaya"))</f>
        <v>0</v>
      </c>
      <c r="N5" s="71">
        <f t="shared" ref="N5:N36" si="1">IF(A5="","",I5-K5)</f>
        <v>7808184</v>
      </c>
      <c r="O5" s="68">
        <f t="shared" ref="O5:O36" si="2">IF(A5="","",IF(I5=0,0,N5/I5))</f>
        <v>0.48801149999999999</v>
      </c>
      <c r="P5" s="71">
        <f>IF(A5="","",SUMIFS(INVOICE_PIUTANG!$L$5:$L$151,INVOICE_PIUTANG!$D$5:$D$151,A5))</f>
        <v>33500000</v>
      </c>
      <c r="Q5" s="54"/>
      <c r="R5" s="53"/>
      <c r="S5" s="64"/>
      <c r="T5" s="64"/>
      <c r="U5" s="64"/>
      <c r="V5" s="64"/>
      <c r="W5" s="74">
        <f>IF(A5="","",SUMIFS(SALDO_AWAL_2026!$G$33:$G$132,SALDO_AWAL_2026!$A$33:$A$132,A5)+SUMIFS(GAJI!$Q$5:$Q$124,GAJI!$X$5:$X$124,A5))</f>
        <v>4000000</v>
      </c>
      <c r="X5" s="74">
        <f t="shared" ref="X5:X36" si="3">IF(A5="","",N5-W5)</f>
        <v>3808184</v>
      </c>
      <c r="Y5" s="74">
        <f>IF(A5="","",MAX(G5-H5,0))</f>
        <v>115500000</v>
      </c>
      <c r="Z5" s="67" t="str">
        <f t="shared" ref="Z5:Z36" si="4">IF(A5="","",IF(COUNTIF($A$5:$A$104,A5)&gt;1,"ID PERKARA DUPLIKAT",IF(B5="","NAMA KLIEN BELUM DIISI",IF(D5="","PIC PARTNER BELUM DIISI","OK"))))</f>
        <v>OK</v>
      </c>
    </row>
    <row r="6" spans="1:26" s="57" customFormat="1">
      <c r="A6" s="52"/>
      <c r="B6" s="52"/>
      <c r="C6" s="53"/>
      <c r="D6" s="53"/>
      <c r="E6" s="54"/>
      <c r="F6" s="53"/>
      <c r="G6" s="70"/>
      <c r="H6" s="71" t="str">
        <f>IF(A6="","",SUMIFS(INVOICE_PIUTANG!$G$5:$G$151,INVOICE_PIUTANG!$D$5:$D$151,A6))</f>
        <v/>
      </c>
      <c r="I6" s="71" t="str">
        <f>IF(A6="","",SUMIFS(PEMASUKAN!$H$5:$H$204,PEMASUKAN!$D$5:$D$204,A6,PEMASUKAN!$M$5:$M$204,"Pendapatan Operasional"))</f>
        <v/>
      </c>
      <c r="J6" s="71" t="str">
        <f t="shared" si="0"/>
        <v/>
      </c>
      <c r="K6" s="71" t="str">
        <f>IF(A6="","",SUMIFS(SALDO_AWAL_2026!$F$33:$F$132,SALDO_AWAL_2026!$A$33:$A$132,A6)+SUMIFS(PENGELUARAN!$K$5:$K$204,PENGELUARAN!$D$5:$D$204,A6,PENGELUARAN!$L$5:$L$204,"Kantor"))</f>
        <v/>
      </c>
      <c r="L6" s="71" t="str">
        <f>IF(A6="","",SUMIFS(PENGELUARAN!$K$5:$K$204,PENGELUARAN!$D$5:$D$204,A6,PENGELUARAN!$L$5:$L$204,"Klien"))</f>
        <v/>
      </c>
      <c r="M6" s="71" t="str">
        <f>IF(A6="","",SUMIFS(PEMASUKAN!$H$5:$H$204,PEMASUKAN!$D$5:$D$204,A6,PEMASUKAN!$M$5:$M$204,"Penggantian Biaya"))</f>
        <v/>
      </c>
      <c r="N6" s="71" t="str">
        <f t="shared" si="1"/>
        <v/>
      </c>
      <c r="O6" s="68" t="str">
        <f t="shared" si="2"/>
        <v/>
      </c>
      <c r="P6" s="71" t="str">
        <f>IF(A6="","",SUMIFS(INVOICE_PIUTANG!$L$5:$L$151,INVOICE_PIUTANG!$D$5:$D$151,A6))</f>
        <v/>
      </c>
      <c r="Q6" s="54"/>
      <c r="R6" s="53"/>
      <c r="S6" s="64"/>
      <c r="T6" s="64"/>
      <c r="U6" s="64"/>
      <c r="V6" s="64"/>
      <c r="W6" s="74" t="str">
        <f>IF(A6="","",SUMIFS(SALDO_AWAL_2026!$G$33:$G$132,SALDO_AWAL_2026!$A$33:$A$132,A6)+SUMIFS(GAJI!$Q$5:$Q$124,GAJI!$X$5:$X$124,A6))</f>
        <v/>
      </c>
      <c r="X6" s="74" t="str">
        <f t="shared" si="3"/>
        <v/>
      </c>
      <c r="Y6" s="74" t="str">
        <f t="shared" ref="Y6:Y36" si="5">IF(A6="","",MAX(G6-H6,0))</f>
        <v/>
      </c>
      <c r="Z6" s="67" t="str">
        <f t="shared" si="4"/>
        <v/>
      </c>
    </row>
    <row r="7" spans="1:26" s="57" customFormat="1">
      <c r="A7" s="52"/>
      <c r="B7" s="52"/>
      <c r="C7" s="53"/>
      <c r="D7" s="53"/>
      <c r="E7" s="54"/>
      <c r="F7" s="53"/>
      <c r="G7" s="70"/>
      <c r="H7" s="71" t="str">
        <f>IF(A7="","",SUMIFS(INVOICE_PIUTANG!$G$5:$G$151,INVOICE_PIUTANG!$D$5:$D$151,A7))</f>
        <v/>
      </c>
      <c r="I7" s="71" t="str">
        <f>IF(A7="","",SUMIFS(PEMASUKAN!$H$5:$H$204,PEMASUKAN!$D$5:$D$204,A7,PEMASUKAN!$M$5:$M$204,"Pendapatan Operasional"))</f>
        <v/>
      </c>
      <c r="J7" s="71" t="str">
        <f t="shared" si="0"/>
        <v/>
      </c>
      <c r="K7" s="71" t="str">
        <f>IF(A7="","",SUMIFS(SALDO_AWAL_2026!$F$33:$F$132,SALDO_AWAL_2026!$A$33:$A$132,A7)+SUMIFS(PENGELUARAN!$K$5:$K$204,PENGELUARAN!$D$5:$D$204,A7,PENGELUARAN!$L$5:$L$204,"Kantor"))</f>
        <v/>
      </c>
      <c r="L7" s="71" t="str">
        <f>IF(A7="","",SUMIFS(PENGELUARAN!$K$5:$K$204,PENGELUARAN!$D$5:$D$204,A7,PENGELUARAN!$L$5:$L$204,"Klien"))</f>
        <v/>
      </c>
      <c r="M7" s="71" t="str">
        <f>IF(A7="","",SUMIFS(PEMASUKAN!$H$5:$H$204,PEMASUKAN!$D$5:$D$204,A7,PEMASUKAN!$M$5:$M$204,"Penggantian Biaya"))</f>
        <v/>
      </c>
      <c r="N7" s="71" t="str">
        <f t="shared" si="1"/>
        <v/>
      </c>
      <c r="O7" s="68" t="str">
        <f t="shared" si="2"/>
        <v/>
      </c>
      <c r="P7" s="71" t="str">
        <f>IF(A7="","",SUMIFS(INVOICE_PIUTANG!$L$5:$L$151,INVOICE_PIUTANG!$D$5:$D$151,A7))</f>
        <v/>
      </c>
      <c r="Q7" s="54"/>
      <c r="R7" s="53"/>
      <c r="S7" s="64"/>
      <c r="T7" s="64"/>
      <c r="U7" s="64"/>
      <c r="V7" s="64"/>
      <c r="W7" s="74" t="str">
        <f>IF(A7="","",SUMIFS(SALDO_AWAL_2026!$G$33:$G$132,SALDO_AWAL_2026!$A$33:$A$132,A7)+SUMIFS(GAJI!$Q$5:$Q$124,GAJI!$X$5:$X$124,A7))</f>
        <v/>
      </c>
      <c r="X7" s="74" t="str">
        <f t="shared" si="3"/>
        <v/>
      </c>
      <c r="Y7" s="74" t="str">
        <f t="shared" si="5"/>
        <v/>
      </c>
      <c r="Z7" s="67" t="str">
        <f t="shared" si="4"/>
        <v/>
      </c>
    </row>
    <row r="8" spans="1:26" s="57" customFormat="1">
      <c r="A8" s="52"/>
      <c r="B8" s="52"/>
      <c r="C8" s="53"/>
      <c r="D8" s="53"/>
      <c r="E8" s="54"/>
      <c r="F8" s="53"/>
      <c r="G8" s="70"/>
      <c r="H8" s="71" t="str">
        <f>IF(A8="","",SUMIFS(INVOICE_PIUTANG!$G$5:$G$151,INVOICE_PIUTANG!$D$5:$D$151,A8))</f>
        <v/>
      </c>
      <c r="I8" s="71" t="str">
        <f>IF(A8="","",SUMIFS(PEMASUKAN!$H$5:$H$204,PEMASUKAN!$D$5:$D$204,A8,PEMASUKAN!$M$5:$M$204,"Pendapatan Operasional"))</f>
        <v/>
      </c>
      <c r="J8" s="71" t="str">
        <f t="shared" si="0"/>
        <v/>
      </c>
      <c r="K8" s="71" t="str">
        <f>IF(A8="","",SUMIFS(SALDO_AWAL_2026!$F$33:$F$132,SALDO_AWAL_2026!$A$33:$A$132,A8)+SUMIFS(PENGELUARAN!$K$5:$K$204,PENGELUARAN!$D$5:$D$204,A8,PENGELUARAN!$L$5:$L$204,"Kantor"))</f>
        <v/>
      </c>
      <c r="L8" s="71" t="str">
        <f>IF(A8="","",SUMIFS(PENGELUARAN!$K$5:$K$204,PENGELUARAN!$D$5:$D$204,A8,PENGELUARAN!$L$5:$L$204,"Klien"))</f>
        <v/>
      </c>
      <c r="M8" s="71" t="str">
        <f>IF(A8="","",SUMIFS(PEMASUKAN!$H$5:$H$204,PEMASUKAN!$D$5:$D$204,A8,PEMASUKAN!$M$5:$M$204,"Penggantian Biaya"))</f>
        <v/>
      </c>
      <c r="N8" s="71" t="str">
        <f t="shared" si="1"/>
        <v/>
      </c>
      <c r="O8" s="68" t="str">
        <f t="shared" si="2"/>
        <v/>
      </c>
      <c r="P8" s="71" t="str">
        <f>IF(A8="","",SUMIFS(INVOICE_PIUTANG!$L$5:$L$151,INVOICE_PIUTANG!$D$5:$D$151,A8))</f>
        <v/>
      </c>
      <c r="Q8" s="54"/>
      <c r="R8" s="53"/>
      <c r="S8" s="64"/>
      <c r="T8" s="64"/>
      <c r="U8" s="64"/>
      <c r="V8" s="64"/>
      <c r="W8" s="74" t="str">
        <f>IF(A8="","",SUMIFS(SALDO_AWAL_2026!$G$33:$G$132,SALDO_AWAL_2026!$A$33:$A$132,A8)+SUMIFS(GAJI!$Q$5:$Q$124,GAJI!$X$5:$X$124,A8))</f>
        <v/>
      </c>
      <c r="X8" s="74" t="str">
        <f t="shared" si="3"/>
        <v/>
      </c>
      <c r="Y8" s="74" t="str">
        <f t="shared" si="5"/>
        <v/>
      </c>
      <c r="Z8" s="67" t="str">
        <f t="shared" si="4"/>
        <v/>
      </c>
    </row>
    <row r="9" spans="1:26" s="57" customFormat="1">
      <c r="A9" s="52"/>
      <c r="B9" s="52"/>
      <c r="C9" s="53"/>
      <c r="D9" s="53"/>
      <c r="E9" s="54"/>
      <c r="F9" s="53"/>
      <c r="G9" s="70"/>
      <c r="H9" s="71" t="str">
        <f>IF(A9="","",SUMIFS(INVOICE_PIUTANG!$G$5:$G$151,INVOICE_PIUTANG!$D$5:$D$151,A9))</f>
        <v/>
      </c>
      <c r="I9" s="71" t="str">
        <f>IF(A9="","",SUMIFS(PEMASUKAN!$H$5:$H$204,PEMASUKAN!$D$5:$D$204,A9,PEMASUKAN!$M$5:$M$204,"Pendapatan Operasional"))</f>
        <v/>
      </c>
      <c r="J9" s="71" t="str">
        <f t="shared" si="0"/>
        <v/>
      </c>
      <c r="K9" s="71" t="str">
        <f>IF(A9="","",SUMIFS(SALDO_AWAL_2026!$F$33:$F$132,SALDO_AWAL_2026!$A$33:$A$132,A9)+SUMIFS(PENGELUARAN!$K$5:$K$204,PENGELUARAN!$D$5:$D$204,A9,PENGELUARAN!$L$5:$L$204,"Kantor"))</f>
        <v/>
      </c>
      <c r="L9" s="71" t="str">
        <f>IF(A9="","",SUMIFS(PENGELUARAN!$K$5:$K$204,PENGELUARAN!$D$5:$D$204,A9,PENGELUARAN!$L$5:$L$204,"Klien"))</f>
        <v/>
      </c>
      <c r="M9" s="71" t="str">
        <f>IF(A9="","",SUMIFS(PEMASUKAN!$H$5:$H$204,PEMASUKAN!$D$5:$D$204,A9,PEMASUKAN!$M$5:$M$204,"Penggantian Biaya"))</f>
        <v/>
      </c>
      <c r="N9" s="71" t="str">
        <f t="shared" si="1"/>
        <v/>
      </c>
      <c r="O9" s="68" t="str">
        <f t="shared" si="2"/>
        <v/>
      </c>
      <c r="P9" s="71" t="str">
        <f>IF(A9="","",SUMIFS(INVOICE_PIUTANG!$L$5:$L$151,INVOICE_PIUTANG!$D$5:$D$151,A9))</f>
        <v/>
      </c>
      <c r="Q9" s="54"/>
      <c r="R9" s="53"/>
      <c r="S9" s="64"/>
      <c r="T9" s="64"/>
      <c r="U9" s="64"/>
      <c r="V9" s="64"/>
      <c r="W9" s="74" t="str">
        <f>IF(A9="","",SUMIFS(SALDO_AWAL_2026!$G$33:$G$132,SALDO_AWAL_2026!$A$33:$A$132,A9)+SUMIFS(GAJI!$Q$5:$Q$124,GAJI!$X$5:$X$124,A9))</f>
        <v/>
      </c>
      <c r="X9" s="74" t="str">
        <f t="shared" si="3"/>
        <v/>
      </c>
      <c r="Y9" s="74" t="str">
        <f t="shared" si="5"/>
        <v/>
      </c>
      <c r="Z9" s="67" t="str">
        <f t="shared" si="4"/>
        <v/>
      </c>
    </row>
    <row r="10" spans="1:26" s="57" customFormat="1">
      <c r="A10" s="52"/>
      <c r="B10" s="52"/>
      <c r="C10" s="53"/>
      <c r="D10" s="53"/>
      <c r="E10" s="54"/>
      <c r="F10" s="53"/>
      <c r="G10" s="70"/>
      <c r="H10" s="71" t="str">
        <f>IF(A10="","",SUMIFS(INVOICE_PIUTANG!$G$5:$G$151,INVOICE_PIUTANG!$D$5:$D$151,A10))</f>
        <v/>
      </c>
      <c r="I10" s="71" t="str">
        <f>IF(A10="","",SUMIFS(PEMASUKAN!$H$5:$H$204,PEMASUKAN!$D$5:$D$204,A10,PEMASUKAN!$M$5:$M$204,"Pendapatan Operasional"))</f>
        <v/>
      </c>
      <c r="J10" s="71" t="str">
        <f t="shared" si="0"/>
        <v/>
      </c>
      <c r="K10" s="71" t="str">
        <f>IF(A10="","",SUMIFS(SALDO_AWAL_2026!$F$33:$F$132,SALDO_AWAL_2026!$A$33:$A$132,A10)+SUMIFS(PENGELUARAN!$K$5:$K$204,PENGELUARAN!$D$5:$D$204,A10,PENGELUARAN!$L$5:$L$204,"Kantor"))</f>
        <v/>
      </c>
      <c r="L10" s="71" t="str">
        <f>IF(A10="","",SUMIFS(PENGELUARAN!$K$5:$K$204,PENGELUARAN!$D$5:$D$204,A10,PENGELUARAN!$L$5:$L$204,"Klien"))</f>
        <v/>
      </c>
      <c r="M10" s="71" t="str">
        <f>IF(A10="","",SUMIFS(PEMASUKAN!$H$5:$H$204,PEMASUKAN!$D$5:$D$204,A10,PEMASUKAN!$M$5:$M$204,"Penggantian Biaya"))</f>
        <v/>
      </c>
      <c r="N10" s="71" t="str">
        <f t="shared" si="1"/>
        <v/>
      </c>
      <c r="O10" s="68" t="str">
        <f t="shared" si="2"/>
        <v/>
      </c>
      <c r="P10" s="71" t="str">
        <f>IF(A10="","",SUMIFS(INVOICE_PIUTANG!$L$5:$L$151,INVOICE_PIUTANG!$D$5:$D$151,A10))</f>
        <v/>
      </c>
      <c r="Q10" s="54"/>
      <c r="R10" s="53"/>
      <c r="S10" s="64"/>
      <c r="T10" s="64"/>
      <c r="U10" s="64"/>
      <c r="V10" s="64"/>
      <c r="W10" s="74" t="str">
        <f>IF(A10="","",SUMIFS(SALDO_AWAL_2026!$G$33:$G$132,SALDO_AWAL_2026!$A$33:$A$132,A10)+SUMIFS(GAJI!$Q$5:$Q$124,GAJI!$X$5:$X$124,A10))</f>
        <v/>
      </c>
      <c r="X10" s="74" t="str">
        <f t="shared" si="3"/>
        <v/>
      </c>
      <c r="Y10" s="74" t="str">
        <f t="shared" si="5"/>
        <v/>
      </c>
      <c r="Z10" s="67" t="str">
        <f t="shared" si="4"/>
        <v/>
      </c>
    </row>
    <row r="11" spans="1:26" s="57" customFormat="1">
      <c r="A11" s="52"/>
      <c r="B11" s="52"/>
      <c r="C11" s="53"/>
      <c r="D11" s="53"/>
      <c r="E11" s="54"/>
      <c r="F11" s="53"/>
      <c r="G11" s="70"/>
      <c r="H11" s="71" t="str">
        <f>IF(A11="","",SUMIFS(INVOICE_PIUTANG!$G$5:$G$151,INVOICE_PIUTANG!$D$5:$D$151,A11))</f>
        <v/>
      </c>
      <c r="I11" s="71" t="str">
        <f>IF(A11="","",SUMIFS(PEMASUKAN!$H$5:$H$204,PEMASUKAN!$D$5:$D$204,A11,PEMASUKAN!$M$5:$M$204,"Pendapatan Operasional"))</f>
        <v/>
      </c>
      <c r="J11" s="71" t="str">
        <f t="shared" si="0"/>
        <v/>
      </c>
      <c r="K11" s="71" t="str">
        <f>IF(A11="","",SUMIFS(SALDO_AWAL_2026!$F$33:$F$132,SALDO_AWAL_2026!$A$33:$A$132,A11)+SUMIFS(PENGELUARAN!$K$5:$K$204,PENGELUARAN!$D$5:$D$204,A11,PENGELUARAN!$L$5:$L$204,"Kantor"))</f>
        <v/>
      </c>
      <c r="L11" s="71" t="str">
        <f>IF(A11="","",SUMIFS(PENGELUARAN!$K$5:$K$204,PENGELUARAN!$D$5:$D$204,A11,PENGELUARAN!$L$5:$L$204,"Klien"))</f>
        <v/>
      </c>
      <c r="M11" s="71" t="str">
        <f>IF(A11="","",SUMIFS(PEMASUKAN!$H$5:$H$204,PEMASUKAN!$D$5:$D$204,A11,PEMASUKAN!$M$5:$M$204,"Penggantian Biaya"))</f>
        <v/>
      </c>
      <c r="N11" s="71" t="str">
        <f t="shared" si="1"/>
        <v/>
      </c>
      <c r="O11" s="68" t="str">
        <f t="shared" si="2"/>
        <v/>
      </c>
      <c r="P11" s="71" t="str">
        <f>IF(A11="","",SUMIFS(INVOICE_PIUTANG!$L$5:$L$151,INVOICE_PIUTANG!$D$5:$D$151,A11))</f>
        <v/>
      </c>
      <c r="Q11" s="54"/>
      <c r="R11" s="53"/>
      <c r="S11" s="64"/>
      <c r="T11" s="64"/>
      <c r="U11" s="64"/>
      <c r="V11" s="64"/>
      <c r="W11" s="74" t="str">
        <f>IF(A11="","",SUMIFS(SALDO_AWAL_2026!$G$33:$G$132,SALDO_AWAL_2026!$A$33:$A$132,A11)+SUMIFS(GAJI!$Q$5:$Q$124,GAJI!$X$5:$X$124,A11))</f>
        <v/>
      </c>
      <c r="X11" s="74" t="str">
        <f t="shared" si="3"/>
        <v/>
      </c>
      <c r="Y11" s="74" t="str">
        <f t="shared" si="5"/>
        <v/>
      </c>
      <c r="Z11" s="67" t="str">
        <f t="shared" si="4"/>
        <v/>
      </c>
    </row>
    <row r="12" spans="1:26" s="57" customFormat="1">
      <c r="A12" s="52"/>
      <c r="B12" s="52"/>
      <c r="C12" s="53"/>
      <c r="D12" s="53"/>
      <c r="E12" s="54"/>
      <c r="F12" s="53"/>
      <c r="G12" s="70"/>
      <c r="H12" s="71" t="str">
        <f>IF(A12="","",SUMIFS(INVOICE_PIUTANG!$G$5:$G$151,INVOICE_PIUTANG!$D$5:$D$151,A12))</f>
        <v/>
      </c>
      <c r="I12" s="71" t="str">
        <f>IF(A12="","",SUMIFS(PEMASUKAN!$H$5:$H$204,PEMASUKAN!$D$5:$D$204,A12,PEMASUKAN!$M$5:$M$204,"Pendapatan Operasional"))</f>
        <v/>
      </c>
      <c r="J12" s="71" t="str">
        <f t="shared" si="0"/>
        <v/>
      </c>
      <c r="K12" s="71" t="str">
        <f>IF(A12="","",SUMIFS(SALDO_AWAL_2026!$F$33:$F$132,SALDO_AWAL_2026!$A$33:$A$132,A12)+SUMIFS(PENGELUARAN!$K$5:$K$204,PENGELUARAN!$D$5:$D$204,A12,PENGELUARAN!$L$5:$L$204,"Kantor"))</f>
        <v/>
      </c>
      <c r="L12" s="71" t="str">
        <f>IF(A12="","",SUMIFS(PENGELUARAN!$K$5:$K$204,PENGELUARAN!$D$5:$D$204,A12,PENGELUARAN!$L$5:$L$204,"Klien"))</f>
        <v/>
      </c>
      <c r="M12" s="71" t="str">
        <f>IF(A12="","",SUMIFS(PEMASUKAN!$H$5:$H$204,PEMASUKAN!$D$5:$D$204,A12,PEMASUKAN!$M$5:$M$204,"Penggantian Biaya"))</f>
        <v/>
      </c>
      <c r="N12" s="71" t="str">
        <f t="shared" si="1"/>
        <v/>
      </c>
      <c r="O12" s="68" t="str">
        <f t="shared" si="2"/>
        <v/>
      </c>
      <c r="P12" s="71" t="str">
        <f>IF(A12="","",SUMIFS(INVOICE_PIUTANG!$L$5:$L$151,INVOICE_PIUTANG!$D$5:$D$151,A12))</f>
        <v/>
      </c>
      <c r="Q12" s="54"/>
      <c r="R12" s="53"/>
      <c r="S12" s="64"/>
      <c r="T12" s="64"/>
      <c r="U12" s="64"/>
      <c r="V12" s="64"/>
      <c r="W12" s="74" t="str">
        <f>IF(A12="","",SUMIFS(SALDO_AWAL_2026!$G$33:$G$132,SALDO_AWAL_2026!$A$33:$A$132,A12)+SUMIFS(GAJI!$Q$5:$Q$124,GAJI!$X$5:$X$124,A12))</f>
        <v/>
      </c>
      <c r="X12" s="74" t="str">
        <f t="shared" si="3"/>
        <v/>
      </c>
      <c r="Y12" s="74" t="str">
        <f t="shared" si="5"/>
        <v/>
      </c>
      <c r="Z12" s="67" t="str">
        <f t="shared" si="4"/>
        <v/>
      </c>
    </row>
    <row r="13" spans="1:26" s="57" customFormat="1">
      <c r="A13" s="52"/>
      <c r="B13" s="52"/>
      <c r="C13" s="53"/>
      <c r="D13" s="53"/>
      <c r="E13" s="54"/>
      <c r="F13" s="53"/>
      <c r="G13" s="70"/>
      <c r="H13" s="71" t="str">
        <f>IF(A13="","",SUMIFS(INVOICE_PIUTANG!$G$5:$G$151,INVOICE_PIUTANG!$D$5:$D$151,A13))</f>
        <v/>
      </c>
      <c r="I13" s="71" t="str">
        <f>IF(A13="","",SUMIFS(PEMASUKAN!$H$5:$H$204,PEMASUKAN!$D$5:$D$204,A13,PEMASUKAN!$M$5:$M$204,"Pendapatan Operasional"))</f>
        <v/>
      </c>
      <c r="J13" s="71" t="str">
        <f t="shared" si="0"/>
        <v/>
      </c>
      <c r="K13" s="71" t="str">
        <f>IF(A13="","",SUMIFS(SALDO_AWAL_2026!$F$33:$F$132,SALDO_AWAL_2026!$A$33:$A$132,A13)+SUMIFS(PENGELUARAN!$K$5:$K$204,PENGELUARAN!$D$5:$D$204,A13,PENGELUARAN!$L$5:$L$204,"Kantor"))</f>
        <v/>
      </c>
      <c r="L13" s="71" t="str">
        <f>IF(A13="","",SUMIFS(PENGELUARAN!$K$5:$K$204,PENGELUARAN!$D$5:$D$204,A13,PENGELUARAN!$L$5:$L$204,"Klien"))</f>
        <v/>
      </c>
      <c r="M13" s="71" t="str">
        <f>IF(A13="","",SUMIFS(PEMASUKAN!$H$5:$H$204,PEMASUKAN!$D$5:$D$204,A13,PEMASUKAN!$M$5:$M$204,"Penggantian Biaya"))</f>
        <v/>
      </c>
      <c r="N13" s="71" t="str">
        <f t="shared" si="1"/>
        <v/>
      </c>
      <c r="O13" s="68" t="str">
        <f t="shared" si="2"/>
        <v/>
      </c>
      <c r="P13" s="71" t="str">
        <f>IF(A13="","",SUMIFS(INVOICE_PIUTANG!$L$5:$L$151,INVOICE_PIUTANG!$D$5:$D$151,A13))</f>
        <v/>
      </c>
      <c r="Q13" s="54"/>
      <c r="R13" s="53"/>
      <c r="S13" s="64"/>
      <c r="T13" s="64"/>
      <c r="U13" s="64"/>
      <c r="V13" s="64"/>
      <c r="W13" s="74" t="str">
        <f>IF(A13="","",SUMIFS(SALDO_AWAL_2026!$G$33:$G$132,SALDO_AWAL_2026!$A$33:$A$132,A13)+SUMIFS(GAJI!$Q$5:$Q$124,GAJI!$X$5:$X$124,A13))</f>
        <v/>
      </c>
      <c r="X13" s="74" t="str">
        <f t="shared" si="3"/>
        <v/>
      </c>
      <c r="Y13" s="74" t="str">
        <f t="shared" si="5"/>
        <v/>
      </c>
      <c r="Z13" s="67" t="str">
        <f t="shared" si="4"/>
        <v/>
      </c>
    </row>
    <row r="14" spans="1:26" s="57" customFormat="1">
      <c r="A14" s="52"/>
      <c r="B14" s="52"/>
      <c r="C14" s="53"/>
      <c r="D14" s="53"/>
      <c r="E14" s="54"/>
      <c r="F14" s="53"/>
      <c r="G14" s="70"/>
      <c r="H14" s="71" t="str">
        <f>IF(A14="","",SUMIFS(INVOICE_PIUTANG!$G$5:$G$151,INVOICE_PIUTANG!$D$5:$D$151,A14))</f>
        <v/>
      </c>
      <c r="I14" s="71" t="str">
        <f>IF(A14="","",SUMIFS(PEMASUKAN!$H$5:$H$204,PEMASUKAN!$D$5:$D$204,A14,PEMASUKAN!$M$5:$M$204,"Pendapatan Operasional"))</f>
        <v/>
      </c>
      <c r="J14" s="71" t="str">
        <f t="shared" si="0"/>
        <v/>
      </c>
      <c r="K14" s="71" t="str">
        <f>IF(A14="","",SUMIFS(SALDO_AWAL_2026!$F$33:$F$132,SALDO_AWAL_2026!$A$33:$A$132,A14)+SUMIFS(PENGELUARAN!$K$5:$K$204,PENGELUARAN!$D$5:$D$204,A14,PENGELUARAN!$L$5:$L$204,"Kantor"))</f>
        <v/>
      </c>
      <c r="L14" s="71" t="str">
        <f>IF(A14="","",SUMIFS(PENGELUARAN!$K$5:$K$204,PENGELUARAN!$D$5:$D$204,A14,PENGELUARAN!$L$5:$L$204,"Klien"))</f>
        <v/>
      </c>
      <c r="M14" s="71" t="str">
        <f>IF(A14="","",SUMIFS(PEMASUKAN!$H$5:$H$204,PEMASUKAN!$D$5:$D$204,A14,PEMASUKAN!$M$5:$M$204,"Penggantian Biaya"))</f>
        <v/>
      </c>
      <c r="N14" s="71" t="str">
        <f t="shared" si="1"/>
        <v/>
      </c>
      <c r="O14" s="68" t="str">
        <f t="shared" si="2"/>
        <v/>
      </c>
      <c r="P14" s="71" t="str">
        <f>IF(A14="","",SUMIFS(INVOICE_PIUTANG!$L$5:$L$151,INVOICE_PIUTANG!$D$5:$D$151,A14))</f>
        <v/>
      </c>
      <c r="Q14" s="54"/>
      <c r="R14" s="53"/>
      <c r="S14" s="64"/>
      <c r="T14" s="64"/>
      <c r="U14" s="64"/>
      <c r="V14" s="64"/>
      <c r="W14" s="74" t="str">
        <f>IF(A14="","",SUMIFS(SALDO_AWAL_2026!$G$33:$G$132,SALDO_AWAL_2026!$A$33:$A$132,A14)+SUMIFS(GAJI!$Q$5:$Q$124,GAJI!$X$5:$X$124,A14))</f>
        <v/>
      </c>
      <c r="X14" s="74" t="str">
        <f t="shared" si="3"/>
        <v/>
      </c>
      <c r="Y14" s="74" t="str">
        <f t="shared" si="5"/>
        <v/>
      </c>
      <c r="Z14" s="67" t="str">
        <f t="shared" si="4"/>
        <v/>
      </c>
    </row>
    <row r="15" spans="1:26" s="57" customFormat="1">
      <c r="A15" s="52"/>
      <c r="B15" s="52"/>
      <c r="C15" s="53"/>
      <c r="D15" s="53"/>
      <c r="E15" s="54"/>
      <c r="F15" s="53"/>
      <c r="G15" s="70"/>
      <c r="H15" s="71" t="str">
        <f>IF(A15="","",SUMIFS(INVOICE_PIUTANG!$G$5:$G$151,INVOICE_PIUTANG!$D$5:$D$151,A15))</f>
        <v/>
      </c>
      <c r="I15" s="71" t="str">
        <f>IF(A15="","",SUMIFS(PEMASUKAN!$H$5:$H$204,PEMASUKAN!$D$5:$D$204,A15,PEMASUKAN!$M$5:$M$204,"Pendapatan Operasional"))</f>
        <v/>
      </c>
      <c r="J15" s="71" t="str">
        <f t="shared" si="0"/>
        <v/>
      </c>
      <c r="K15" s="71" t="str">
        <f>IF(A15="","",SUMIFS(SALDO_AWAL_2026!$F$33:$F$132,SALDO_AWAL_2026!$A$33:$A$132,A15)+SUMIFS(PENGELUARAN!$K$5:$K$204,PENGELUARAN!$D$5:$D$204,A15,PENGELUARAN!$L$5:$L$204,"Kantor"))</f>
        <v/>
      </c>
      <c r="L15" s="71" t="str">
        <f>IF(A15="","",SUMIFS(PENGELUARAN!$K$5:$K$204,PENGELUARAN!$D$5:$D$204,A15,PENGELUARAN!$L$5:$L$204,"Klien"))</f>
        <v/>
      </c>
      <c r="M15" s="71" t="str">
        <f>IF(A15="","",SUMIFS(PEMASUKAN!$H$5:$H$204,PEMASUKAN!$D$5:$D$204,A15,PEMASUKAN!$M$5:$M$204,"Penggantian Biaya"))</f>
        <v/>
      </c>
      <c r="N15" s="71" t="str">
        <f t="shared" si="1"/>
        <v/>
      </c>
      <c r="O15" s="68" t="str">
        <f t="shared" si="2"/>
        <v/>
      </c>
      <c r="P15" s="71" t="str">
        <f>IF(A15="","",SUMIFS(INVOICE_PIUTANG!$L$5:$L$151,INVOICE_PIUTANG!$D$5:$D$151,A15))</f>
        <v/>
      </c>
      <c r="Q15" s="54"/>
      <c r="R15" s="53"/>
      <c r="S15" s="64"/>
      <c r="T15" s="64"/>
      <c r="U15" s="64"/>
      <c r="V15" s="64"/>
      <c r="W15" s="74" t="str">
        <f>IF(A15="","",SUMIFS(SALDO_AWAL_2026!$G$33:$G$132,SALDO_AWAL_2026!$A$33:$A$132,A15)+SUMIFS(GAJI!$Q$5:$Q$124,GAJI!$X$5:$X$124,A15))</f>
        <v/>
      </c>
      <c r="X15" s="74" t="str">
        <f t="shared" si="3"/>
        <v/>
      </c>
      <c r="Y15" s="74" t="str">
        <f t="shared" si="5"/>
        <v/>
      </c>
      <c r="Z15" s="67" t="str">
        <f t="shared" si="4"/>
        <v/>
      </c>
    </row>
    <row r="16" spans="1:26" s="57" customFormat="1">
      <c r="A16" s="52"/>
      <c r="B16" s="52"/>
      <c r="C16" s="53"/>
      <c r="D16" s="53"/>
      <c r="E16" s="54"/>
      <c r="F16" s="53"/>
      <c r="G16" s="70"/>
      <c r="H16" s="71" t="str">
        <f>IF(A16="","",SUMIFS(INVOICE_PIUTANG!$G$5:$G$151,INVOICE_PIUTANG!$D$5:$D$151,A16))</f>
        <v/>
      </c>
      <c r="I16" s="71" t="str">
        <f>IF(A16="","",SUMIFS(PEMASUKAN!$H$5:$H$204,PEMASUKAN!$D$5:$D$204,A16,PEMASUKAN!$M$5:$M$204,"Pendapatan Operasional"))</f>
        <v/>
      </c>
      <c r="J16" s="71" t="str">
        <f t="shared" si="0"/>
        <v/>
      </c>
      <c r="K16" s="71" t="str">
        <f>IF(A16="","",SUMIFS(SALDO_AWAL_2026!$F$33:$F$132,SALDO_AWAL_2026!$A$33:$A$132,A16)+SUMIFS(PENGELUARAN!$K$5:$K$204,PENGELUARAN!$D$5:$D$204,A16,PENGELUARAN!$L$5:$L$204,"Kantor"))</f>
        <v/>
      </c>
      <c r="L16" s="71" t="str">
        <f>IF(A16="","",SUMIFS(PENGELUARAN!$K$5:$K$204,PENGELUARAN!$D$5:$D$204,A16,PENGELUARAN!$L$5:$L$204,"Klien"))</f>
        <v/>
      </c>
      <c r="M16" s="71" t="str">
        <f>IF(A16="","",SUMIFS(PEMASUKAN!$H$5:$H$204,PEMASUKAN!$D$5:$D$204,A16,PEMASUKAN!$M$5:$M$204,"Penggantian Biaya"))</f>
        <v/>
      </c>
      <c r="N16" s="71" t="str">
        <f t="shared" si="1"/>
        <v/>
      </c>
      <c r="O16" s="68" t="str">
        <f t="shared" si="2"/>
        <v/>
      </c>
      <c r="P16" s="71" t="str">
        <f>IF(A16="","",SUMIFS(INVOICE_PIUTANG!$L$5:$L$151,INVOICE_PIUTANG!$D$5:$D$151,A16))</f>
        <v/>
      </c>
      <c r="Q16" s="54"/>
      <c r="R16" s="53"/>
      <c r="S16" s="64"/>
      <c r="T16" s="64"/>
      <c r="U16" s="64"/>
      <c r="V16" s="64"/>
      <c r="W16" s="74" t="str">
        <f>IF(A16="","",SUMIFS(SALDO_AWAL_2026!$G$33:$G$132,SALDO_AWAL_2026!$A$33:$A$132,A16)+SUMIFS(GAJI!$Q$5:$Q$124,GAJI!$X$5:$X$124,A16))</f>
        <v/>
      </c>
      <c r="X16" s="74" t="str">
        <f t="shared" si="3"/>
        <v/>
      </c>
      <c r="Y16" s="74" t="str">
        <f t="shared" si="5"/>
        <v/>
      </c>
      <c r="Z16" s="67" t="str">
        <f t="shared" si="4"/>
        <v/>
      </c>
    </row>
    <row r="17" spans="1:26" s="57" customFormat="1">
      <c r="A17" s="52"/>
      <c r="B17" s="52"/>
      <c r="C17" s="53"/>
      <c r="D17" s="53"/>
      <c r="E17" s="54"/>
      <c r="F17" s="53"/>
      <c r="G17" s="70"/>
      <c r="H17" s="71" t="str">
        <f>IF(A17="","",SUMIFS(INVOICE_PIUTANG!$G$5:$G$151,INVOICE_PIUTANG!$D$5:$D$151,A17))</f>
        <v/>
      </c>
      <c r="I17" s="71" t="str">
        <f>IF(A17="","",SUMIFS(PEMASUKAN!$H$5:$H$204,PEMASUKAN!$D$5:$D$204,A17,PEMASUKAN!$M$5:$M$204,"Pendapatan Operasional"))</f>
        <v/>
      </c>
      <c r="J17" s="71" t="str">
        <f t="shared" si="0"/>
        <v/>
      </c>
      <c r="K17" s="71" t="str">
        <f>IF(A17="","",SUMIFS(SALDO_AWAL_2026!$F$33:$F$132,SALDO_AWAL_2026!$A$33:$A$132,A17)+SUMIFS(PENGELUARAN!$K$5:$K$204,PENGELUARAN!$D$5:$D$204,A17,PENGELUARAN!$L$5:$L$204,"Kantor"))</f>
        <v/>
      </c>
      <c r="L17" s="71" t="str">
        <f>IF(A17="","",SUMIFS(PENGELUARAN!$K$5:$K$204,PENGELUARAN!$D$5:$D$204,A17,PENGELUARAN!$L$5:$L$204,"Klien"))</f>
        <v/>
      </c>
      <c r="M17" s="71" t="str">
        <f>IF(A17="","",SUMIFS(PEMASUKAN!$H$5:$H$204,PEMASUKAN!$D$5:$D$204,A17,PEMASUKAN!$M$5:$M$204,"Penggantian Biaya"))</f>
        <v/>
      </c>
      <c r="N17" s="71" t="str">
        <f t="shared" si="1"/>
        <v/>
      </c>
      <c r="O17" s="68" t="str">
        <f t="shared" si="2"/>
        <v/>
      </c>
      <c r="P17" s="71" t="str">
        <f>IF(A17="","",SUMIFS(INVOICE_PIUTANG!$L$5:$L$151,INVOICE_PIUTANG!$D$5:$D$151,A17))</f>
        <v/>
      </c>
      <c r="Q17" s="54"/>
      <c r="R17" s="53"/>
      <c r="S17" s="64"/>
      <c r="T17" s="64"/>
      <c r="U17" s="64"/>
      <c r="V17" s="64"/>
      <c r="W17" s="74" t="str">
        <f>IF(A17="","",SUMIFS(SALDO_AWAL_2026!$G$33:$G$132,SALDO_AWAL_2026!$A$33:$A$132,A17)+SUMIFS(GAJI!$Q$5:$Q$124,GAJI!$X$5:$X$124,A17))</f>
        <v/>
      </c>
      <c r="X17" s="74" t="str">
        <f t="shared" si="3"/>
        <v/>
      </c>
      <c r="Y17" s="74" t="str">
        <f t="shared" si="5"/>
        <v/>
      </c>
      <c r="Z17" s="67" t="str">
        <f t="shared" si="4"/>
        <v/>
      </c>
    </row>
    <row r="18" spans="1:26" s="57" customFormat="1">
      <c r="A18" s="52"/>
      <c r="B18" s="52"/>
      <c r="C18" s="53"/>
      <c r="D18" s="53"/>
      <c r="E18" s="54"/>
      <c r="F18" s="53"/>
      <c r="G18" s="70"/>
      <c r="H18" s="71" t="str">
        <f>IF(A18="","",SUMIFS(INVOICE_PIUTANG!$G$5:$G$151,INVOICE_PIUTANG!$D$5:$D$151,A18))</f>
        <v/>
      </c>
      <c r="I18" s="71" t="str">
        <f>IF(A18="","",SUMIFS(PEMASUKAN!$H$5:$H$204,PEMASUKAN!$D$5:$D$204,A18,PEMASUKAN!$M$5:$M$204,"Pendapatan Operasional"))</f>
        <v/>
      </c>
      <c r="J18" s="71" t="str">
        <f t="shared" si="0"/>
        <v/>
      </c>
      <c r="K18" s="71" t="str">
        <f>IF(A18="","",SUMIFS(SALDO_AWAL_2026!$F$33:$F$132,SALDO_AWAL_2026!$A$33:$A$132,A18)+SUMIFS(PENGELUARAN!$K$5:$K$204,PENGELUARAN!$D$5:$D$204,A18,PENGELUARAN!$L$5:$L$204,"Kantor"))</f>
        <v/>
      </c>
      <c r="L18" s="71" t="str">
        <f>IF(A18="","",SUMIFS(PENGELUARAN!$K$5:$K$204,PENGELUARAN!$D$5:$D$204,A18,PENGELUARAN!$L$5:$L$204,"Klien"))</f>
        <v/>
      </c>
      <c r="M18" s="71" t="str">
        <f>IF(A18="","",SUMIFS(PEMASUKAN!$H$5:$H$204,PEMASUKAN!$D$5:$D$204,A18,PEMASUKAN!$M$5:$M$204,"Penggantian Biaya"))</f>
        <v/>
      </c>
      <c r="N18" s="71" t="str">
        <f t="shared" si="1"/>
        <v/>
      </c>
      <c r="O18" s="68" t="str">
        <f t="shared" si="2"/>
        <v/>
      </c>
      <c r="P18" s="71" t="str">
        <f>IF(A18="","",SUMIFS(INVOICE_PIUTANG!$L$5:$L$151,INVOICE_PIUTANG!$D$5:$D$151,A18))</f>
        <v/>
      </c>
      <c r="Q18" s="54"/>
      <c r="R18" s="53"/>
      <c r="S18" s="64"/>
      <c r="T18" s="64"/>
      <c r="U18" s="64"/>
      <c r="V18" s="64"/>
      <c r="W18" s="74" t="str">
        <f>IF(A18="","",SUMIFS(SALDO_AWAL_2026!$G$33:$G$132,SALDO_AWAL_2026!$A$33:$A$132,A18)+SUMIFS(GAJI!$Q$5:$Q$124,GAJI!$X$5:$X$124,A18))</f>
        <v/>
      </c>
      <c r="X18" s="74" t="str">
        <f t="shared" si="3"/>
        <v/>
      </c>
      <c r="Y18" s="74" t="str">
        <f t="shared" si="5"/>
        <v/>
      </c>
      <c r="Z18" s="67" t="str">
        <f t="shared" si="4"/>
        <v/>
      </c>
    </row>
    <row r="19" spans="1:26">
      <c r="A19" s="46"/>
      <c r="B19" s="46"/>
      <c r="C19" s="6"/>
      <c r="D19" s="6"/>
      <c r="E19" s="10"/>
      <c r="F19" s="6"/>
      <c r="G19" s="72"/>
      <c r="H19" s="71" t="str">
        <f>IF(A19="","",SUMIFS(INVOICE_PIUTANG!$G$5:$G$151,INVOICE_PIUTANG!$D$5:$D$151,A19))</f>
        <v/>
      </c>
      <c r="I19" s="71" t="str">
        <f>IF(A19="","",SUMIFS(PEMASUKAN!$H$5:$H$204,PEMASUKAN!$D$5:$D$204,A19,PEMASUKAN!$M$5:$M$204,"Pendapatan Operasional"))</f>
        <v/>
      </c>
      <c r="J19" s="73" t="str">
        <f t="shared" si="0"/>
        <v/>
      </c>
      <c r="K19" s="73" t="str">
        <f>IF(A19="","",SUMIFS(SALDO_AWAL_2026!$F$33:$F$132,SALDO_AWAL_2026!$A$33:$A$132,A19)+SUMIFS(PENGELUARAN!$K$5:$K$204,PENGELUARAN!$D$5:$D$204,A19,PENGELUARAN!$L$5:$L$204,"Kantor"))</f>
        <v/>
      </c>
      <c r="L19" s="73" t="str">
        <f>IF(A19="","",SUMIFS(PENGELUARAN!$K$5:$K$204,PENGELUARAN!$D$5:$D$204,A19,PENGELUARAN!$L$5:$L$204,"Klien"))</f>
        <v/>
      </c>
      <c r="M19" s="73" t="str">
        <f>IF(A19="","",SUMIFS(PEMASUKAN!$H$5:$H$204,PEMASUKAN!$D$5:$D$204,A19,PEMASUKAN!$M$5:$M$204,"Penggantian Biaya"))</f>
        <v/>
      </c>
      <c r="N19" s="73" t="str">
        <f t="shared" si="1"/>
        <v/>
      </c>
      <c r="O19" s="69" t="str">
        <f t="shared" si="2"/>
        <v/>
      </c>
      <c r="P19" s="73" t="str">
        <f>IF(A19="","",SUMIFS(INVOICE_PIUTANG!$L$5:$L$151,INVOICE_PIUTANG!$D$5:$D$151,A19))</f>
        <v/>
      </c>
      <c r="Q19" s="10"/>
      <c r="R19" s="6"/>
      <c r="S19" s="64"/>
      <c r="T19" s="64"/>
      <c r="U19" s="64"/>
      <c r="V19" s="64"/>
      <c r="W19" s="74" t="str">
        <f>IF(A19="","",SUMIFS(SALDO_AWAL_2026!$G$33:$G$132,SALDO_AWAL_2026!$A$33:$A$132,A19)+SUMIFS(GAJI!$Q$5:$Q$124,GAJI!$X$5:$X$124,A19))</f>
        <v/>
      </c>
      <c r="X19" s="74" t="str">
        <f t="shared" si="3"/>
        <v/>
      </c>
      <c r="Y19" s="74" t="str">
        <f t="shared" si="5"/>
        <v/>
      </c>
      <c r="Z19" s="67" t="str">
        <f t="shared" si="4"/>
        <v/>
      </c>
    </row>
    <row r="20" spans="1:26">
      <c r="A20" s="46"/>
      <c r="B20" s="46"/>
      <c r="C20" s="6"/>
      <c r="D20" s="6"/>
      <c r="E20" s="10"/>
      <c r="F20" s="6"/>
      <c r="G20" s="72"/>
      <c r="H20" s="71" t="str">
        <f>IF(A20="","",SUMIFS(INVOICE_PIUTANG!$G$5:$G$151,INVOICE_PIUTANG!$D$5:$D$151,A20))</f>
        <v/>
      </c>
      <c r="I20" s="71" t="str">
        <f>IF(A20="","",SUMIFS(PEMASUKAN!$H$5:$H$204,PEMASUKAN!$D$5:$D$204,A20,PEMASUKAN!$M$5:$M$204,"Pendapatan Operasional"))</f>
        <v/>
      </c>
      <c r="J20" s="73" t="str">
        <f t="shared" si="0"/>
        <v/>
      </c>
      <c r="K20" s="73" t="str">
        <f>IF(A20="","",SUMIFS(SALDO_AWAL_2026!$F$33:$F$132,SALDO_AWAL_2026!$A$33:$A$132,A20)+SUMIFS(PENGELUARAN!$K$5:$K$204,PENGELUARAN!$D$5:$D$204,A20,PENGELUARAN!$L$5:$L$204,"Kantor"))</f>
        <v/>
      </c>
      <c r="L20" s="73" t="str">
        <f>IF(A20="","",SUMIFS(PENGELUARAN!$K$5:$K$204,PENGELUARAN!$D$5:$D$204,A20,PENGELUARAN!$L$5:$L$204,"Klien"))</f>
        <v/>
      </c>
      <c r="M20" s="73" t="str">
        <f>IF(A20="","",SUMIFS(PEMASUKAN!$H$5:$H$204,PEMASUKAN!$D$5:$D$204,A20,PEMASUKAN!$M$5:$M$204,"Penggantian Biaya"))</f>
        <v/>
      </c>
      <c r="N20" s="73" t="str">
        <f t="shared" si="1"/>
        <v/>
      </c>
      <c r="O20" s="69" t="str">
        <f t="shared" si="2"/>
        <v/>
      </c>
      <c r="P20" s="73" t="str">
        <f>IF(A20="","",SUMIFS(INVOICE_PIUTANG!$L$5:$L$151,INVOICE_PIUTANG!$D$5:$D$151,A20))</f>
        <v/>
      </c>
      <c r="Q20" s="10"/>
      <c r="R20" s="6"/>
      <c r="S20" s="64"/>
      <c r="T20" s="64"/>
      <c r="U20" s="64"/>
      <c r="V20" s="64"/>
      <c r="W20" s="74" t="str">
        <f>IF(A20="","",SUMIFS(SALDO_AWAL_2026!$G$33:$G$132,SALDO_AWAL_2026!$A$33:$A$132,A20)+SUMIFS(GAJI!$Q$5:$Q$124,GAJI!$X$5:$X$124,A20))</f>
        <v/>
      </c>
      <c r="X20" s="74" t="str">
        <f t="shared" si="3"/>
        <v/>
      </c>
      <c r="Y20" s="74" t="str">
        <f t="shared" si="5"/>
        <v/>
      </c>
      <c r="Z20" s="67" t="str">
        <f t="shared" si="4"/>
        <v/>
      </c>
    </row>
    <row r="21" spans="1:26">
      <c r="A21" s="46"/>
      <c r="B21" s="46"/>
      <c r="C21" s="6"/>
      <c r="D21" s="6"/>
      <c r="E21" s="10"/>
      <c r="F21" s="6"/>
      <c r="G21" s="72"/>
      <c r="H21" s="71" t="str">
        <f>IF(A21="","",SUMIFS(INVOICE_PIUTANG!$G$5:$G$151,INVOICE_PIUTANG!$D$5:$D$151,A21))</f>
        <v/>
      </c>
      <c r="I21" s="71" t="str">
        <f>IF(A21="","",SUMIFS(PEMASUKAN!$H$5:$H$204,PEMASUKAN!$D$5:$D$204,A21,PEMASUKAN!$M$5:$M$204,"Pendapatan Operasional"))</f>
        <v/>
      </c>
      <c r="J21" s="73" t="str">
        <f t="shared" si="0"/>
        <v/>
      </c>
      <c r="K21" s="73" t="str">
        <f>IF(A21="","",SUMIFS(SALDO_AWAL_2026!$F$33:$F$132,SALDO_AWAL_2026!$A$33:$A$132,A21)+SUMIFS(PENGELUARAN!$K$5:$K$204,PENGELUARAN!$D$5:$D$204,A21,PENGELUARAN!$L$5:$L$204,"Kantor"))</f>
        <v/>
      </c>
      <c r="L21" s="73" t="str">
        <f>IF(A21="","",SUMIFS(PENGELUARAN!$K$5:$K$204,PENGELUARAN!$D$5:$D$204,A21,PENGELUARAN!$L$5:$L$204,"Klien"))</f>
        <v/>
      </c>
      <c r="M21" s="73" t="str">
        <f>IF(A21="","",SUMIFS(PEMASUKAN!$H$5:$H$204,PEMASUKAN!$D$5:$D$204,A21,PEMASUKAN!$M$5:$M$204,"Penggantian Biaya"))</f>
        <v/>
      </c>
      <c r="N21" s="73" t="str">
        <f t="shared" si="1"/>
        <v/>
      </c>
      <c r="O21" s="69" t="str">
        <f t="shared" si="2"/>
        <v/>
      </c>
      <c r="P21" s="73" t="str">
        <f>IF(A21="","",SUMIFS(INVOICE_PIUTANG!$L$5:$L$151,INVOICE_PIUTANG!$D$5:$D$151,A21))</f>
        <v/>
      </c>
      <c r="Q21" s="10"/>
      <c r="R21" s="6"/>
      <c r="S21" s="64"/>
      <c r="T21" s="64"/>
      <c r="U21" s="64"/>
      <c r="V21" s="64"/>
      <c r="W21" s="74" t="str">
        <f>IF(A21="","",SUMIFS(SALDO_AWAL_2026!$G$33:$G$132,SALDO_AWAL_2026!$A$33:$A$132,A21)+SUMIFS(GAJI!$Q$5:$Q$124,GAJI!$X$5:$X$124,A21))</f>
        <v/>
      </c>
      <c r="X21" s="74" t="str">
        <f t="shared" si="3"/>
        <v/>
      </c>
      <c r="Y21" s="74" t="str">
        <f t="shared" si="5"/>
        <v/>
      </c>
      <c r="Z21" s="67" t="str">
        <f t="shared" si="4"/>
        <v/>
      </c>
    </row>
    <row r="22" spans="1:26">
      <c r="A22" s="46"/>
      <c r="B22" s="46"/>
      <c r="C22" s="6"/>
      <c r="D22" s="6"/>
      <c r="E22" s="10"/>
      <c r="F22" s="6"/>
      <c r="G22" s="72"/>
      <c r="H22" s="71" t="str">
        <f>IF(A22="","",SUMIFS(INVOICE_PIUTANG!$G$5:$G$151,INVOICE_PIUTANG!$D$5:$D$151,A22))</f>
        <v/>
      </c>
      <c r="I22" s="71" t="str">
        <f>IF(A22="","",SUMIFS(PEMASUKAN!$H$5:$H$204,PEMASUKAN!$D$5:$D$204,A22,PEMASUKAN!$M$5:$M$204,"Pendapatan Operasional"))</f>
        <v/>
      </c>
      <c r="J22" s="73" t="str">
        <f t="shared" si="0"/>
        <v/>
      </c>
      <c r="K22" s="73" t="str">
        <f>IF(A22="","",SUMIFS(SALDO_AWAL_2026!$F$33:$F$132,SALDO_AWAL_2026!$A$33:$A$132,A22)+SUMIFS(PENGELUARAN!$K$5:$K$204,PENGELUARAN!$D$5:$D$204,A22,PENGELUARAN!$L$5:$L$204,"Kantor"))</f>
        <v/>
      </c>
      <c r="L22" s="73" t="str">
        <f>IF(A22="","",SUMIFS(PENGELUARAN!$K$5:$K$204,PENGELUARAN!$D$5:$D$204,A22,PENGELUARAN!$L$5:$L$204,"Klien"))</f>
        <v/>
      </c>
      <c r="M22" s="73" t="str">
        <f>IF(A22="","",SUMIFS(PEMASUKAN!$H$5:$H$204,PEMASUKAN!$D$5:$D$204,A22,PEMASUKAN!$M$5:$M$204,"Penggantian Biaya"))</f>
        <v/>
      </c>
      <c r="N22" s="73" t="str">
        <f t="shared" si="1"/>
        <v/>
      </c>
      <c r="O22" s="69" t="str">
        <f t="shared" si="2"/>
        <v/>
      </c>
      <c r="P22" s="73" t="str">
        <f>IF(A22="","",SUMIFS(INVOICE_PIUTANG!$L$5:$L$151,INVOICE_PIUTANG!$D$5:$D$151,A22))</f>
        <v/>
      </c>
      <c r="Q22" s="10"/>
      <c r="R22" s="6"/>
      <c r="S22" s="64"/>
      <c r="T22" s="64"/>
      <c r="U22" s="64"/>
      <c r="V22" s="64"/>
      <c r="W22" s="74" t="str">
        <f>IF(A22="","",SUMIFS(SALDO_AWAL_2026!$G$33:$G$132,SALDO_AWAL_2026!$A$33:$A$132,A22)+SUMIFS(GAJI!$Q$5:$Q$124,GAJI!$X$5:$X$124,A22))</f>
        <v/>
      </c>
      <c r="X22" s="74" t="str">
        <f t="shared" si="3"/>
        <v/>
      </c>
      <c r="Y22" s="74" t="str">
        <f t="shared" si="5"/>
        <v/>
      </c>
      <c r="Z22" s="67" t="str">
        <f t="shared" si="4"/>
        <v/>
      </c>
    </row>
    <row r="23" spans="1:26">
      <c r="A23" s="46"/>
      <c r="B23" s="46"/>
      <c r="C23" s="6"/>
      <c r="D23" s="6"/>
      <c r="E23" s="10"/>
      <c r="F23" s="6"/>
      <c r="G23" s="72"/>
      <c r="H23" s="71" t="str">
        <f>IF(A23="","",SUMIFS(INVOICE_PIUTANG!$G$5:$G$151,INVOICE_PIUTANG!$D$5:$D$151,A23))</f>
        <v/>
      </c>
      <c r="I23" s="71" t="str">
        <f>IF(A23="","",SUMIFS(PEMASUKAN!$H$5:$H$204,PEMASUKAN!$D$5:$D$204,A23,PEMASUKAN!$M$5:$M$204,"Pendapatan Operasional"))</f>
        <v/>
      </c>
      <c r="J23" s="73" t="str">
        <f t="shared" si="0"/>
        <v/>
      </c>
      <c r="K23" s="73" t="str">
        <f>IF(A23="","",SUMIFS(SALDO_AWAL_2026!$F$33:$F$132,SALDO_AWAL_2026!$A$33:$A$132,A23)+SUMIFS(PENGELUARAN!$K$5:$K$204,PENGELUARAN!$D$5:$D$204,A23,PENGELUARAN!$L$5:$L$204,"Kantor"))</f>
        <v/>
      </c>
      <c r="L23" s="73" t="str">
        <f>IF(A23="","",SUMIFS(PENGELUARAN!$K$5:$K$204,PENGELUARAN!$D$5:$D$204,A23,PENGELUARAN!$L$5:$L$204,"Klien"))</f>
        <v/>
      </c>
      <c r="M23" s="73" t="str">
        <f>IF(A23="","",SUMIFS(PEMASUKAN!$H$5:$H$204,PEMASUKAN!$D$5:$D$204,A23,PEMASUKAN!$M$5:$M$204,"Penggantian Biaya"))</f>
        <v/>
      </c>
      <c r="N23" s="73" t="str">
        <f t="shared" si="1"/>
        <v/>
      </c>
      <c r="O23" s="69" t="str">
        <f t="shared" si="2"/>
        <v/>
      </c>
      <c r="P23" s="73" t="str">
        <f>IF(A23="","",SUMIFS(INVOICE_PIUTANG!$L$5:$L$151,INVOICE_PIUTANG!$D$5:$D$151,A23))</f>
        <v/>
      </c>
      <c r="Q23" s="10"/>
      <c r="R23" s="6"/>
      <c r="S23" s="64"/>
      <c r="T23" s="64"/>
      <c r="U23" s="64"/>
      <c r="V23" s="64"/>
      <c r="W23" s="74" t="str">
        <f>IF(A23="","",SUMIFS(SALDO_AWAL_2026!$G$33:$G$132,SALDO_AWAL_2026!$A$33:$A$132,A23)+SUMIFS(GAJI!$Q$5:$Q$124,GAJI!$X$5:$X$124,A23))</f>
        <v/>
      </c>
      <c r="X23" s="74" t="str">
        <f t="shared" si="3"/>
        <v/>
      </c>
      <c r="Y23" s="74" t="str">
        <f t="shared" si="5"/>
        <v/>
      </c>
      <c r="Z23" s="67" t="str">
        <f t="shared" si="4"/>
        <v/>
      </c>
    </row>
    <row r="24" spans="1:26">
      <c r="A24" s="46"/>
      <c r="B24" s="46"/>
      <c r="C24" s="6"/>
      <c r="D24" s="6"/>
      <c r="E24" s="10"/>
      <c r="F24" s="6"/>
      <c r="G24" s="72"/>
      <c r="H24" s="71" t="str">
        <f>IF(A24="","",SUMIFS(INVOICE_PIUTANG!$G$5:$G$151,INVOICE_PIUTANG!$D$5:$D$151,A24))</f>
        <v/>
      </c>
      <c r="I24" s="71" t="str">
        <f>IF(A24="","",SUMIFS(PEMASUKAN!$H$5:$H$204,PEMASUKAN!$D$5:$D$204,A24,PEMASUKAN!$M$5:$M$204,"Pendapatan Operasional"))</f>
        <v/>
      </c>
      <c r="J24" s="73" t="str">
        <f t="shared" si="0"/>
        <v/>
      </c>
      <c r="K24" s="73" t="str">
        <f>IF(A24="","",SUMIFS(SALDO_AWAL_2026!$F$33:$F$132,SALDO_AWAL_2026!$A$33:$A$132,A24)+SUMIFS(PENGELUARAN!$K$5:$K$204,PENGELUARAN!$D$5:$D$204,A24,PENGELUARAN!$L$5:$L$204,"Kantor"))</f>
        <v/>
      </c>
      <c r="L24" s="73" t="str">
        <f>IF(A24="","",SUMIFS(PENGELUARAN!$K$5:$K$204,PENGELUARAN!$D$5:$D$204,A24,PENGELUARAN!$L$5:$L$204,"Klien"))</f>
        <v/>
      </c>
      <c r="M24" s="73" t="str">
        <f>IF(A24="","",SUMIFS(PEMASUKAN!$H$5:$H$204,PEMASUKAN!$D$5:$D$204,A24,PEMASUKAN!$M$5:$M$204,"Penggantian Biaya"))</f>
        <v/>
      </c>
      <c r="N24" s="73" t="str">
        <f t="shared" si="1"/>
        <v/>
      </c>
      <c r="O24" s="69" t="str">
        <f t="shared" si="2"/>
        <v/>
      </c>
      <c r="P24" s="73" t="str">
        <f>IF(A24="","",SUMIFS(INVOICE_PIUTANG!$L$5:$L$151,INVOICE_PIUTANG!$D$5:$D$151,A24))</f>
        <v/>
      </c>
      <c r="Q24" s="10"/>
      <c r="R24" s="6"/>
      <c r="S24" s="64"/>
      <c r="T24" s="64"/>
      <c r="U24" s="64"/>
      <c r="V24" s="64"/>
      <c r="W24" s="74" t="str">
        <f>IF(A24="","",SUMIFS(SALDO_AWAL_2026!$G$33:$G$132,SALDO_AWAL_2026!$A$33:$A$132,A24)+SUMIFS(GAJI!$Q$5:$Q$124,GAJI!$X$5:$X$124,A24))</f>
        <v/>
      </c>
      <c r="X24" s="74" t="str">
        <f t="shared" si="3"/>
        <v/>
      </c>
      <c r="Y24" s="74" t="str">
        <f t="shared" si="5"/>
        <v/>
      </c>
      <c r="Z24" s="67" t="str">
        <f t="shared" si="4"/>
        <v/>
      </c>
    </row>
    <row r="25" spans="1:26">
      <c r="A25" s="46"/>
      <c r="B25" s="46"/>
      <c r="C25" s="6"/>
      <c r="D25" s="6"/>
      <c r="E25" s="10"/>
      <c r="F25" s="6"/>
      <c r="G25" s="72"/>
      <c r="H25" s="71" t="str">
        <f>IF(A25="","",SUMIFS(INVOICE_PIUTANG!$G$5:$G$151,INVOICE_PIUTANG!$D$5:$D$151,A25))</f>
        <v/>
      </c>
      <c r="I25" s="71" t="str">
        <f>IF(A25="","",SUMIFS(PEMASUKAN!$H$5:$H$204,PEMASUKAN!$D$5:$D$204,A25,PEMASUKAN!$M$5:$M$204,"Pendapatan Operasional"))</f>
        <v/>
      </c>
      <c r="J25" s="73" t="str">
        <f t="shared" si="0"/>
        <v/>
      </c>
      <c r="K25" s="73" t="str">
        <f>IF(A25="","",SUMIFS(SALDO_AWAL_2026!$F$33:$F$132,SALDO_AWAL_2026!$A$33:$A$132,A25)+SUMIFS(PENGELUARAN!$K$5:$K$204,PENGELUARAN!$D$5:$D$204,A25,PENGELUARAN!$L$5:$L$204,"Kantor"))</f>
        <v/>
      </c>
      <c r="L25" s="73" t="str">
        <f>IF(A25="","",SUMIFS(PENGELUARAN!$K$5:$K$204,PENGELUARAN!$D$5:$D$204,A25,PENGELUARAN!$L$5:$L$204,"Klien"))</f>
        <v/>
      </c>
      <c r="M25" s="73" t="str">
        <f>IF(A25="","",SUMIFS(PEMASUKAN!$H$5:$H$204,PEMASUKAN!$D$5:$D$204,A25,PEMASUKAN!$M$5:$M$204,"Penggantian Biaya"))</f>
        <v/>
      </c>
      <c r="N25" s="73" t="str">
        <f t="shared" si="1"/>
        <v/>
      </c>
      <c r="O25" s="69" t="str">
        <f t="shared" si="2"/>
        <v/>
      </c>
      <c r="P25" s="73" t="str">
        <f>IF(A25="","",SUMIFS(INVOICE_PIUTANG!$L$5:$L$151,INVOICE_PIUTANG!$D$5:$D$151,A25))</f>
        <v/>
      </c>
      <c r="Q25" s="10"/>
      <c r="R25" s="6"/>
      <c r="S25" s="64"/>
      <c r="T25" s="64"/>
      <c r="U25" s="64"/>
      <c r="V25" s="64"/>
      <c r="W25" s="74" t="str">
        <f>IF(A25="","",SUMIFS(SALDO_AWAL_2026!$G$33:$G$132,SALDO_AWAL_2026!$A$33:$A$132,A25)+SUMIFS(GAJI!$Q$5:$Q$124,GAJI!$X$5:$X$124,A25))</f>
        <v/>
      </c>
      <c r="X25" s="74" t="str">
        <f t="shared" si="3"/>
        <v/>
      </c>
      <c r="Y25" s="74" t="str">
        <f t="shared" si="5"/>
        <v/>
      </c>
      <c r="Z25" s="67" t="str">
        <f t="shared" si="4"/>
        <v/>
      </c>
    </row>
    <row r="26" spans="1:26">
      <c r="A26" s="46"/>
      <c r="B26" s="46"/>
      <c r="C26" s="6"/>
      <c r="D26" s="6"/>
      <c r="E26" s="10"/>
      <c r="F26" s="6"/>
      <c r="G26" s="72"/>
      <c r="H26" s="71" t="str">
        <f>IF(A26="","",SUMIFS(INVOICE_PIUTANG!$G$5:$G$151,INVOICE_PIUTANG!$D$5:$D$151,A26))</f>
        <v/>
      </c>
      <c r="I26" s="71" t="str">
        <f>IF(A26="","",SUMIFS(PEMASUKAN!$H$5:$H$204,PEMASUKAN!$D$5:$D$204,A26,PEMASUKAN!$M$5:$M$204,"Pendapatan Operasional"))</f>
        <v/>
      </c>
      <c r="J26" s="73" t="str">
        <f t="shared" si="0"/>
        <v/>
      </c>
      <c r="K26" s="73" t="str">
        <f>IF(A26="","",SUMIFS(SALDO_AWAL_2026!$F$33:$F$132,SALDO_AWAL_2026!$A$33:$A$132,A26)+SUMIFS(PENGELUARAN!$K$5:$K$204,PENGELUARAN!$D$5:$D$204,A26,PENGELUARAN!$L$5:$L$204,"Kantor"))</f>
        <v/>
      </c>
      <c r="L26" s="73" t="str">
        <f>IF(A26="","",SUMIFS(PENGELUARAN!$K$5:$K$204,PENGELUARAN!$D$5:$D$204,A26,PENGELUARAN!$L$5:$L$204,"Klien"))</f>
        <v/>
      </c>
      <c r="M26" s="73" t="str">
        <f>IF(A26="","",SUMIFS(PEMASUKAN!$H$5:$H$204,PEMASUKAN!$D$5:$D$204,A26,PEMASUKAN!$M$5:$M$204,"Penggantian Biaya"))</f>
        <v/>
      </c>
      <c r="N26" s="73" t="str">
        <f t="shared" si="1"/>
        <v/>
      </c>
      <c r="O26" s="69" t="str">
        <f t="shared" si="2"/>
        <v/>
      </c>
      <c r="P26" s="73" t="str">
        <f>IF(A26="","",SUMIFS(INVOICE_PIUTANG!$L$5:$L$151,INVOICE_PIUTANG!$D$5:$D$151,A26))</f>
        <v/>
      </c>
      <c r="Q26" s="10"/>
      <c r="R26" s="6"/>
      <c r="S26" s="64"/>
      <c r="T26" s="64"/>
      <c r="U26" s="64"/>
      <c r="V26" s="64"/>
      <c r="W26" s="74" t="str">
        <f>IF(A26="","",SUMIFS(SALDO_AWAL_2026!$G$33:$G$132,SALDO_AWAL_2026!$A$33:$A$132,A26)+SUMIFS(GAJI!$Q$5:$Q$124,GAJI!$X$5:$X$124,A26))</f>
        <v/>
      </c>
      <c r="X26" s="74" t="str">
        <f t="shared" si="3"/>
        <v/>
      </c>
      <c r="Y26" s="74" t="str">
        <f t="shared" si="5"/>
        <v/>
      </c>
      <c r="Z26" s="67" t="str">
        <f t="shared" si="4"/>
        <v/>
      </c>
    </row>
    <row r="27" spans="1:26">
      <c r="A27" s="46"/>
      <c r="B27" s="46"/>
      <c r="C27" s="6"/>
      <c r="D27" s="6"/>
      <c r="E27" s="10"/>
      <c r="F27" s="6"/>
      <c r="G27" s="72"/>
      <c r="H27" s="71" t="str">
        <f>IF(A27="","",SUMIFS(INVOICE_PIUTANG!$G$5:$G$151,INVOICE_PIUTANG!$D$5:$D$151,A27))</f>
        <v/>
      </c>
      <c r="I27" s="71" t="str">
        <f>IF(A27="","",SUMIFS(PEMASUKAN!$H$5:$H$204,PEMASUKAN!$D$5:$D$204,A27,PEMASUKAN!$M$5:$M$204,"Pendapatan Operasional"))</f>
        <v/>
      </c>
      <c r="J27" s="73" t="str">
        <f t="shared" si="0"/>
        <v/>
      </c>
      <c r="K27" s="73" t="str">
        <f>IF(A27="","",SUMIFS(SALDO_AWAL_2026!$F$33:$F$132,SALDO_AWAL_2026!$A$33:$A$132,A27)+SUMIFS(PENGELUARAN!$K$5:$K$204,PENGELUARAN!$D$5:$D$204,A27,PENGELUARAN!$L$5:$L$204,"Kantor"))</f>
        <v/>
      </c>
      <c r="L27" s="73" t="str">
        <f>IF(A27="","",SUMIFS(PENGELUARAN!$K$5:$K$204,PENGELUARAN!$D$5:$D$204,A27,PENGELUARAN!$L$5:$L$204,"Klien"))</f>
        <v/>
      </c>
      <c r="M27" s="73" t="str">
        <f>IF(A27="","",SUMIFS(PEMASUKAN!$H$5:$H$204,PEMASUKAN!$D$5:$D$204,A27,PEMASUKAN!$M$5:$M$204,"Penggantian Biaya"))</f>
        <v/>
      </c>
      <c r="N27" s="73" t="str">
        <f t="shared" si="1"/>
        <v/>
      </c>
      <c r="O27" s="69" t="str">
        <f t="shared" si="2"/>
        <v/>
      </c>
      <c r="P27" s="73" t="str">
        <f>IF(A27="","",SUMIFS(INVOICE_PIUTANG!$L$5:$L$151,INVOICE_PIUTANG!$D$5:$D$151,A27))</f>
        <v/>
      </c>
      <c r="Q27" s="10"/>
      <c r="R27" s="6"/>
      <c r="S27" s="64"/>
      <c r="T27" s="64"/>
      <c r="U27" s="64"/>
      <c r="V27" s="64"/>
      <c r="W27" s="74" t="str">
        <f>IF(A27="","",SUMIFS(SALDO_AWAL_2026!$G$33:$G$132,SALDO_AWAL_2026!$A$33:$A$132,A27)+SUMIFS(GAJI!$Q$5:$Q$124,GAJI!$X$5:$X$124,A27))</f>
        <v/>
      </c>
      <c r="X27" s="74" t="str">
        <f t="shared" si="3"/>
        <v/>
      </c>
      <c r="Y27" s="74" t="str">
        <f t="shared" si="5"/>
        <v/>
      </c>
      <c r="Z27" s="67" t="str">
        <f t="shared" si="4"/>
        <v/>
      </c>
    </row>
    <row r="28" spans="1:26">
      <c r="A28" s="46"/>
      <c r="B28" s="46"/>
      <c r="C28" s="6"/>
      <c r="D28" s="6"/>
      <c r="E28" s="10"/>
      <c r="F28" s="6"/>
      <c r="G28" s="72"/>
      <c r="H28" s="71" t="str">
        <f>IF(A28="","",SUMIFS(INVOICE_PIUTANG!$G$5:$G$151,INVOICE_PIUTANG!$D$5:$D$151,A28))</f>
        <v/>
      </c>
      <c r="I28" s="71" t="str">
        <f>IF(A28="","",SUMIFS(PEMASUKAN!$H$5:$H$204,PEMASUKAN!$D$5:$D$204,A28,PEMASUKAN!$M$5:$M$204,"Pendapatan Operasional"))</f>
        <v/>
      </c>
      <c r="J28" s="73" t="str">
        <f t="shared" si="0"/>
        <v/>
      </c>
      <c r="K28" s="73" t="str">
        <f>IF(A28="","",SUMIFS(SALDO_AWAL_2026!$F$33:$F$132,SALDO_AWAL_2026!$A$33:$A$132,A28)+SUMIFS(PENGELUARAN!$K$5:$K$204,PENGELUARAN!$D$5:$D$204,A28,PENGELUARAN!$L$5:$L$204,"Kantor"))</f>
        <v/>
      </c>
      <c r="L28" s="73" t="str">
        <f>IF(A28="","",SUMIFS(PENGELUARAN!$K$5:$K$204,PENGELUARAN!$D$5:$D$204,A28,PENGELUARAN!$L$5:$L$204,"Klien"))</f>
        <v/>
      </c>
      <c r="M28" s="73" t="str">
        <f>IF(A28="","",SUMIFS(PEMASUKAN!$H$5:$H$204,PEMASUKAN!$D$5:$D$204,A28,PEMASUKAN!$M$5:$M$204,"Penggantian Biaya"))</f>
        <v/>
      </c>
      <c r="N28" s="73" t="str">
        <f t="shared" si="1"/>
        <v/>
      </c>
      <c r="O28" s="69" t="str">
        <f t="shared" si="2"/>
        <v/>
      </c>
      <c r="P28" s="73" t="str">
        <f>IF(A28="","",SUMIFS(INVOICE_PIUTANG!$L$5:$L$151,INVOICE_PIUTANG!$D$5:$D$151,A28))</f>
        <v/>
      </c>
      <c r="Q28" s="10"/>
      <c r="R28" s="6"/>
      <c r="S28" s="64"/>
      <c r="T28" s="64"/>
      <c r="U28" s="64"/>
      <c r="V28" s="64"/>
      <c r="W28" s="74" t="str">
        <f>IF(A28="","",SUMIFS(SALDO_AWAL_2026!$G$33:$G$132,SALDO_AWAL_2026!$A$33:$A$132,A28)+SUMIFS(GAJI!$Q$5:$Q$124,GAJI!$X$5:$X$124,A28))</f>
        <v/>
      </c>
      <c r="X28" s="74" t="str">
        <f t="shared" si="3"/>
        <v/>
      </c>
      <c r="Y28" s="74" t="str">
        <f t="shared" si="5"/>
        <v/>
      </c>
      <c r="Z28" s="67" t="str">
        <f t="shared" si="4"/>
        <v/>
      </c>
    </row>
    <row r="29" spans="1:26">
      <c r="A29" s="46"/>
      <c r="B29" s="46"/>
      <c r="C29" s="6"/>
      <c r="D29" s="6"/>
      <c r="E29" s="10"/>
      <c r="F29" s="6"/>
      <c r="G29" s="72"/>
      <c r="H29" s="71" t="str">
        <f>IF(A29="","",SUMIFS(INVOICE_PIUTANG!$G$5:$G$151,INVOICE_PIUTANG!$D$5:$D$151,A29))</f>
        <v/>
      </c>
      <c r="I29" s="71" t="str">
        <f>IF(A29="","",SUMIFS(PEMASUKAN!$H$5:$H$204,PEMASUKAN!$D$5:$D$204,A29,PEMASUKAN!$M$5:$M$204,"Pendapatan Operasional"))</f>
        <v/>
      </c>
      <c r="J29" s="73" t="str">
        <f t="shared" si="0"/>
        <v/>
      </c>
      <c r="K29" s="73" t="str">
        <f>IF(A29="","",SUMIFS(SALDO_AWAL_2026!$F$33:$F$132,SALDO_AWAL_2026!$A$33:$A$132,A29)+SUMIFS(PENGELUARAN!$K$5:$K$204,PENGELUARAN!$D$5:$D$204,A29,PENGELUARAN!$L$5:$L$204,"Kantor"))</f>
        <v/>
      </c>
      <c r="L29" s="73" t="str">
        <f>IF(A29="","",SUMIFS(PENGELUARAN!$K$5:$K$204,PENGELUARAN!$D$5:$D$204,A29,PENGELUARAN!$L$5:$L$204,"Klien"))</f>
        <v/>
      </c>
      <c r="M29" s="73" t="str">
        <f>IF(A29="","",SUMIFS(PEMASUKAN!$H$5:$H$204,PEMASUKAN!$D$5:$D$204,A29,PEMASUKAN!$M$5:$M$204,"Penggantian Biaya"))</f>
        <v/>
      </c>
      <c r="N29" s="73" t="str">
        <f t="shared" si="1"/>
        <v/>
      </c>
      <c r="O29" s="69" t="str">
        <f t="shared" si="2"/>
        <v/>
      </c>
      <c r="P29" s="73" t="str">
        <f>IF(A29="","",SUMIFS(INVOICE_PIUTANG!$L$5:$L$151,INVOICE_PIUTANG!$D$5:$D$151,A29))</f>
        <v/>
      </c>
      <c r="Q29" s="10"/>
      <c r="R29" s="6"/>
      <c r="S29" s="64"/>
      <c r="T29" s="64"/>
      <c r="U29" s="64"/>
      <c r="V29" s="64"/>
      <c r="W29" s="74" t="str">
        <f>IF(A29="","",SUMIFS(SALDO_AWAL_2026!$G$33:$G$132,SALDO_AWAL_2026!$A$33:$A$132,A29)+SUMIFS(GAJI!$Q$5:$Q$124,GAJI!$X$5:$X$124,A29))</f>
        <v/>
      </c>
      <c r="X29" s="74" t="str">
        <f t="shared" si="3"/>
        <v/>
      </c>
      <c r="Y29" s="74" t="str">
        <f t="shared" si="5"/>
        <v/>
      </c>
      <c r="Z29" s="67" t="str">
        <f t="shared" si="4"/>
        <v/>
      </c>
    </row>
    <row r="30" spans="1:26">
      <c r="A30" s="46"/>
      <c r="B30" s="46"/>
      <c r="C30" s="6"/>
      <c r="D30" s="6"/>
      <c r="E30" s="10"/>
      <c r="F30" s="6"/>
      <c r="G30" s="72"/>
      <c r="H30" s="71" t="str">
        <f>IF(A30="","",SUMIFS(INVOICE_PIUTANG!$G$5:$G$151,INVOICE_PIUTANG!$D$5:$D$151,A30))</f>
        <v/>
      </c>
      <c r="I30" s="71" t="str">
        <f>IF(A30="","",SUMIFS(PEMASUKAN!$H$5:$H$204,PEMASUKAN!$D$5:$D$204,A30,PEMASUKAN!$M$5:$M$204,"Pendapatan Operasional"))</f>
        <v/>
      </c>
      <c r="J30" s="73" t="str">
        <f t="shared" si="0"/>
        <v/>
      </c>
      <c r="K30" s="73" t="str">
        <f>IF(A30="","",SUMIFS(SALDO_AWAL_2026!$F$33:$F$132,SALDO_AWAL_2026!$A$33:$A$132,A30)+SUMIFS(PENGELUARAN!$K$5:$K$204,PENGELUARAN!$D$5:$D$204,A30,PENGELUARAN!$L$5:$L$204,"Kantor"))</f>
        <v/>
      </c>
      <c r="L30" s="73" t="str">
        <f>IF(A30="","",SUMIFS(PENGELUARAN!$K$5:$K$204,PENGELUARAN!$D$5:$D$204,A30,PENGELUARAN!$L$5:$L$204,"Klien"))</f>
        <v/>
      </c>
      <c r="M30" s="73" t="str">
        <f>IF(A30="","",SUMIFS(PEMASUKAN!$H$5:$H$204,PEMASUKAN!$D$5:$D$204,A30,PEMASUKAN!$M$5:$M$204,"Penggantian Biaya"))</f>
        <v/>
      </c>
      <c r="N30" s="73" t="str">
        <f t="shared" si="1"/>
        <v/>
      </c>
      <c r="O30" s="69" t="str">
        <f t="shared" si="2"/>
        <v/>
      </c>
      <c r="P30" s="73" t="str">
        <f>IF(A30="","",SUMIFS(INVOICE_PIUTANG!$L$5:$L$151,INVOICE_PIUTANG!$D$5:$D$151,A30))</f>
        <v/>
      </c>
      <c r="Q30" s="10"/>
      <c r="R30" s="6"/>
      <c r="S30" s="64"/>
      <c r="T30" s="64"/>
      <c r="U30" s="64"/>
      <c r="V30" s="64"/>
      <c r="W30" s="74" t="str">
        <f>IF(A30="","",SUMIFS(SALDO_AWAL_2026!$G$33:$G$132,SALDO_AWAL_2026!$A$33:$A$132,A30)+SUMIFS(GAJI!$Q$5:$Q$124,GAJI!$X$5:$X$124,A30))</f>
        <v/>
      </c>
      <c r="X30" s="74" t="str">
        <f t="shared" si="3"/>
        <v/>
      </c>
      <c r="Y30" s="74" t="str">
        <f t="shared" si="5"/>
        <v/>
      </c>
      <c r="Z30" s="67" t="str">
        <f t="shared" si="4"/>
        <v/>
      </c>
    </row>
    <row r="31" spans="1:26">
      <c r="A31" s="46"/>
      <c r="B31" s="46"/>
      <c r="C31" s="6"/>
      <c r="D31" s="6"/>
      <c r="E31" s="10"/>
      <c r="F31" s="6"/>
      <c r="G31" s="72"/>
      <c r="H31" s="71" t="str">
        <f>IF(A31="","",SUMIFS(INVOICE_PIUTANG!$G$5:$G$151,INVOICE_PIUTANG!$D$5:$D$151,A31))</f>
        <v/>
      </c>
      <c r="I31" s="71" t="str">
        <f>IF(A31="","",SUMIFS(PEMASUKAN!$H$5:$H$204,PEMASUKAN!$D$5:$D$204,A31,PEMASUKAN!$M$5:$M$204,"Pendapatan Operasional"))</f>
        <v/>
      </c>
      <c r="J31" s="73" t="str">
        <f t="shared" si="0"/>
        <v/>
      </c>
      <c r="K31" s="73" t="str">
        <f>IF(A31="","",SUMIFS(SALDO_AWAL_2026!$F$33:$F$132,SALDO_AWAL_2026!$A$33:$A$132,A31)+SUMIFS(PENGELUARAN!$K$5:$K$204,PENGELUARAN!$D$5:$D$204,A31,PENGELUARAN!$L$5:$L$204,"Kantor"))</f>
        <v/>
      </c>
      <c r="L31" s="73" t="str">
        <f>IF(A31="","",SUMIFS(PENGELUARAN!$K$5:$K$204,PENGELUARAN!$D$5:$D$204,A31,PENGELUARAN!$L$5:$L$204,"Klien"))</f>
        <v/>
      </c>
      <c r="M31" s="73" t="str">
        <f>IF(A31="","",SUMIFS(PEMASUKAN!$H$5:$H$204,PEMASUKAN!$D$5:$D$204,A31,PEMASUKAN!$M$5:$M$204,"Penggantian Biaya"))</f>
        <v/>
      </c>
      <c r="N31" s="73" t="str">
        <f t="shared" si="1"/>
        <v/>
      </c>
      <c r="O31" s="69" t="str">
        <f t="shared" si="2"/>
        <v/>
      </c>
      <c r="P31" s="73" t="str">
        <f>IF(A31="","",SUMIFS(INVOICE_PIUTANG!$L$5:$L$151,INVOICE_PIUTANG!$D$5:$D$151,A31))</f>
        <v/>
      </c>
      <c r="Q31" s="10"/>
      <c r="R31" s="6"/>
      <c r="S31" s="64"/>
      <c r="T31" s="64"/>
      <c r="U31" s="64"/>
      <c r="V31" s="64"/>
      <c r="W31" s="74" t="str">
        <f>IF(A31="","",SUMIFS(SALDO_AWAL_2026!$G$33:$G$132,SALDO_AWAL_2026!$A$33:$A$132,A31)+SUMIFS(GAJI!$Q$5:$Q$124,GAJI!$X$5:$X$124,A31))</f>
        <v/>
      </c>
      <c r="X31" s="74" t="str">
        <f t="shared" si="3"/>
        <v/>
      </c>
      <c r="Y31" s="74" t="str">
        <f t="shared" si="5"/>
        <v/>
      </c>
      <c r="Z31" s="67" t="str">
        <f t="shared" si="4"/>
        <v/>
      </c>
    </row>
    <row r="32" spans="1:26">
      <c r="A32" s="46"/>
      <c r="B32" s="46"/>
      <c r="C32" s="6"/>
      <c r="D32" s="6"/>
      <c r="E32" s="10"/>
      <c r="F32" s="6"/>
      <c r="G32" s="72"/>
      <c r="H32" s="71" t="str">
        <f>IF(A32="","",SUMIFS(INVOICE_PIUTANG!$G$5:$G$151,INVOICE_PIUTANG!$D$5:$D$151,A32))</f>
        <v/>
      </c>
      <c r="I32" s="71" t="str">
        <f>IF(A32="","",SUMIFS(PEMASUKAN!$H$5:$H$204,PEMASUKAN!$D$5:$D$204,A32,PEMASUKAN!$M$5:$M$204,"Pendapatan Operasional"))</f>
        <v/>
      </c>
      <c r="J32" s="73" t="str">
        <f t="shared" si="0"/>
        <v/>
      </c>
      <c r="K32" s="73" t="str">
        <f>IF(A32="","",SUMIFS(SALDO_AWAL_2026!$F$33:$F$132,SALDO_AWAL_2026!$A$33:$A$132,A32)+SUMIFS(PENGELUARAN!$K$5:$K$204,PENGELUARAN!$D$5:$D$204,A32,PENGELUARAN!$L$5:$L$204,"Kantor"))</f>
        <v/>
      </c>
      <c r="L32" s="73" t="str">
        <f>IF(A32="","",SUMIFS(PENGELUARAN!$K$5:$K$204,PENGELUARAN!$D$5:$D$204,A32,PENGELUARAN!$L$5:$L$204,"Klien"))</f>
        <v/>
      </c>
      <c r="M32" s="73" t="str">
        <f>IF(A32="","",SUMIFS(PEMASUKAN!$H$5:$H$204,PEMASUKAN!$D$5:$D$204,A32,PEMASUKAN!$M$5:$M$204,"Penggantian Biaya"))</f>
        <v/>
      </c>
      <c r="N32" s="73" t="str">
        <f t="shared" si="1"/>
        <v/>
      </c>
      <c r="O32" s="69" t="str">
        <f t="shared" si="2"/>
        <v/>
      </c>
      <c r="P32" s="73" t="str">
        <f>IF(A32="","",SUMIFS(INVOICE_PIUTANG!$L$5:$L$151,INVOICE_PIUTANG!$D$5:$D$151,A32))</f>
        <v/>
      </c>
      <c r="Q32" s="10"/>
      <c r="R32" s="6"/>
      <c r="S32" s="64"/>
      <c r="T32" s="64"/>
      <c r="U32" s="64"/>
      <c r="V32" s="64"/>
      <c r="W32" s="74" t="str">
        <f>IF(A32="","",SUMIFS(SALDO_AWAL_2026!$G$33:$G$132,SALDO_AWAL_2026!$A$33:$A$132,A32)+SUMIFS(GAJI!$Q$5:$Q$124,GAJI!$X$5:$X$124,A32))</f>
        <v/>
      </c>
      <c r="X32" s="74" t="str">
        <f t="shared" si="3"/>
        <v/>
      </c>
      <c r="Y32" s="74" t="str">
        <f t="shared" si="5"/>
        <v/>
      </c>
      <c r="Z32" s="67" t="str">
        <f t="shared" si="4"/>
        <v/>
      </c>
    </row>
    <row r="33" spans="1:26">
      <c r="A33" s="46"/>
      <c r="B33" s="46"/>
      <c r="C33" s="6"/>
      <c r="D33" s="6"/>
      <c r="E33" s="10"/>
      <c r="F33" s="6"/>
      <c r="G33" s="72"/>
      <c r="H33" s="71" t="str">
        <f>IF(A33="","",SUMIFS(INVOICE_PIUTANG!$G$5:$G$151,INVOICE_PIUTANG!$D$5:$D$151,A33))</f>
        <v/>
      </c>
      <c r="I33" s="71" t="str">
        <f>IF(A33="","",SUMIFS(PEMASUKAN!$H$5:$H$204,PEMASUKAN!$D$5:$D$204,A33,PEMASUKAN!$M$5:$M$204,"Pendapatan Operasional"))</f>
        <v/>
      </c>
      <c r="J33" s="73" t="str">
        <f t="shared" si="0"/>
        <v/>
      </c>
      <c r="K33" s="73" t="str">
        <f>IF(A33="","",SUMIFS(SALDO_AWAL_2026!$F$33:$F$132,SALDO_AWAL_2026!$A$33:$A$132,A33)+SUMIFS(PENGELUARAN!$K$5:$K$204,PENGELUARAN!$D$5:$D$204,A33,PENGELUARAN!$L$5:$L$204,"Kantor"))</f>
        <v/>
      </c>
      <c r="L33" s="73" t="str">
        <f>IF(A33="","",SUMIFS(PENGELUARAN!$K$5:$K$204,PENGELUARAN!$D$5:$D$204,A33,PENGELUARAN!$L$5:$L$204,"Klien"))</f>
        <v/>
      </c>
      <c r="M33" s="73" t="str">
        <f>IF(A33="","",SUMIFS(PEMASUKAN!$H$5:$H$204,PEMASUKAN!$D$5:$D$204,A33,PEMASUKAN!$M$5:$M$204,"Penggantian Biaya"))</f>
        <v/>
      </c>
      <c r="N33" s="73" t="str">
        <f t="shared" si="1"/>
        <v/>
      </c>
      <c r="O33" s="69" t="str">
        <f t="shared" si="2"/>
        <v/>
      </c>
      <c r="P33" s="73" t="str">
        <f>IF(A33="","",SUMIFS(INVOICE_PIUTANG!$L$5:$L$151,INVOICE_PIUTANG!$D$5:$D$151,A33))</f>
        <v/>
      </c>
      <c r="Q33" s="10"/>
      <c r="R33" s="6"/>
      <c r="S33" s="64"/>
      <c r="T33" s="64"/>
      <c r="U33" s="64"/>
      <c r="V33" s="64"/>
      <c r="W33" s="74" t="str">
        <f>IF(A33="","",SUMIFS(SALDO_AWAL_2026!$G$33:$G$132,SALDO_AWAL_2026!$A$33:$A$132,A33)+SUMIFS(GAJI!$Q$5:$Q$124,GAJI!$X$5:$X$124,A33))</f>
        <v/>
      </c>
      <c r="X33" s="74" t="str">
        <f t="shared" si="3"/>
        <v/>
      </c>
      <c r="Y33" s="74" t="str">
        <f t="shared" si="5"/>
        <v/>
      </c>
      <c r="Z33" s="67" t="str">
        <f t="shared" si="4"/>
        <v/>
      </c>
    </row>
    <row r="34" spans="1:26">
      <c r="A34" s="46"/>
      <c r="B34" s="46"/>
      <c r="C34" s="6"/>
      <c r="D34" s="6"/>
      <c r="E34" s="10"/>
      <c r="F34" s="6"/>
      <c r="G34" s="72"/>
      <c r="H34" s="71" t="str">
        <f>IF(A34="","",SUMIFS(INVOICE_PIUTANG!$G$5:$G$151,INVOICE_PIUTANG!$D$5:$D$151,A34))</f>
        <v/>
      </c>
      <c r="I34" s="71" t="str">
        <f>IF(A34="","",SUMIFS(PEMASUKAN!$H$5:$H$204,PEMASUKAN!$D$5:$D$204,A34,PEMASUKAN!$M$5:$M$204,"Pendapatan Operasional"))</f>
        <v/>
      </c>
      <c r="J34" s="73" t="str">
        <f t="shared" si="0"/>
        <v/>
      </c>
      <c r="K34" s="73" t="str">
        <f>IF(A34="","",SUMIFS(SALDO_AWAL_2026!$F$33:$F$132,SALDO_AWAL_2026!$A$33:$A$132,A34)+SUMIFS(PENGELUARAN!$K$5:$K$204,PENGELUARAN!$D$5:$D$204,A34,PENGELUARAN!$L$5:$L$204,"Kantor"))</f>
        <v/>
      </c>
      <c r="L34" s="73" t="str">
        <f>IF(A34="","",SUMIFS(PENGELUARAN!$K$5:$K$204,PENGELUARAN!$D$5:$D$204,A34,PENGELUARAN!$L$5:$L$204,"Klien"))</f>
        <v/>
      </c>
      <c r="M34" s="73" t="str">
        <f>IF(A34="","",SUMIFS(PEMASUKAN!$H$5:$H$204,PEMASUKAN!$D$5:$D$204,A34,PEMASUKAN!$M$5:$M$204,"Penggantian Biaya"))</f>
        <v/>
      </c>
      <c r="N34" s="73" t="str">
        <f t="shared" si="1"/>
        <v/>
      </c>
      <c r="O34" s="69" t="str">
        <f t="shared" si="2"/>
        <v/>
      </c>
      <c r="P34" s="73" t="str">
        <f>IF(A34="","",SUMIFS(INVOICE_PIUTANG!$L$5:$L$151,INVOICE_PIUTANG!$D$5:$D$151,A34))</f>
        <v/>
      </c>
      <c r="Q34" s="10"/>
      <c r="R34" s="6"/>
      <c r="S34" s="64"/>
      <c r="T34" s="64"/>
      <c r="U34" s="64"/>
      <c r="V34" s="64"/>
      <c r="W34" s="74" t="str">
        <f>IF(A34="","",SUMIFS(SALDO_AWAL_2026!$G$33:$G$132,SALDO_AWAL_2026!$A$33:$A$132,A34)+SUMIFS(GAJI!$Q$5:$Q$124,GAJI!$X$5:$X$124,A34))</f>
        <v/>
      </c>
      <c r="X34" s="74" t="str">
        <f t="shared" si="3"/>
        <v/>
      </c>
      <c r="Y34" s="74" t="str">
        <f t="shared" si="5"/>
        <v/>
      </c>
      <c r="Z34" s="67" t="str">
        <f t="shared" si="4"/>
        <v/>
      </c>
    </row>
    <row r="35" spans="1:26">
      <c r="A35" s="46"/>
      <c r="B35" s="46"/>
      <c r="C35" s="6"/>
      <c r="D35" s="6"/>
      <c r="E35" s="10"/>
      <c r="F35" s="6"/>
      <c r="G35" s="72"/>
      <c r="H35" s="71" t="str">
        <f>IF(A35="","",SUMIFS(INVOICE_PIUTANG!$G$5:$G$151,INVOICE_PIUTANG!$D$5:$D$151,A35))</f>
        <v/>
      </c>
      <c r="I35" s="71" t="str">
        <f>IF(A35="","",SUMIFS(PEMASUKAN!$H$5:$H$204,PEMASUKAN!$D$5:$D$204,A35,PEMASUKAN!$M$5:$M$204,"Pendapatan Operasional"))</f>
        <v/>
      </c>
      <c r="J35" s="73" t="str">
        <f t="shared" si="0"/>
        <v/>
      </c>
      <c r="K35" s="73" t="str">
        <f>IF(A35="","",SUMIFS(SALDO_AWAL_2026!$F$33:$F$132,SALDO_AWAL_2026!$A$33:$A$132,A35)+SUMIFS(PENGELUARAN!$K$5:$K$204,PENGELUARAN!$D$5:$D$204,A35,PENGELUARAN!$L$5:$L$204,"Kantor"))</f>
        <v/>
      </c>
      <c r="L35" s="73" t="str">
        <f>IF(A35="","",SUMIFS(PENGELUARAN!$K$5:$K$204,PENGELUARAN!$D$5:$D$204,A35,PENGELUARAN!$L$5:$L$204,"Klien"))</f>
        <v/>
      </c>
      <c r="M35" s="73" t="str">
        <f>IF(A35="","",SUMIFS(PEMASUKAN!$H$5:$H$204,PEMASUKAN!$D$5:$D$204,A35,PEMASUKAN!$M$5:$M$204,"Penggantian Biaya"))</f>
        <v/>
      </c>
      <c r="N35" s="73" t="str">
        <f t="shared" si="1"/>
        <v/>
      </c>
      <c r="O35" s="69" t="str">
        <f t="shared" si="2"/>
        <v/>
      </c>
      <c r="P35" s="73" t="str">
        <f>IF(A35="","",SUMIFS(INVOICE_PIUTANG!$L$5:$L$151,INVOICE_PIUTANG!$D$5:$D$151,A35))</f>
        <v/>
      </c>
      <c r="Q35" s="10"/>
      <c r="R35" s="6"/>
      <c r="S35" s="64"/>
      <c r="T35" s="64"/>
      <c r="U35" s="64"/>
      <c r="V35" s="64"/>
      <c r="W35" s="74" t="str">
        <f>IF(A35="","",SUMIFS(SALDO_AWAL_2026!$G$33:$G$132,SALDO_AWAL_2026!$A$33:$A$132,A35)+SUMIFS(GAJI!$Q$5:$Q$124,GAJI!$X$5:$X$124,A35))</f>
        <v/>
      </c>
      <c r="X35" s="74" t="str">
        <f t="shared" si="3"/>
        <v/>
      </c>
      <c r="Y35" s="74" t="str">
        <f t="shared" si="5"/>
        <v/>
      </c>
      <c r="Z35" s="67" t="str">
        <f t="shared" si="4"/>
        <v/>
      </c>
    </row>
    <row r="36" spans="1:26">
      <c r="A36" s="46"/>
      <c r="B36" s="46"/>
      <c r="C36" s="6"/>
      <c r="D36" s="6"/>
      <c r="E36" s="10"/>
      <c r="F36" s="6"/>
      <c r="G36" s="72"/>
      <c r="H36" s="71" t="str">
        <f>IF(A36="","",SUMIFS(INVOICE_PIUTANG!$G$5:$G$151,INVOICE_PIUTANG!$D$5:$D$151,A36))</f>
        <v/>
      </c>
      <c r="I36" s="71" t="str">
        <f>IF(A36="","",SUMIFS(PEMASUKAN!$H$5:$H$204,PEMASUKAN!$D$5:$D$204,A36,PEMASUKAN!$M$5:$M$204,"Pendapatan Operasional"))</f>
        <v/>
      </c>
      <c r="J36" s="73" t="str">
        <f t="shared" si="0"/>
        <v/>
      </c>
      <c r="K36" s="73" t="str">
        <f>IF(A36="","",SUMIFS(SALDO_AWAL_2026!$F$33:$F$132,SALDO_AWAL_2026!$A$33:$A$132,A36)+SUMIFS(PENGELUARAN!$K$5:$K$204,PENGELUARAN!$D$5:$D$204,A36,PENGELUARAN!$L$5:$L$204,"Kantor"))</f>
        <v/>
      </c>
      <c r="L36" s="73" t="str">
        <f>IF(A36="","",SUMIFS(PENGELUARAN!$K$5:$K$204,PENGELUARAN!$D$5:$D$204,A36,PENGELUARAN!$L$5:$L$204,"Klien"))</f>
        <v/>
      </c>
      <c r="M36" s="73" t="str">
        <f>IF(A36="","",SUMIFS(PEMASUKAN!$H$5:$H$204,PEMASUKAN!$D$5:$D$204,A36,PEMASUKAN!$M$5:$M$204,"Penggantian Biaya"))</f>
        <v/>
      </c>
      <c r="N36" s="73" t="str">
        <f t="shared" si="1"/>
        <v/>
      </c>
      <c r="O36" s="69" t="str">
        <f t="shared" si="2"/>
        <v/>
      </c>
      <c r="P36" s="73" t="str">
        <f>IF(A36="","",SUMIFS(INVOICE_PIUTANG!$L$5:$L$151,INVOICE_PIUTANG!$D$5:$D$151,A36))</f>
        <v/>
      </c>
      <c r="Q36" s="10"/>
      <c r="R36" s="6"/>
      <c r="S36" s="64"/>
      <c r="T36" s="64"/>
      <c r="U36" s="64"/>
      <c r="V36" s="64"/>
      <c r="W36" s="74" t="str">
        <f>IF(A36="","",SUMIFS(SALDO_AWAL_2026!$G$33:$G$132,SALDO_AWAL_2026!$A$33:$A$132,A36)+SUMIFS(GAJI!$Q$5:$Q$124,GAJI!$X$5:$X$124,A36))</f>
        <v/>
      </c>
      <c r="X36" s="74" t="str">
        <f t="shared" si="3"/>
        <v/>
      </c>
      <c r="Y36" s="74" t="str">
        <f t="shared" si="5"/>
        <v/>
      </c>
      <c r="Z36" s="67" t="str">
        <f t="shared" si="4"/>
        <v/>
      </c>
    </row>
    <row r="37" spans="1:26">
      <c r="A37" s="46"/>
      <c r="B37" s="46"/>
      <c r="C37" s="6"/>
      <c r="D37" s="6"/>
      <c r="E37" s="10"/>
      <c r="F37" s="6"/>
      <c r="G37" s="72"/>
      <c r="H37" s="71" t="str">
        <f>IF(A37="","",SUMIFS(INVOICE_PIUTANG!$G$5:$G$151,INVOICE_PIUTANG!$D$5:$D$151,A37))</f>
        <v/>
      </c>
      <c r="I37" s="71" t="str">
        <f>IF(A37="","",SUMIFS(PEMASUKAN!$H$5:$H$204,PEMASUKAN!$D$5:$D$204,A37,PEMASUKAN!$M$5:$M$204,"Pendapatan Operasional"))</f>
        <v/>
      </c>
      <c r="J37" s="73" t="str">
        <f t="shared" ref="J37:J68" si="6">IF(A37="","",MAX(G37-I37,0))</f>
        <v/>
      </c>
      <c r="K37" s="73" t="str">
        <f>IF(A37="","",SUMIFS(SALDO_AWAL_2026!$F$33:$F$132,SALDO_AWAL_2026!$A$33:$A$132,A37)+SUMIFS(PENGELUARAN!$K$5:$K$204,PENGELUARAN!$D$5:$D$204,A37,PENGELUARAN!$L$5:$L$204,"Kantor"))</f>
        <v/>
      </c>
      <c r="L37" s="73" t="str">
        <f>IF(A37="","",SUMIFS(PENGELUARAN!$K$5:$K$204,PENGELUARAN!$D$5:$D$204,A37,PENGELUARAN!$L$5:$L$204,"Klien"))</f>
        <v/>
      </c>
      <c r="M37" s="73" t="str">
        <f>IF(A37="","",SUMIFS(PEMASUKAN!$H$5:$H$204,PEMASUKAN!$D$5:$D$204,A37,PEMASUKAN!$M$5:$M$204,"Penggantian Biaya"))</f>
        <v/>
      </c>
      <c r="N37" s="73" t="str">
        <f t="shared" ref="N37:N68" si="7">IF(A37="","",I37-K37)</f>
        <v/>
      </c>
      <c r="O37" s="69" t="str">
        <f t="shared" ref="O37:O68" si="8">IF(A37="","",IF(I37=0,0,N37/I37))</f>
        <v/>
      </c>
      <c r="P37" s="73" t="str">
        <f>IF(A37="","",SUMIFS(INVOICE_PIUTANG!$L$5:$L$151,INVOICE_PIUTANG!$D$5:$D$151,A37))</f>
        <v/>
      </c>
      <c r="Q37" s="10"/>
      <c r="R37" s="6"/>
      <c r="S37" s="64"/>
      <c r="T37" s="64"/>
      <c r="U37" s="64"/>
      <c r="V37" s="64"/>
      <c r="W37" s="74" t="str">
        <f>IF(A37="","",SUMIFS(SALDO_AWAL_2026!$G$33:$G$132,SALDO_AWAL_2026!$A$33:$A$132,A37)+SUMIFS(GAJI!$Q$5:$Q$124,GAJI!$X$5:$X$124,A37))</f>
        <v/>
      </c>
      <c r="X37" s="74" t="str">
        <f t="shared" ref="X37:X68" si="9">IF(A37="","",N37-W37)</f>
        <v/>
      </c>
      <c r="Y37" s="74" t="str">
        <f t="shared" ref="Y37:Y68" si="10">IF(A37="","",MAX(G37-H37,0))</f>
        <v/>
      </c>
      <c r="Z37" s="67" t="str">
        <f t="shared" ref="Z37:Z68" si="11">IF(A37="","",IF(COUNTIF($A$5:$A$104,A37)&gt;1,"ID PERKARA DUPLIKAT",IF(B37="","NAMA KLIEN BELUM DIISI",IF(D37="","PIC PARTNER BELUM DIISI","OK"))))</f>
        <v/>
      </c>
    </row>
    <row r="38" spans="1:26">
      <c r="A38" s="46"/>
      <c r="B38" s="46"/>
      <c r="C38" s="6"/>
      <c r="D38" s="6"/>
      <c r="E38" s="10"/>
      <c r="F38" s="6"/>
      <c r="G38" s="72"/>
      <c r="H38" s="71" t="str">
        <f>IF(A38="","",SUMIFS(INVOICE_PIUTANG!$G$5:$G$151,INVOICE_PIUTANG!$D$5:$D$151,A38))</f>
        <v/>
      </c>
      <c r="I38" s="71" t="str">
        <f>IF(A38="","",SUMIFS(PEMASUKAN!$H$5:$H$204,PEMASUKAN!$D$5:$D$204,A38,PEMASUKAN!$M$5:$M$204,"Pendapatan Operasional"))</f>
        <v/>
      </c>
      <c r="J38" s="73" t="str">
        <f t="shared" si="6"/>
        <v/>
      </c>
      <c r="K38" s="73" t="str">
        <f>IF(A38="","",SUMIFS(SALDO_AWAL_2026!$F$33:$F$132,SALDO_AWAL_2026!$A$33:$A$132,A38)+SUMIFS(PENGELUARAN!$K$5:$K$204,PENGELUARAN!$D$5:$D$204,A38,PENGELUARAN!$L$5:$L$204,"Kantor"))</f>
        <v/>
      </c>
      <c r="L38" s="73" t="str">
        <f>IF(A38="","",SUMIFS(PENGELUARAN!$K$5:$K$204,PENGELUARAN!$D$5:$D$204,A38,PENGELUARAN!$L$5:$L$204,"Klien"))</f>
        <v/>
      </c>
      <c r="M38" s="73" t="str">
        <f>IF(A38="","",SUMIFS(PEMASUKAN!$H$5:$H$204,PEMASUKAN!$D$5:$D$204,A38,PEMASUKAN!$M$5:$M$204,"Penggantian Biaya"))</f>
        <v/>
      </c>
      <c r="N38" s="73" t="str">
        <f t="shared" si="7"/>
        <v/>
      </c>
      <c r="O38" s="69" t="str">
        <f t="shared" si="8"/>
        <v/>
      </c>
      <c r="P38" s="73" t="str">
        <f>IF(A38="","",SUMIFS(INVOICE_PIUTANG!$L$5:$L$151,INVOICE_PIUTANG!$D$5:$D$151,A38))</f>
        <v/>
      </c>
      <c r="Q38" s="10"/>
      <c r="R38" s="6"/>
      <c r="S38" s="64"/>
      <c r="T38" s="64"/>
      <c r="U38" s="64"/>
      <c r="V38" s="64"/>
      <c r="W38" s="74" t="str">
        <f>IF(A38="","",SUMIFS(SALDO_AWAL_2026!$G$33:$G$132,SALDO_AWAL_2026!$A$33:$A$132,A38)+SUMIFS(GAJI!$Q$5:$Q$124,GAJI!$X$5:$X$124,A38))</f>
        <v/>
      </c>
      <c r="X38" s="74" t="str">
        <f t="shared" si="9"/>
        <v/>
      </c>
      <c r="Y38" s="74" t="str">
        <f t="shared" si="10"/>
        <v/>
      </c>
      <c r="Z38" s="67" t="str">
        <f t="shared" si="11"/>
        <v/>
      </c>
    </row>
    <row r="39" spans="1:26">
      <c r="A39" s="46"/>
      <c r="B39" s="46"/>
      <c r="C39" s="6"/>
      <c r="D39" s="6"/>
      <c r="E39" s="10"/>
      <c r="F39" s="6"/>
      <c r="G39" s="72"/>
      <c r="H39" s="71" t="str">
        <f>IF(A39="","",SUMIFS(INVOICE_PIUTANG!$G$5:$G$151,INVOICE_PIUTANG!$D$5:$D$151,A39))</f>
        <v/>
      </c>
      <c r="I39" s="71" t="str">
        <f>IF(A39="","",SUMIFS(PEMASUKAN!$H$5:$H$204,PEMASUKAN!$D$5:$D$204,A39,PEMASUKAN!$M$5:$M$204,"Pendapatan Operasional"))</f>
        <v/>
      </c>
      <c r="J39" s="73" t="str">
        <f t="shared" si="6"/>
        <v/>
      </c>
      <c r="K39" s="73" t="str">
        <f>IF(A39="","",SUMIFS(SALDO_AWAL_2026!$F$33:$F$132,SALDO_AWAL_2026!$A$33:$A$132,A39)+SUMIFS(PENGELUARAN!$K$5:$K$204,PENGELUARAN!$D$5:$D$204,A39,PENGELUARAN!$L$5:$L$204,"Kantor"))</f>
        <v/>
      </c>
      <c r="L39" s="73" t="str">
        <f>IF(A39="","",SUMIFS(PENGELUARAN!$K$5:$K$204,PENGELUARAN!$D$5:$D$204,A39,PENGELUARAN!$L$5:$L$204,"Klien"))</f>
        <v/>
      </c>
      <c r="M39" s="73" t="str">
        <f>IF(A39="","",SUMIFS(PEMASUKAN!$H$5:$H$204,PEMASUKAN!$D$5:$D$204,A39,PEMASUKAN!$M$5:$M$204,"Penggantian Biaya"))</f>
        <v/>
      </c>
      <c r="N39" s="73" t="str">
        <f t="shared" si="7"/>
        <v/>
      </c>
      <c r="O39" s="69" t="str">
        <f t="shared" si="8"/>
        <v/>
      </c>
      <c r="P39" s="73" t="str">
        <f>IF(A39="","",SUMIFS(INVOICE_PIUTANG!$L$5:$L$151,INVOICE_PIUTANG!$D$5:$D$151,A39))</f>
        <v/>
      </c>
      <c r="Q39" s="10"/>
      <c r="R39" s="6"/>
      <c r="S39" s="64"/>
      <c r="T39" s="64"/>
      <c r="U39" s="64"/>
      <c r="V39" s="64"/>
      <c r="W39" s="74" t="str">
        <f>IF(A39="","",SUMIFS(SALDO_AWAL_2026!$G$33:$G$132,SALDO_AWAL_2026!$A$33:$A$132,A39)+SUMIFS(GAJI!$Q$5:$Q$124,GAJI!$X$5:$X$124,A39))</f>
        <v/>
      </c>
      <c r="X39" s="74" t="str">
        <f t="shared" si="9"/>
        <v/>
      </c>
      <c r="Y39" s="74" t="str">
        <f t="shared" si="10"/>
        <v/>
      </c>
      <c r="Z39" s="67" t="str">
        <f t="shared" si="11"/>
        <v/>
      </c>
    </row>
    <row r="40" spans="1:26">
      <c r="A40" s="46"/>
      <c r="B40" s="46"/>
      <c r="C40" s="6"/>
      <c r="D40" s="6"/>
      <c r="E40" s="10"/>
      <c r="F40" s="6"/>
      <c r="G40" s="72"/>
      <c r="H40" s="71" t="str">
        <f>IF(A40="","",SUMIFS(INVOICE_PIUTANG!$G$5:$G$151,INVOICE_PIUTANG!$D$5:$D$151,A40))</f>
        <v/>
      </c>
      <c r="I40" s="71" t="str">
        <f>IF(A40="","",SUMIFS(PEMASUKAN!$H$5:$H$204,PEMASUKAN!$D$5:$D$204,A40,PEMASUKAN!$M$5:$M$204,"Pendapatan Operasional"))</f>
        <v/>
      </c>
      <c r="J40" s="73" t="str">
        <f t="shared" si="6"/>
        <v/>
      </c>
      <c r="K40" s="73" t="str">
        <f>IF(A40="","",SUMIFS(SALDO_AWAL_2026!$F$33:$F$132,SALDO_AWAL_2026!$A$33:$A$132,A40)+SUMIFS(PENGELUARAN!$K$5:$K$204,PENGELUARAN!$D$5:$D$204,A40,PENGELUARAN!$L$5:$L$204,"Kantor"))</f>
        <v/>
      </c>
      <c r="L40" s="73" t="str">
        <f>IF(A40="","",SUMIFS(PENGELUARAN!$K$5:$K$204,PENGELUARAN!$D$5:$D$204,A40,PENGELUARAN!$L$5:$L$204,"Klien"))</f>
        <v/>
      </c>
      <c r="M40" s="73" t="str">
        <f>IF(A40="","",SUMIFS(PEMASUKAN!$H$5:$H$204,PEMASUKAN!$D$5:$D$204,A40,PEMASUKAN!$M$5:$M$204,"Penggantian Biaya"))</f>
        <v/>
      </c>
      <c r="N40" s="73" t="str">
        <f t="shared" si="7"/>
        <v/>
      </c>
      <c r="O40" s="69" t="str">
        <f t="shared" si="8"/>
        <v/>
      </c>
      <c r="P40" s="73" t="str">
        <f>IF(A40="","",SUMIFS(INVOICE_PIUTANG!$L$5:$L$151,INVOICE_PIUTANG!$D$5:$D$151,A40))</f>
        <v/>
      </c>
      <c r="Q40" s="10"/>
      <c r="R40" s="6"/>
      <c r="S40" s="64"/>
      <c r="T40" s="64"/>
      <c r="U40" s="64"/>
      <c r="V40" s="64"/>
      <c r="W40" s="74" t="str">
        <f>IF(A40="","",SUMIFS(SALDO_AWAL_2026!$G$33:$G$132,SALDO_AWAL_2026!$A$33:$A$132,A40)+SUMIFS(GAJI!$Q$5:$Q$124,GAJI!$X$5:$X$124,A40))</f>
        <v/>
      </c>
      <c r="X40" s="74" t="str">
        <f t="shared" si="9"/>
        <v/>
      </c>
      <c r="Y40" s="74" t="str">
        <f t="shared" si="10"/>
        <v/>
      </c>
      <c r="Z40" s="67" t="str">
        <f t="shared" si="11"/>
        <v/>
      </c>
    </row>
    <row r="41" spans="1:26">
      <c r="A41" s="46"/>
      <c r="B41" s="46"/>
      <c r="C41" s="6"/>
      <c r="D41" s="6"/>
      <c r="E41" s="10"/>
      <c r="F41" s="6"/>
      <c r="G41" s="72"/>
      <c r="H41" s="71" t="str">
        <f>IF(A41="","",SUMIFS(INVOICE_PIUTANG!$G$5:$G$151,INVOICE_PIUTANG!$D$5:$D$151,A41))</f>
        <v/>
      </c>
      <c r="I41" s="71" t="str">
        <f>IF(A41="","",SUMIFS(PEMASUKAN!$H$5:$H$204,PEMASUKAN!$D$5:$D$204,A41,PEMASUKAN!$M$5:$M$204,"Pendapatan Operasional"))</f>
        <v/>
      </c>
      <c r="J41" s="73" t="str">
        <f t="shared" si="6"/>
        <v/>
      </c>
      <c r="K41" s="73" t="str">
        <f>IF(A41="","",SUMIFS(SALDO_AWAL_2026!$F$33:$F$132,SALDO_AWAL_2026!$A$33:$A$132,A41)+SUMIFS(PENGELUARAN!$K$5:$K$204,PENGELUARAN!$D$5:$D$204,A41,PENGELUARAN!$L$5:$L$204,"Kantor"))</f>
        <v/>
      </c>
      <c r="L41" s="73" t="str">
        <f>IF(A41="","",SUMIFS(PENGELUARAN!$K$5:$K$204,PENGELUARAN!$D$5:$D$204,A41,PENGELUARAN!$L$5:$L$204,"Klien"))</f>
        <v/>
      </c>
      <c r="M41" s="73" t="str">
        <f>IF(A41="","",SUMIFS(PEMASUKAN!$H$5:$H$204,PEMASUKAN!$D$5:$D$204,A41,PEMASUKAN!$M$5:$M$204,"Penggantian Biaya"))</f>
        <v/>
      </c>
      <c r="N41" s="73" t="str">
        <f t="shared" si="7"/>
        <v/>
      </c>
      <c r="O41" s="69" t="str">
        <f t="shared" si="8"/>
        <v/>
      </c>
      <c r="P41" s="73" t="str">
        <f>IF(A41="","",SUMIFS(INVOICE_PIUTANG!$L$5:$L$151,INVOICE_PIUTANG!$D$5:$D$151,A41))</f>
        <v/>
      </c>
      <c r="Q41" s="10"/>
      <c r="R41" s="6"/>
      <c r="S41" s="64"/>
      <c r="T41" s="64"/>
      <c r="U41" s="64"/>
      <c r="V41" s="64"/>
      <c r="W41" s="74" t="str">
        <f>IF(A41="","",SUMIFS(SALDO_AWAL_2026!$G$33:$G$132,SALDO_AWAL_2026!$A$33:$A$132,A41)+SUMIFS(GAJI!$Q$5:$Q$124,GAJI!$X$5:$X$124,A41))</f>
        <v/>
      </c>
      <c r="X41" s="74" t="str">
        <f t="shared" si="9"/>
        <v/>
      </c>
      <c r="Y41" s="74" t="str">
        <f t="shared" si="10"/>
        <v/>
      </c>
      <c r="Z41" s="67" t="str">
        <f t="shared" si="11"/>
        <v/>
      </c>
    </row>
    <row r="42" spans="1:26">
      <c r="A42" s="46"/>
      <c r="B42" s="46"/>
      <c r="C42" s="6"/>
      <c r="D42" s="6"/>
      <c r="E42" s="10"/>
      <c r="F42" s="6"/>
      <c r="G42" s="72"/>
      <c r="H42" s="71" t="str">
        <f>IF(A42="","",SUMIFS(INVOICE_PIUTANG!$G$5:$G$151,INVOICE_PIUTANG!$D$5:$D$151,A42))</f>
        <v/>
      </c>
      <c r="I42" s="71" t="str">
        <f>IF(A42="","",SUMIFS(PEMASUKAN!$H$5:$H$204,PEMASUKAN!$D$5:$D$204,A42,PEMASUKAN!$M$5:$M$204,"Pendapatan Operasional"))</f>
        <v/>
      </c>
      <c r="J42" s="73" t="str">
        <f t="shared" si="6"/>
        <v/>
      </c>
      <c r="K42" s="73" t="str">
        <f>IF(A42="","",SUMIFS(SALDO_AWAL_2026!$F$33:$F$132,SALDO_AWAL_2026!$A$33:$A$132,A42)+SUMIFS(PENGELUARAN!$K$5:$K$204,PENGELUARAN!$D$5:$D$204,A42,PENGELUARAN!$L$5:$L$204,"Kantor"))</f>
        <v/>
      </c>
      <c r="L42" s="73" t="str">
        <f>IF(A42="","",SUMIFS(PENGELUARAN!$K$5:$K$204,PENGELUARAN!$D$5:$D$204,A42,PENGELUARAN!$L$5:$L$204,"Klien"))</f>
        <v/>
      </c>
      <c r="M42" s="73" t="str">
        <f>IF(A42="","",SUMIFS(PEMASUKAN!$H$5:$H$204,PEMASUKAN!$D$5:$D$204,A42,PEMASUKAN!$M$5:$M$204,"Penggantian Biaya"))</f>
        <v/>
      </c>
      <c r="N42" s="73" t="str">
        <f t="shared" si="7"/>
        <v/>
      </c>
      <c r="O42" s="69" t="str">
        <f t="shared" si="8"/>
        <v/>
      </c>
      <c r="P42" s="73" t="str">
        <f>IF(A42="","",SUMIFS(INVOICE_PIUTANG!$L$5:$L$151,INVOICE_PIUTANG!$D$5:$D$151,A42))</f>
        <v/>
      </c>
      <c r="Q42" s="10"/>
      <c r="R42" s="6"/>
      <c r="S42" s="64"/>
      <c r="T42" s="64"/>
      <c r="U42" s="64"/>
      <c r="V42" s="64"/>
      <c r="W42" s="74" t="str">
        <f>IF(A42="","",SUMIFS(SALDO_AWAL_2026!$G$33:$G$132,SALDO_AWAL_2026!$A$33:$A$132,A42)+SUMIFS(GAJI!$Q$5:$Q$124,GAJI!$X$5:$X$124,A42))</f>
        <v/>
      </c>
      <c r="X42" s="74" t="str">
        <f t="shared" si="9"/>
        <v/>
      </c>
      <c r="Y42" s="74" t="str">
        <f t="shared" si="10"/>
        <v/>
      </c>
      <c r="Z42" s="67" t="str">
        <f t="shared" si="11"/>
        <v/>
      </c>
    </row>
    <row r="43" spans="1:26">
      <c r="A43" s="46"/>
      <c r="B43" s="46"/>
      <c r="C43" s="6"/>
      <c r="D43" s="6"/>
      <c r="E43" s="10"/>
      <c r="F43" s="6"/>
      <c r="G43" s="72"/>
      <c r="H43" s="71" t="str">
        <f>IF(A43="","",SUMIFS(INVOICE_PIUTANG!$G$5:$G$151,INVOICE_PIUTANG!$D$5:$D$151,A43))</f>
        <v/>
      </c>
      <c r="I43" s="71" t="str">
        <f>IF(A43="","",SUMIFS(PEMASUKAN!$H$5:$H$204,PEMASUKAN!$D$5:$D$204,A43,PEMASUKAN!$M$5:$M$204,"Pendapatan Operasional"))</f>
        <v/>
      </c>
      <c r="J43" s="73" t="str">
        <f t="shared" si="6"/>
        <v/>
      </c>
      <c r="K43" s="73" t="str">
        <f>IF(A43="","",SUMIFS(SALDO_AWAL_2026!$F$33:$F$132,SALDO_AWAL_2026!$A$33:$A$132,A43)+SUMIFS(PENGELUARAN!$K$5:$K$204,PENGELUARAN!$D$5:$D$204,A43,PENGELUARAN!$L$5:$L$204,"Kantor"))</f>
        <v/>
      </c>
      <c r="L43" s="73" t="str">
        <f>IF(A43="","",SUMIFS(PENGELUARAN!$K$5:$K$204,PENGELUARAN!$D$5:$D$204,A43,PENGELUARAN!$L$5:$L$204,"Klien"))</f>
        <v/>
      </c>
      <c r="M43" s="73" t="str">
        <f>IF(A43="","",SUMIFS(PEMASUKAN!$H$5:$H$204,PEMASUKAN!$D$5:$D$204,A43,PEMASUKAN!$M$5:$M$204,"Penggantian Biaya"))</f>
        <v/>
      </c>
      <c r="N43" s="73" t="str">
        <f t="shared" si="7"/>
        <v/>
      </c>
      <c r="O43" s="69" t="str">
        <f t="shared" si="8"/>
        <v/>
      </c>
      <c r="P43" s="73" t="str">
        <f>IF(A43="","",SUMIFS(INVOICE_PIUTANG!$L$5:$L$151,INVOICE_PIUTANG!$D$5:$D$151,A43))</f>
        <v/>
      </c>
      <c r="Q43" s="10"/>
      <c r="R43" s="6"/>
      <c r="S43" s="64"/>
      <c r="T43" s="64"/>
      <c r="U43" s="64"/>
      <c r="V43" s="64"/>
      <c r="W43" s="74" t="str">
        <f>IF(A43="","",SUMIFS(SALDO_AWAL_2026!$G$33:$G$132,SALDO_AWAL_2026!$A$33:$A$132,A43)+SUMIFS(GAJI!$Q$5:$Q$124,GAJI!$X$5:$X$124,A43))</f>
        <v/>
      </c>
      <c r="X43" s="74" t="str">
        <f t="shared" si="9"/>
        <v/>
      </c>
      <c r="Y43" s="74" t="str">
        <f t="shared" si="10"/>
        <v/>
      </c>
      <c r="Z43" s="67" t="str">
        <f t="shared" si="11"/>
        <v/>
      </c>
    </row>
    <row r="44" spans="1:26">
      <c r="A44" s="46"/>
      <c r="B44" s="46"/>
      <c r="C44" s="6"/>
      <c r="D44" s="6"/>
      <c r="E44" s="10"/>
      <c r="F44" s="6"/>
      <c r="G44" s="72"/>
      <c r="H44" s="71" t="str">
        <f>IF(A44="","",SUMIFS(INVOICE_PIUTANG!$G$5:$G$151,INVOICE_PIUTANG!$D$5:$D$151,A44))</f>
        <v/>
      </c>
      <c r="I44" s="71" t="str">
        <f>IF(A44="","",SUMIFS(PEMASUKAN!$H$5:$H$204,PEMASUKAN!$D$5:$D$204,A44,PEMASUKAN!$M$5:$M$204,"Pendapatan Operasional"))</f>
        <v/>
      </c>
      <c r="J44" s="73" t="str">
        <f t="shared" si="6"/>
        <v/>
      </c>
      <c r="K44" s="73" t="str">
        <f>IF(A44="","",SUMIFS(SALDO_AWAL_2026!$F$33:$F$132,SALDO_AWAL_2026!$A$33:$A$132,A44)+SUMIFS(PENGELUARAN!$K$5:$K$204,PENGELUARAN!$D$5:$D$204,A44,PENGELUARAN!$L$5:$L$204,"Kantor"))</f>
        <v/>
      </c>
      <c r="L44" s="73" t="str">
        <f>IF(A44="","",SUMIFS(PENGELUARAN!$K$5:$K$204,PENGELUARAN!$D$5:$D$204,A44,PENGELUARAN!$L$5:$L$204,"Klien"))</f>
        <v/>
      </c>
      <c r="M44" s="73" t="str">
        <f>IF(A44="","",SUMIFS(PEMASUKAN!$H$5:$H$204,PEMASUKAN!$D$5:$D$204,A44,PEMASUKAN!$M$5:$M$204,"Penggantian Biaya"))</f>
        <v/>
      </c>
      <c r="N44" s="73" t="str">
        <f t="shared" si="7"/>
        <v/>
      </c>
      <c r="O44" s="69" t="str">
        <f t="shared" si="8"/>
        <v/>
      </c>
      <c r="P44" s="73" t="str">
        <f>IF(A44="","",SUMIFS(INVOICE_PIUTANG!$L$5:$L$151,INVOICE_PIUTANG!$D$5:$D$151,A44))</f>
        <v/>
      </c>
      <c r="Q44" s="10"/>
      <c r="R44" s="6"/>
      <c r="S44" s="64"/>
      <c r="T44" s="64"/>
      <c r="U44" s="64"/>
      <c r="V44" s="64"/>
      <c r="W44" s="74" t="str">
        <f>IF(A44="","",SUMIFS(SALDO_AWAL_2026!$G$33:$G$132,SALDO_AWAL_2026!$A$33:$A$132,A44)+SUMIFS(GAJI!$Q$5:$Q$124,GAJI!$X$5:$X$124,A44))</f>
        <v/>
      </c>
      <c r="X44" s="74" t="str">
        <f t="shared" si="9"/>
        <v/>
      </c>
      <c r="Y44" s="74" t="str">
        <f t="shared" si="10"/>
        <v/>
      </c>
      <c r="Z44" s="67" t="str">
        <f t="shared" si="11"/>
        <v/>
      </c>
    </row>
    <row r="45" spans="1:26">
      <c r="A45" s="46"/>
      <c r="B45" s="46"/>
      <c r="C45" s="6"/>
      <c r="D45" s="6"/>
      <c r="E45" s="10"/>
      <c r="F45" s="6"/>
      <c r="G45" s="72"/>
      <c r="H45" s="71" t="str">
        <f>IF(A45="","",SUMIFS(INVOICE_PIUTANG!$G$5:$G$151,INVOICE_PIUTANG!$D$5:$D$151,A45))</f>
        <v/>
      </c>
      <c r="I45" s="71" t="str">
        <f>IF(A45="","",SUMIFS(PEMASUKAN!$H$5:$H$204,PEMASUKAN!$D$5:$D$204,A45,PEMASUKAN!$M$5:$M$204,"Pendapatan Operasional"))</f>
        <v/>
      </c>
      <c r="J45" s="73" t="str">
        <f t="shared" si="6"/>
        <v/>
      </c>
      <c r="K45" s="73" t="str">
        <f>IF(A45="","",SUMIFS(SALDO_AWAL_2026!$F$33:$F$132,SALDO_AWAL_2026!$A$33:$A$132,A45)+SUMIFS(PENGELUARAN!$K$5:$K$204,PENGELUARAN!$D$5:$D$204,A45,PENGELUARAN!$L$5:$L$204,"Kantor"))</f>
        <v/>
      </c>
      <c r="L45" s="73" t="str">
        <f>IF(A45="","",SUMIFS(PENGELUARAN!$K$5:$K$204,PENGELUARAN!$D$5:$D$204,A45,PENGELUARAN!$L$5:$L$204,"Klien"))</f>
        <v/>
      </c>
      <c r="M45" s="73" t="str">
        <f>IF(A45="","",SUMIFS(PEMASUKAN!$H$5:$H$204,PEMASUKAN!$D$5:$D$204,A45,PEMASUKAN!$M$5:$M$204,"Penggantian Biaya"))</f>
        <v/>
      </c>
      <c r="N45" s="73" t="str">
        <f t="shared" si="7"/>
        <v/>
      </c>
      <c r="O45" s="69" t="str">
        <f t="shared" si="8"/>
        <v/>
      </c>
      <c r="P45" s="73" t="str">
        <f>IF(A45="","",SUMIFS(INVOICE_PIUTANG!$L$5:$L$151,INVOICE_PIUTANG!$D$5:$D$151,A45))</f>
        <v/>
      </c>
      <c r="Q45" s="10"/>
      <c r="R45" s="6"/>
      <c r="S45" s="64"/>
      <c r="T45" s="64"/>
      <c r="U45" s="64"/>
      <c r="V45" s="64"/>
      <c r="W45" s="74" t="str">
        <f>IF(A45="","",SUMIFS(SALDO_AWAL_2026!$G$33:$G$132,SALDO_AWAL_2026!$A$33:$A$132,A45)+SUMIFS(GAJI!$Q$5:$Q$124,GAJI!$X$5:$X$124,A45))</f>
        <v/>
      </c>
      <c r="X45" s="74" t="str">
        <f t="shared" si="9"/>
        <v/>
      </c>
      <c r="Y45" s="74" t="str">
        <f t="shared" si="10"/>
        <v/>
      </c>
      <c r="Z45" s="67" t="str">
        <f t="shared" si="11"/>
        <v/>
      </c>
    </row>
    <row r="46" spans="1:26">
      <c r="A46" s="46"/>
      <c r="B46" s="46"/>
      <c r="C46" s="6"/>
      <c r="D46" s="6"/>
      <c r="E46" s="10"/>
      <c r="F46" s="6"/>
      <c r="G46" s="72"/>
      <c r="H46" s="71" t="str">
        <f>IF(A46="","",SUMIFS(INVOICE_PIUTANG!$G$5:$G$151,INVOICE_PIUTANG!$D$5:$D$151,A46))</f>
        <v/>
      </c>
      <c r="I46" s="71" t="str">
        <f>IF(A46="","",SUMIFS(PEMASUKAN!$H$5:$H$204,PEMASUKAN!$D$5:$D$204,A46,PEMASUKAN!$M$5:$M$204,"Pendapatan Operasional"))</f>
        <v/>
      </c>
      <c r="J46" s="73" t="str">
        <f t="shared" si="6"/>
        <v/>
      </c>
      <c r="K46" s="73" t="str">
        <f>IF(A46="","",SUMIFS(SALDO_AWAL_2026!$F$33:$F$132,SALDO_AWAL_2026!$A$33:$A$132,A46)+SUMIFS(PENGELUARAN!$K$5:$K$204,PENGELUARAN!$D$5:$D$204,A46,PENGELUARAN!$L$5:$L$204,"Kantor"))</f>
        <v/>
      </c>
      <c r="L46" s="73" t="str">
        <f>IF(A46="","",SUMIFS(PENGELUARAN!$K$5:$K$204,PENGELUARAN!$D$5:$D$204,A46,PENGELUARAN!$L$5:$L$204,"Klien"))</f>
        <v/>
      </c>
      <c r="M46" s="73" t="str">
        <f>IF(A46="","",SUMIFS(PEMASUKAN!$H$5:$H$204,PEMASUKAN!$D$5:$D$204,A46,PEMASUKAN!$M$5:$M$204,"Penggantian Biaya"))</f>
        <v/>
      </c>
      <c r="N46" s="73" t="str">
        <f t="shared" si="7"/>
        <v/>
      </c>
      <c r="O46" s="69" t="str">
        <f t="shared" si="8"/>
        <v/>
      </c>
      <c r="P46" s="73" t="str">
        <f>IF(A46="","",SUMIFS(INVOICE_PIUTANG!$L$5:$L$151,INVOICE_PIUTANG!$D$5:$D$151,A46))</f>
        <v/>
      </c>
      <c r="Q46" s="10"/>
      <c r="R46" s="6"/>
      <c r="S46" s="64"/>
      <c r="T46" s="64"/>
      <c r="U46" s="64"/>
      <c r="V46" s="64"/>
      <c r="W46" s="74" t="str">
        <f>IF(A46="","",SUMIFS(SALDO_AWAL_2026!$G$33:$G$132,SALDO_AWAL_2026!$A$33:$A$132,A46)+SUMIFS(GAJI!$Q$5:$Q$124,GAJI!$X$5:$X$124,A46))</f>
        <v/>
      </c>
      <c r="X46" s="74" t="str">
        <f t="shared" si="9"/>
        <v/>
      </c>
      <c r="Y46" s="74" t="str">
        <f t="shared" si="10"/>
        <v/>
      </c>
      <c r="Z46" s="67" t="str">
        <f t="shared" si="11"/>
        <v/>
      </c>
    </row>
    <row r="47" spans="1:26">
      <c r="A47" s="46"/>
      <c r="B47" s="46"/>
      <c r="C47" s="6"/>
      <c r="D47" s="6"/>
      <c r="E47" s="10"/>
      <c r="F47" s="6"/>
      <c r="G47" s="72"/>
      <c r="H47" s="71" t="str">
        <f>IF(A47="","",SUMIFS(INVOICE_PIUTANG!$G$5:$G$151,INVOICE_PIUTANG!$D$5:$D$151,A47))</f>
        <v/>
      </c>
      <c r="I47" s="71" t="str">
        <f>IF(A47="","",SUMIFS(PEMASUKAN!$H$5:$H$204,PEMASUKAN!$D$5:$D$204,A47,PEMASUKAN!$M$5:$M$204,"Pendapatan Operasional"))</f>
        <v/>
      </c>
      <c r="J47" s="73" t="str">
        <f t="shared" si="6"/>
        <v/>
      </c>
      <c r="K47" s="73" t="str">
        <f>IF(A47="","",SUMIFS(SALDO_AWAL_2026!$F$33:$F$132,SALDO_AWAL_2026!$A$33:$A$132,A47)+SUMIFS(PENGELUARAN!$K$5:$K$204,PENGELUARAN!$D$5:$D$204,A47,PENGELUARAN!$L$5:$L$204,"Kantor"))</f>
        <v/>
      </c>
      <c r="L47" s="73" t="str">
        <f>IF(A47="","",SUMIFS(PENGELUARAN!$K$5:$K$204,PENGELUARAN!$D$5:$D$204,A47,PENGELUARAN!$L$5:$L$204,"Klien"))</f>
        <v/>
      </c>
      <c r="M47" s="73" t="str">
        <f>IF(A47="","",SUMIFS(PEMASUKAN!$H$5:$H$204,PEMASUKAN!$D$5:$D$204,A47,PEMASUKAN!$M$5:$M$204,"Penggantian Biaya"))</f>
        <v/>
      </c>
      <c r="N47" s="73" t="str">
        <f t="shared" si="7"/>
        <v/>
      </c>
      <c r="O47" s="69" t="str">
        <f t="shared" si="8"/>
        <v/>
      </c>
      <c r="P47" s="73" t="str">
        <f>IF(A47="","",SUMIFS(INVOICE_PIUTANG!$L$5:$L$151,INVOICE_PIUTANG!$D$5:$D$151,A47))</f>
        <v/>
      </c>
      <c r="Q47" s="10"/>
      <c r="R47" s="6"/>
      <c r="S47" s="64"/>
      <c r="T47" s="64"/>
      <c r="U47" s="64"/>
      <c r="V47" s="64"/>
      <c r="W47" s="74" t="str">
        <f>IF(A47="","",SUMIFS(SALDO_AWAL_2026!$G$33:$G$132,SALDO_AWAL_2026!$A$33:$A$132,A47)+SUMIFS(GAJI!$Q$5:$Q$124,GAJI!$X$5:$X$124,A47))</f>
        <v/>
      </c>
      <c r="X47" s="74" t="str">
        <f t="shared" si="9"/>
        <v/>
      </c>
      <c r="Y47" s="74" t="str">
        <f t="shared" si="10"/>
        <v/>
      </c>
      <c r="Z47" s="67" t="str">
        <f t="shared" si="11"/>
        <v/>
      </c>
    </row>
    <row r="48" spans="1:26">
      <c r="A48" s="46"/>
      <c r="B48" s="46"/>
      <c r="C48" s="6"/>
      <c r="D48" s="6"/>
      <c r="E48" s="10"/>
      <c r="F48" s="6"/>
      <c r="G48" s="72"/>
      <c r="H48" s="71" t="str">
        <f>IF(A48="","",SUMIFS(INVOICE_PIUTANG!$G$5:$G$151,INVOICE_PIUTANG!$D$5:$D$151,A48))</f>
        <v/>
      </c>
      <c r="I48" s="71" t="str">
        <f>IF(A48="","",SUMIFS(PEMASUKAN!$H$5:$H$204,PEMASUKAN!$D$5:$D$204,A48,PEMASUKAN!$M$5:$M$204,"Pendapatan Operasional"))</f>
        <v/>
      </c>
      <c r="J48" s="73" t="str">
        <f t="shared" si="6"/>
        <v/>
      </c>
      <c r="K48" s="73" t="str">
        <f>IF(A48="","",SUMIFS(SALDO_AWAL_2026!$F$33:$F$132,SALDO_AWAL_2026!$A$33:$A$132,A48)+SUMIFS(PENGELUARAN!$K$5:$K$204,PENGELUARAN!$D$5:$D$204,A48,PENGELUARAN!$L$5:$L$204,"Kantor"))</f>
        <v/>
      </c>
      <c r="L48" s="73" t="str">
        <f>IF(A48="","",SUMIFS(PENGELUARAN!$K$5:$K$204,PENGELUARAN!$D$5:$D$204,A48,PENGELUARAN!$L$5:$L$204,"Klien"))</f>
        <v/>
      </c>
      <c r="M48" s="73" t="str">
        <f>IF(A48="","",SUMIFS(PEMASUKAN!$H$5:$H$204,PEMASUKAN!$D$5:$D$204,A48,PEMASUKAN!$M$5:$M$204,"Penggantian Biaya"))</f>
        <v/>
      </c>
      <c r="N48" s="73" t="str">
        <f t="shared" si="7"/>
        <v/>
      </c>
      <c r="O48" s="69" t="str">
        <f t="shared" si="8"/>
        <v/>
      </c>
      <c r="P48" s="73" t="str">
        <f>IF(A48="","",SUMIFS(INVOICE_PIUTANG!$L$5:$L$151,INVOICE_PIUTANG!$D$5:$D$151,A48))</f>
        <v/>
      </c>
      <c r="Q48" s="10"/>
      <c r="R48" s="6"/>
      <c r="S48" s="64"/>
      <c r="T48" s="64"/>
      <c r="U48" s="64"/>
      <c r="V48" s="64"/>
      <c r="W48" s="74" t="str">
        <f>IF(A48="","",SUMIFS(SALDO_AWAL_2026!$G$33:$G$132,SALDO_AWAL_2026!$A$33:$A$132,A48)+SUMIFS(GAJI!$Q$5:$Q$124,GAJI!$X$5:$X$124,A48))</f>
        <v/>
      </c>
      <c r="X48" s="74" t="str">
        <f t="shared" si="9"/>
        <v/>
      </c>
      <c r="Y48" s="74" t="str">
        <f t="shared" si="10"/>
        <v/>
      </c>
      <c r="Z48" s="67" t="str">
        <f t="shared" si="11"/>
        <v/>
      </c>
    </row>
    <row r="49" spans="1:26">
      <c r="A49" s="46"/>
      <c r="B49" s="46"/>
      <c r="C49" s="6"/>
      <c r="D49" s="6"/>
      <c r="E49" s="10"/>
      <c r="F49" s="6"/>
      <c r="G49" s="72"/>
      <c r="H49" s="71" t="str">
        <f>IF(A49="","",SUMIFS(INVOICE_PIUTANG!$G$5:$G$151,INVOICE_PIUTANG!$D$5:$D$151,A49))</f>
        <v/>
      </c>
      <c r="I49" s="71" t="str">
        <f>IF(A49="","",SUMIFS(PEMASUKAN!$H$5:$H$204,PEMASUKAN!$D$5:$D$204,A49,PEMASUKAN!$M$5:$M$204,"Pendapatan Operasional"))</f>
        <v/>
      </c>
      <c r="J49" s="73" t="str">
        <f t="shared" si="6"/>
        <v/>
      </c>
      <c r="K49" s="73" t="str">
        <f>IF(A49="","",SUMIFS(SALDO_AWAL_2026!$F$33:$F$132,SALDO_AWAL_2026!$A$33:$A$132,A49)+SUMIFS(PENGELUARAN!$K$5:$K$204,PENGELUARAN!$D$5:$D$204,A49,PENGELUARAN!$L$5:$L$204,"Kantor"))</f>
        <v/>
      </c>
      <c r="L49" s="73" t="str">
        <f>IF(A49="","",SUMIFS(PENGELUARAN!$K$5:$K$204,PENGELUARAN!$D$5:$D$204,A49,PENGELUARAN!$L$5:$L$204,"Klien"))</f>
        <v/>
      </c>
      <c r="M49" s="73" t="str">
        <f>IF(A49="","",SUMIFS(PEMASUKAN!$H$5:$H$204,PEMASUKAN!$D$5:$D$204,A49,PEMASUKAN!$M$5:$M$204,"Penggantian Biaya"))</f>
        <v/>
      </c>
      <c r="N49" s="73" t="str">
        <f t="shared" si="7"/>
        <v/>
      </c>
      <c r="O49" s="69" t="str">
        <f t="shared" si="8"/>
        <v/>
      </c>
      <c r="P49" s="73" t="str">
        <f>IF(A49="","",SUMIFS(INVOICE_PIUTANG!$L$5:$L$151,INVOICE_PIUTANG!$D$5:$D$151,A49))</f>
        <v/>
      </c>
      <c r="Q49" s="10"/>
      <c r="R49" s="6"/>
      <c r="S49" s="64"/>
      <c r="T49" s="64"/>
      <c r="U49" s="64"/>
      <c r="V49" s="64"/>
      <c r="W49" s="74" t="str">
        <f>IF(A49="","",SUMIFS(SALDO_AWAL_2026!$G$33:$G$132,SALDO_AWAL_2026!$A$33:$A$132,A49)+SUMIFS(GAJI!$Q$5:$Q$124,GAJI!$X$5:$X$124,A49))</f>
        <v/>
      </c>
      <c r="X49" s="74" t="str">
        <f t="shared" si="9"/>
        <v/>
      </c>
      <c r="Y49" s="74" t="str">
        <f t="shared" si="10"/>
        <v/>
      </c>
      <c r="Z49" s="67" t="str">
        <f t="shared" si="11"/>
        <v/>
      </c>
    </row>
    <row r="50" spans="1:26">
      <c r="A50" s="46"/>
      <c r="B50" s="46"/>
      <c r="C50" s="6"/>
      <c r="D50" s="6"/>
      <c r="E50" s="10"/>
      <c r="F50" s="6"/>
      <c r="G50" s="72"/>
      <c r="H50" s="71" t="str">
        <f>IF(A50="","",SUMIFS(INVOICE_PIUTANG!$G$5:$G$151,INVOICE_PIUTANG!$D$5:$D$151,A50))</f>
        <v/>
      </c>
      <c r="I50" s="71" t="str">
        <f>IF(A50="","",SUMIFS(PEMASUKAN!$H$5:$H$204,PEMASUKAN!$D$5:$D$204,A50,PEMASUKAN!$M$5:$M$204,"Pendapatan Operasional"))</f>
        <v/>
      </c>
      <c r="J50" s="73" t="str">
        <f t="shared" si="6"/>
        <v/>
      </c>
      <c r="K50" s="73" t="str">
        <f>IF(A50="","",SUMIFS(SALDO_AWAL_2026!$F$33:$F$132,SALDO_AWAL_2026!$A$33:$A$132,A50)+SUMIFS(PENGELUARAN!$K$5:$K$204,PENGELUARAN!$D$5:$D$204,A50,PENGELUARAN!$L$5:$L$204,"Kantor"))</f>
        <v/>
      </c>
      <c r="L50" s="73" t="str">
        <f>IF(A50="","",SUMIFS(PENGELUARAN!$K$5:$K$204,PENGELUARAN!$D$5:$D$204,A50,PENGELUARAN!$L$5:$L$204,"Klien"))</f>
        <v/>
      </c>
      <c r="M50" s="73" t="str">
        <f>IF(A50="","",SUMIFS(PEMASUKAN!$H$5:$H$204,PEMASUKAN!$D$5:$D$204,A50,PEMASUKAN!$M$5:$M$204,"Penggantian Biaya"))</f>
        <v/>
      </c>
      <c r="N50" s="73" t="str">
        <f t="shared" si="7"/>
        <v/>
      </c>
      <c r="O50" s="69" t="str">
        <f t="shared" si="8"/>
        <v/>
      </c>
      <c r="P50" s="73" t="str">
        <f>IF(A50="","",SUMIFS(INVOICE_PIUTANG!$L$5:$L$151,INVOICE_PIUTANG!$D$5:$D$151,A50))</f>
        <v/>
      </c>
      <c r="Q50" s="10"/>
      <c r="R50" s="6"/>
      <c r="S50" s="64"/>
      <c r="T50" s="64"/>
      <c r="U50" s="64"/>
      <c r="V50" s="64"/>
      <c r="W50" s="74" t="str">
        <f>IF(A50="","",SUMIFS(SALDO_AWAL_2026!$G$33:$G$132,SALDO_AWAL_2026!$A$33:$A$132,A50)+SUMIFS(GAJI!$Q$5:$Q$124,GAJI!$X$5:$X$124,A50))</f>
        <v/>
      </c>
      <c r="X50" s="74" t="str">
        <f t="shared" si="9"/>
        <v/>
      </c>
      <c r="Y50" s="74" t="str">
        <f t="shared" si="10"/>
        <v/>
      </c>
      <c r="Z50" s="67" t="str">
        <f t="shared" si="11"/>
        <v/>
      </c>
    </row>
    <row r="51" spans="1:26">
      <c r="A51" s="46"/>
      <c r="B51" s="46"/>
      <c r="C51" s="6"/>
      <c r="D51" s="6"/>
      <c r="E51" s="10"/>
      <c r="F51" s="6"/>
      <c r="G51" s="72"/>
      <c r="H51" s="71" t="str">
        <f>IF(A51="","",SUMIFS(INVOICE_PIUTANG!$G$5:$G$151,INVOICE_PIUTANG!$D$5:$D$151,A51))</f>
        <v/>
      </c>
      <c r="I51" s="71" t="str">
        <f>IF(A51="","",SUMIFS(PEMASUKAN!$H$5:$H$204,PEMASUKAN!$D$5:$D$204,A51,PEMASUKAN!$M$5:$M$204,"Pendapatan Operasional"))</f>
        <v/>
      </c>
      <c r="J51" s="73" t="str">
        <f t="shared" si="6"/>
        <v/>
      </c>
      <c r="K51" s="73" t="str">
        <f>IF(A51="","",SUMIFS(SALDO_AWAL_2026!$F$33:$F$132,SALDO_AWAL_2026!$A$33:$A$132,A51)+SUMIFS(PENGELUARAN!$K$5:$K$204,PENGELUARAN!$D$5:$D$204,A51,PENGELUARAN!$L$5:$L$204,"Kantor"))</f>
        <v/>
      </c>
      <c r="L51" s="73" t="str">
        <f>IF(A51="","",SUMIFS(PENGELUARAN!$K$5:$K$204,PENGELUARAN!$D$5:$D$204,A51,PENGELUARAN!$L$5:$L$204,"Klien"))</f>
        <v/>
      </c>
      <c r="M51" s="73" t="str">
        <f>IF(A51="","",SUMIFS(PEMASUKAN!$H$5:$H$204,PEMASUKAN!$D$5:$D$204,A51,PEMASUKAN!$M$5:$M$204,"Penggantian Biaya"))</f>
        <v/>
      </c>
      <c r="N51" s="73" t="str">
        <f t="shared" si="7"/>
        <v/>
      </c>
      <c r="O51" s="69" t="str">
        <f t="shared" si="8"/>
        <v/>
      </c>
      <c r="P51" s="73" t="str">
        <f>IF(A51="","",SUMIFS(INVOICE_PIUTANG!$L$5:$L$151,INVOICE_PIUTANG!$D$5:$D$151,A51))</f>
        <v/>
      </c>
      <c r="Q51" s="10"/>
      <c r="R51" s="6"/>
      <c r="S51" s="64"/>
      <c r="T51" s="64"/>
      <c r="U51" s="64"/>
      <c r="V51" s="64"/>
      <c r="W51" s="74" t="str">
        <f>IF(A51="","",SUMIFS(SALDO_AWAL_2026!$G$33:$G$132,SALDO_AWAL_2026!$A$33:$A$132,A51)+SUMIFS(GAJI!$Q$5:$Q$124,GAJI!$X$5:$X$124,A51))</f>
        <v/>
      </c>
      <c r="X51" s="74" t="str">
        <f t="shared" si="9"/>
        <v/>
      </c>
      <c r="Y51" s="74" t="str">
        <f t="shared" si="10"/>
        <v/>
      </c>
      <c r="Z51" s="67" t="str">
        <f t="shared" si="11"/>
        <v/>
      </c>
    </row>
    <row r="52" spans="1:26">
      <c r="A52" s="46"/>
      <c r="B52" s="46"/>
      <c r="C52" s="6"/>
      <c r="D52" s="6"/>
      <c r="E52" s="10"/>
      <c r="F52" s="6"/>
      <c r="G52" s="72"/>
      <c r="H52" s="71" t="str">
        <f>IF(A52="","",SUMIFS(INVOICE_PIUTANG!$G$5:$G$151,INVOICE_PIUTANG!$D$5:$D$151,A52))</f>
        <v/>
      </c>
      <c r="I52" s="71" t="str">
        <f>IF(A52="","",SUMIFS(PEMASUKAN!$H$5:$H$204,PEMASUKAN!$D$5:$D$204,A52,PEMASUKAN!$M$5:$M$204,"Pendapatan Operasional"))</f>
        <v/>
      </c>
      <c r="J52" s="73" t="str">
        <f t="shared" si="6"/>
        <v/>
      </c>
      <c r="K52" s="73" t="str">
        <f>IF(A52="","",SUMIFS(SALDO_AWAL_2026!$F$33:$F$132,SALDO_AWAL_2026!$A$33:$A$132,A52)+SUMIFS(PENGELUARAN!$K$5:$K$204,PENGELUARAN!$D$5:$D$204,A52,PENGELUARAN!$L$5:$L$204,"Kantor"))</f>
        <v/>
      </c>
      <c r="L52" s="73" t="str">
        <f>IF(A52="","",SUMIFS(PENGELUARAN!$K$5:$K$204,PENGELUARAN!$D$5:$D$204,A52,PENGELUARAN!$L$5:$L$204,"Klien"))</f>
        <v/>
      </c>
      <c r="M52" s="73" t="str">
        <f>IF(A52="","",SUMIFS(PEMASUKAN!$H$5:$H$204,PEMASUKAN!$D$5:$D$204,A52,PEMASUKAN!$M$5:$M$204,"Penggantian Biaya"))</f>
        <v/>
      </c>
      <c r="N52" s="73" t="str">
        <f t="shared" si="7"/>
        <v/>
      </c>
      <c r="O52" s="69" t="str">
        <f t="shared" si="8"/>
        <v/>
      </c>
      <c r="P52" s="73" t="str">
        <f>IF(A52="","",SUMIFS(INVOICE_PIUTANG!$L$5:$L$151,INVOICE_PIUTANG!$D$5:$D$151,A52))</f>
        <v/>
      </c>
      <c r="Q52" s="10"/>
      <c r="R52" s="6"/>
      <c r="S52" s="64"/>
      <c r="T52" s="64"/>
      <c r="U52" s="64"/>
      <c r="V52" s="64"/>
      <c r="W52" s="74" t="str">
        <f>IF(A52="","",SUMIFS(SALDO_AWAL_2026!$G$33:$G$132,SALDO_AWAL_2026!$A$33:$A$132,A52)+SUMIFS(GAJI!$Q$5:$Q$124,GAJI!$X$5:$X$124,A52))</f>
        <v/>
      </c>
      <c r="X52" s="74" t="str">
        <f t="shared" si="9"/>
        <v/>
      </c>
      <c r="Y52" s="74" t="str">
        <f t="shared" si="10"/>
        <v/>
      </c>
      <c r="Z52" s="67" t="str">
        <f t="shared" si="11"/>
        <v/>
      </c>
    </row>
    <row r="53" spans="1:26">
      <c r="A53" s="46"/>
      <c r="B53" s="46"/>
      <c r="C53" s="6"/>
      <c r="D53" s="6"/>
      <c r="E53" s="10"/>
      <c r="F53" s="6"/>
      <c r="G53" s="72"/>
      <c r="H53" s="71" t="str">
        <f>IF(A53="","",SUMIFS(INVOICE_PIUTANG!$G$5:$G$151,INVOICE_PIUTANG!$D$5:$D$151,A53))</f>
        <v/>
      </c>
      <c r="I53" s="71" t="str">
        <f>IF(A53="","",SUMIFS(PEMASUKAN!$H$5:$H$204,PEMASUKAN!$D$5:$D$204,A53,PEMASUKAN!$M$5:$M$204,"Pendapatan Operasional"))</f>
        <v/>
      </c>
      <c r="J53" s="73" t="str">
        <f t="shared" si="6"/>
        <v/>
      </c>
      <c r="K53" s="73" t="str">
        <f>IF(A53="","",SUMIFS(SALDO_AWAL_2026!$F$33:$F$132,SALDO_AWAL_2026!$A$33:$A$132,A53)+SUMIFS(PENGELUARAN!$K$5:$K$204,PENGELUARAN!$D$5:$D$204,A53,PENGELUARAN!$L$5:$L$204,"Kantor"))</f>
        <v/>
      </c>
      <c r="L53" s="73" t="str">
        <f>IF(A53="","",SUMIFS(PENGELUARAN!$K$5:$K$204,PENGELUARAN!$D$5:$D$204,A53,PENGELUARAN!$L$5:$L$204,"Klien"))</f>
        <v/>
      </c>
      <c r="M53" s="73" t="str">
        <f>IF(A53="","",SUMIFS(PEMASUKAN!$H$5:$H$204,PEMASUKAN!$D$5:$D$204,A53,PEMASUKAN!$M$5:$M$204,"Penggantian Biaya"))</f>
        <v/>
      </c>
      <c r="N53" s="73" t="str">
        <f t="shared" si="7"/>
        <v/>
      </c>
      <c r="O53" s="69" t="str">
        <f t="shared" si="8"/>
        <v/>
      </c>
      <c r="P53" s="73" t="str">
        <f>IF(A53="","",SUMIFS(INVOICE_PIUTANG!$L$5:$L$151,INVOICE_PIUTANG!$D$5:$D$151,A53))</f>
        <v/>
      </c>
      <c r="Q53" s="10"/>
      <c r="R53" s="6"/>
      <c r="S53" s="64"/>
      <c r="T53" s="64"/>
      <c r="U53" s="64"/>
      <c r="V53" s="64"/>
      <c r="W53" s="74" t="str">
        <f>IF(A53="","",SUMIFS(SALDO_AWAL_2026!$G$33:$G$132,SALDO_AWAL_2026!$A$33:$A$132,A53)+SUMIFS(GAJI!$Q$5:$Q$124,GAJI!$X$5:$X$124,A53))</f>
        <v/>
      </c>
      <c r="X53" s="74" t="str">
        <f t="shared" si="9"/>
        <v/>
      </c>
      <c r="Y53" s="74" t="str">
        <f t="shared" si="10"/>
        <v/>
      </c>
      <c r="Z53" s="67" t="str">
        <f t="shared" si="11"/>
        <v/>
      </c>
    </row>
    <row r="54" spans="1:26">
      <c r="A54" s="46"/>
      <c r="B54" s="46"/>
      <c r="C54" s="6"/>
      <c r="D54" s="6"/>
      <c r="E54" s="10"/>
      <c r="F54" s="6"/>
      <c r="G54" s="72"/>
      <c r="H54" s="71" t="str">
        <f>IF(A54="","",SUMIFS(INVOICE_PIUTANG!$G$5:$G$151,INVOICE_PIUTANG!$D$5:$D$151,A54))</f>
        <v/>
      </c>
      <c r="I54" s="71" t="str">
        <f>IF(A54="","",SUMIFS(PEMASUKAN!$H$5:$H$204,PEMASUKAN!$D$5:$D$204,A54,PEMASUKAN!$M$5:$M$204,"Pendapatan Operasional"))</f>
        <v/>
      </c>
      <c r="J54" s="73" t="str">
        <f t="shared" si="6"/>
        <v/>
      </c>
      <c r="K54" s="73" t="str">
        <f>IF(A54="","",SUMIFS(SALDO_AWAL_2026!$F$33:$F$132,SALDO_AWAL_2026!$A$33:$A$132,A54)+SUMIFS(PENGELUARAN!$K$5:$K$204,PENGELUARAN!$D$5:$D$204,A54,PENGELUARAN!$L$5:$L$204,"Kantor"))</f>
        <v/>
      </c>
      <c r="L54" s="73" t="str">
        <f>IF(A54="","",SUMIFS(PENGELUARAN!$K$5:$K$204,PENGELUARAN!$D$5:$D$204,A54,PENGELUARAN!$L$5:$L$204,"Klien"))</f>
        <v/>
      </c>
      <c r="M54" s="73" t="str">
        <f>IF(A54="","",SUMIFS(PEMASUKAN!$H$5:$H$204,PEMASUKAN!$D$5:$D$204,A54,PEMASUKAN!$M$5:$M$204,"Penggantian Biaya"))</f>
        <v/>
      </c>
      <c r="N54" s="73" t="str">
        <f t="shared" si="7"/>
        <v/>
      </c>
      <c r="O54" s="69" t="str">
        <f t="shared" si="8"/>
        <v/>
      </c>
      <c r="P54" s="73" t="str">
        <f>IF(A54="","",SUMIFS(INVOICE_PIUTANG!$L$5:$L$151,INVOICE_PIUTANG!$D$5:$D$151,A54))</f>
        <v/>
      </c>
      <c r="Q54" s="10"/>
      <c r="R54" s="6"/>
      <c r="S54" s="64"/>
      <c r="T54" s="64"/>
      <c r="U54" s="64"/>
      <c r="V54" s="64"/>
      <c r="W54" s="74" t="str">
        <f>IF(A54="","",SUMIFS(SALDO_AWAL_2026!$G$33:$G$132,SALDO_AWAL_2026!$A$33:$A$132,A54)+SUMIFS(GAJI!$Q$5:$Q$124,GAJI!$X$5:$X$124,A54))</f>
        <v/>
      </c>
      <c r="X54" s="74" t="str">
        <f t="shared" si="9"/>
        <v/>
      </c>
      <c r="Y54" s="74" t="str">
        <f t="shared" si="10"/>
        <v/>
      </c>
      <c r="Z54" s="67" t="str">
        <f t="shared" si="11"/>
        <v/>
      </c>
    </row>
    <row r="55" spans="1:26">
      <c r="A55" s="46"/>
      <c r="B55" s="46"/>
      <c r="C55" s="6"/>
      <c r="D55" s="6"/>
      <c r="E55" s="10"/>
      <c r="F55" s="6"/>
      <c r="G55" s="72"/>
      <c r="H55" s="71" t="str">
        <f>IF(A55="","",SUMIFS(INVOICE_PIUTANG!$G$5:$G$151,INVOICE_PIUTANG!$D$5:$D$151,A55))</f>
        <v/>
      </c>
      <c r="I55" s="71" t="str">
        <f>IF(A55="","",SUMIFS(PEMASUKAN!$H$5:$H$204,PEMASUKAN!$D$5:$D$204,A55,PEMASUKAN!$M$5:$M$204,"Pendapatan Operasional"))</f>
        <v/>
      </c>
      <c r="J55" s="73" t="str">
        <f t="shared" si="6"/>
        <v/>
      </c>
      <c r="K55" s="73" t="str">
        <f>IF(A55="","",SUMIFS(SALDO_AWAL_2026!$F$33:$F$132,SALDO_AWAL_2026!$A$33:$A$132,A55)+SUMIFS(PENGELUARAN!$K$5:$K$204,PENGELUARAN!$D$5:$D$204,A55,PENGELUARAN!$L$5:$L$204,"Kantor"))</f>
        <v/>
      </c>
      <c r="L55" s="73" t="str">
        <f>IF(A55="","",SUMIFS(PENGELUARAN!$K$5:$K$204,PENGELUARAN!$D$5:$D$204,A55,PENGELUARAN!$L$5:$L$204,"Klien"))</f>
        <v/>
      </c>
      <c r="M55" s="73" t="str">
        <f>IF(A55="","",SUMIFS(PEMASUKAN!$H$5:$H$204,PEMASUKAN!$D$5:$D$204,A55,PEMASUKAN!$M$5:$M$204,"Penggantian Biaya"))</f>
        <v/>
      </c>
      <c r="N55" s="73" t="str">
        <f t="shared" si="7"/>
        <v/>
      </c>
      <c r="O55" s="69" t="str">
        <f t="shared" si="8"/>
        <v/>
      </c>
      <c r="P55" s="73" t="str">
        <f>IF(A55="","",SUMIFS(INVOICE_PIUTANG!$L$5:$L$151,INVOICE_PIUTANG!$D$5:$D$151,A55))</f>
        <v/>
      </c>
      <c r="Q55" s="10"/>
      <c r="R55" s="6"/>
      <c r="S55" s="64"/>
      <c r="T55" s="64"/>
      <c r="U55" s="64"/>
      <c r="V55" s="64"/>
      <c r="W55" s="74" t="str">
        <f>IF(A55="","",SUMIFS(SALDO_AWAL_2026!$G$33:$G$132,SALDO_AWAL_2026!$A$33:$A$132,A55)+SUMIFS(GAJI!$Q$5:$Q$124,GAJI!$X$5:$X$124,A55))</f>
        <v/>
      </c>
      <c r="X55" s="74" t="str">
        <f t="shared" si="9"/>
        <v/>
      </c>
      <c r="Y55" s="74" t="str">
        <f t="shared" si="10"/>
        <v/>
      </c>
      <c r="Z55" s="67" t="str">
        <f t="shared" si="11"/>
        <v/>
      </c>
    </row>
    <row r="56" spans="1:26">
      <c r="A56" s="46"/>
      <c r="B56" s="46"/>
      <c r="C56" s="6"/>
      <c r="D56" s="6"/>
      <c r="E56" s="10"/>
      <c r="F56" s="6"/>
      <c r="G56" s="72"/>
      <c r="H56" s="71" t="str">
        <f>IF(A56="","",SUMIFS(INVOICE_PIUTANG!$G$5:$G$151,INVOICE_PIUTANG!$D$5:$D$151,A56))</f>
        <v/>
      </c>
      <c r="I56" s="71" t="str">
        <f>IF(A56="","",SUMIFS(PEMASUKAN!$H$5:$H$204,PEMASUKAN!$D$5:$D$204,A56,PEMASUKAN!$M$5:$M$204,"Pendapatan Operasional"))</f>
        <v/>
      </c>
      <c r="J56" s="73" t="str">
        <f t="shared" si="6"/>
        <v/>
      </c>
      <c r="K56" s="73" t="str">
        <f>IF(A56="","",SUMIFS(SALDO_AWAL_2026!$F$33:$F$132,SALDO_AWAL_2026!$A$33:$A$132,A56)+SUMIFS(PENGELUARAN!$K$5:$K$204,PENGELUARAN!$D$5:$D$204,A56,PENGELUARAN!$L$5:$L$204,"Kantor"))</f>
        <v/>
      </c>
      <c r="L56" s="73" t="str">
        <f>IF(A56="","",SUMIFS(PENGELUARAN!$K$5:$K$204,PENGELUARAN!$D$5:$D$204,A56,PENGELUARAN!$L$5:$L$204,"Klien"))</f>
        <v/>
      </c>
      <c r="M56" s="73" t="str">
        <f>IF(A56="","",SUMIFS(PEMASUKAN!$H$5:$H$204,PEMASUKAN!$D$5:$D$204,A56,PEMASUKAN!$M$5:$M$204,"Penggantian Biaya"))</f>
        <v/>
      </c>
      <c r="N56" s="73" t="str">
        <f t="shared" si="7"/>
        <v/>
      </c>
      <c r="O56" s="69" t="str">
        <f t="shared" si="8"/>
        <v/>
      </c>
      <c r="P56" s="73" t="str">
        <f>IF(A56="","",SUMIFS(INVOICE_PIUTANG!$L$5:$L$151,INVOICE_PIUTANG!$D$5:$D$151,A56))</f>
        <v/>
      </c>
      <c r="Q56" s="10"/>
      <c r="R56" s="6"/>
      <c r="S56" s="64"/>
      <c r="T56" s="64"/>
      <c r="U56" s="64"/>
      <c r="V56" s="64"/>
      <c r="W56" s="74" t="str">
        <f>IF(A56="","",SUMIFS(SALDO_AWAL_2026!$G$33:$G$132,SALDO_AWAL_2026!$A$33:$A$132,A56)+SUMIFS(GAJI!$Q$5:$Q$124,GAJI!$X$5:$X$124,A56))</f>
        <v/>
      </c>
      <c r="X56" s="74" t="str">
        <f t="shared" si="9"/>
        <v/>
      </c>
      <c r="Y56" s="74" t="str">
        <f t="shared" si="10"/>
        <v/>
      </c>
      <c r="Z56" s="67" t="str">
        <f t="shared" si="11"/>
        <v/>
      </c>
    </row>
    <row r="57" spans="1:26">
      <c r="A57" s="46"/>
      <c r="B57" s="46"/>
      <c r="C57" s="6"/>
      <c r="D57" s="6"/>
      <c r="E57" s="10"/>
      <c r="F57" s="6"/>
      <c r="G57" s="72"/>
      <c r="H57" s="71" t="str">
        <f>IF(A57="","",SUMIFS(INVOICE_PIUTANG!$G$5:$G$151,INVOICE_PIUTANG!$D$5:$D$151,A57))</f>
        <v/>
      </c>
      <c r="I57" s="71" t="str">
        <f>IF(A57="","",SUMIFS(PEMASUKAN!$H$5:$H$204,PEMASUKAN!$D$5:$D$204,A57,PEMASUKAN!$M$5:$M$204,"Pendapatan Operasional"))</f>
        <v/>
      </c>
      <c r="J57" s="73" t="str">
        <f t="shared" si="6"/>
        <v/>
      </c>
      <c r="K57" s="73" t="str">
        <f>IF(A57="","",SUMIFS(SALDO_AWAL_2026!$F$33:$F$132,SALDO_AWAL_2026!$A$33:$A$132,A57)+SUMIFS(PENGELUARAN!$K$5:$K$204,PENGELUARAN!$D$5:$D$204,A57,PENGELUARAN!$L$5:$L$204,"Kantor"))</f>
        <v/>
      </c>
      <c r="L57" s="73" t="str">
        <f>IF(A57="","",SUMIFS(PENGELUARAN!$K$5:$K$204,PENGELUARAN!$D$5:$D$204,A57,PENGELUARAN!$L$5:$L$204,"Klien"))</f>
        <v/>
      </c>
      <c r="M57" s="73" t="str">
        <f>IF(A57="","",SUMIFS(PEMASUKAN!$H$5:$H$204,PEMASUKAN!$D$5:$D$204,A57,PEMASUKAN!$M$5:$M$204,"Penggantian Biaya"))</f>
        <v/>
      </c>
      <c r="N57" s="73" t="str">
        <f t="shared" si="7"/>
        <v/>
      </c>
      <c r="O57" s="69" t="str">
        <f t="shared" si="8"/>
        <v/>
      </c>
      <c r="P57" s="73" t="str">
        <f>IF(A57="","",SUMIFS(INVOICE_PIUTANG!$L$5:$L$151,INVOICE_PIUTANG!$D$5:$D$151,A57))</f>
        <v/>
      </c>
      <c r="Q57" s="10"/>
      <c r="R57" s="6"/>
      <c r="S57" s="64"/>
      <c r="T57" s="64"/>
      <c r="U57" s="64"/>
      <c r="V57" s="64"/>
      <c r="W57" s="74" t="str">
        <f>IF(A57="","",SUMIFS(SALDO_AWAL_2026!$G$33:$G$132,SALDO_AWAL_2026!$A$33:$A$132,A57)+SUMIFS(GAJI!$Q$5:$Q$124,GAJI!$X$5:$X$124,A57))</f>
        <v/>
      </c>
      <c r="X57" s="74" t="str">
        <f t="shared" si="9"/>
        <v/>
      </c>
      <c r="Y57" s="74" t="str">
        <f t="shared" si="10"/>
        <v/>
      </c>
      <c r="Z57" s="67" t="str">
        <f t="shared" si="11"/>
        <v/>
      </c>
    </row>
    <row r="58" spans="1:26">
      <c r="A58" s="46"/>
      <c r="B58" s="46"/>
      <c r="C58" s="6"/>
      <c r="D58" s="6"/>
      <c r="E58" s="10"/>
      <c r="F58" s="6"/>
      <c r="G58" s="72"/>
      <c r="H58" s="71" t="str">
        <f>IF(A58="","",SUMIFS(INVOICE_PIUTANG!$G$5:$G$151,INVOICE_PIUTANG!$D$5:$D$151,A58))</f>
        <v/>
      </c>
      <c r="I58" s="71" t="str">
        <f>IF(A58="","",SUMIFS(PEMASUKAN!$H$5:$H$204,PEMASUKAN!$D$5:$D$204,A58,PEMASUKAN!$M$5:$M$204,"Pendapatan Operasional"))</f>
        <v/>
      </c>
      <c r="J58" s="73" t="str">
        <f t="shared" si="6"/>
        <v/>
      </c>
      <c r="K58" s="73" t="str">
        <f>IF(A58="","",SUMIFS(SALDO_AWAL_2026!$F$33:$F$132,SALDO_AWAL_2026!$A$33:$A$132,A58)+SUMIFS(PENGELUARAN!$K$5:$K$204,PENGELUARAN!$D$5:$D$204,A58,PENGELUARAN!$L$5:$L$204,"Kantor"))</f>
        <v/>
      </c>
      <c r="L58" s="73" t="str">
        <f>IF(A58="","",SUMIFS(PENGELUARAN!$K$5:$K$204,PENGELUARAN!$D$5:$D$204,A58,PENGELUARAN!$L$5:$L$204,"Klien"))</f>
        <v/>
      </c>
      <c r="M58" s="73" t="str">
        <f>IF(A58="","",SUMIFS(PEMASUKAN!$H$5:$H$204,PEMASUKAN!$D$5:$D$204,A58,PEMASUKAN!$M$5:$M$204,"Penggantian Biaya"))</f>
        <v/>
      </c>
      <c r="N58" s="73" t="str">
        <f t="shared" si="7"/>
        <v/>
      </c>
      <c r="O58" s="69" t="str">
        <f t="shared" si="8"/>
        <v/>
      </c>
      <c r="P58" s="73" t="str">
        <f>IF(A58="","",SUMIFS(INVOICE_PIUTANG!$L$5:$L$151,INVOICE_PIUTANG!$D$5:$D$151,A58))</f>
        <v/>
      </c>
      <c r="Q58" s="10"/>
      <c r="R58" s="6"/>
      <c r="S58" s="64"/>
      <c r="T58" s="64"/>
      <c r="U58" s="64"/>
      <c r="V58" s="64"/>
      <c r="W58" s="74" t="str">
        <f>IF(A58="","",SUMIFS(SALDO_AWAL_2026!$G$33:$G$132,SALDO_AWAL_2026!$A$33:$A$132,A58)+SUMIFS(GAJI!$Q$5:$Q$124,GAJI!$X$5:$X$124,A58))</f>
        <v/>
      </c>
      <c r="X58" s="74" t="str">
        <f t="shared" si="9"/>
        <v/>
      </c>
      <c r="Y58" s="74" t="str">
        <f t="shared" si="10"/>
        <v/>
      </c>
      <c r="Z58" s="67" t="str">
        <f t="shared" si="11"/>
        <v/>
      </c>
    </row>
    <row r="59" spans="1:26">
      <c r="A59" s="46"/>
      <c r="B59" s="46"/>
      <c r="C59" s="6"/>
      <c r="D59" s="6"/>
      <c r="E59" s="10"/>
      <c r="F59" s="6"/>
      <c r="G59" s="72"/>
      <c r="H59" s="71" t="str">
        <f>IF(A59="","",SUMIFS(INVOICE_PIUTANG!$G$5:$G$151,INVOICE_PIUTANG!$D$5:$D$151,A59))</f>
        <v/>
      </c>
      <c r="I59" s="71" t="str">
        <f>IF(A59="","",SUMIFS(PEMASUKAN!$H$5:$H$204,PEMASUKAN!$D$5:$D$204,A59,PEMASUKAN!$M$5:$M$204,"Pendapatan Operasional"))</f>
        <v/>
      </c>
      <c r="J59" s="73" t="str">
        <f t="shared" si="6"/>
        <v/>
      </c>
      <c r="K59" s="73" t="str">
        <f>IF(A59="","",SUMIFS(SALDO_AWAL_2026!$F$33:$F$132,SALDO_AWAL_2026!$A$33:$A$132,A59)+SUMIFS(PENGELUARAN!$K$5:$K$204,PENGELUARAN!$D$5:$D$204,A59,PENGELUARAN!$L$5:$L$204,"Kantor"))</f>
        <v/>
      </c>
      <c r="L59" s="73" t="str">
        <f>IF(A59="","",SUMIFS(PENGELUARAN!$K$5:$K$204,PENGELUARAN!$D$5:$D$204,A59,PENGELUARAN!$L$5:$L$204,"Klien"))</f>
        <v/>
      </c>
      <c r="M59" s="73" t="str">
        <f>IF(A59="","",SUMIFS(PEMASUKAN!$H$5:$H$204,PEMASUKAN!$D$5:$D$204,A59,PEMASUKAN!$M$5:$M$204,"Penggantian Biaya"))</f>
        <v/>
      </c>
      <c r="N59" s="73" t="str">
        <f t="shared" si="7"/>
        <v/>
      </c>
      <c r="O59" s="69" t="str">
        <f t="shared" si="8"/>
        <v/>
      </c>
      <c r="P59" s="73" t="str">
        <f>IF(A59="","",SUMIFS(INVOICE_PIUTANG!$L$5:$L$151,INVOICE_PIUTANG!$D$5:$D$151,A59))</f>
        <v/>
      </c>
      <c r="Q59" s="10"/>
      <c r="R59" s="6"/>
      <c r="S59" s="64"/>
      <c r="T59" s="64"/>
      <c r="U59" s="64"/>
      <c r="V59" s="64"/>
      <c r="W59" s="74" t="str">
        <f>IF(A59="","",SUMIFS(SALDO_AWAL_2026!$G$33:$G$132,SALDO_AWAL_2026!$A$33:$A$132,A59)+SUMIFS(GAJI!$Q$5:$Q$124,GAJI!$X$5:$X$124,A59))</f>
        <v/>
      </c>
      <c r="X59" s="74" t="str">
        <f t="shared" si="9"/>
        <v/>
      </c>
      <c r="Y59" s="74" t="str">
        <f t="shared" si="10"/>
        <v/>
      </c>
      <c r="Z59" s="67" t="str">
        <f t="shared" si="11"/>
        <v/>
      </c>
    </row>
    <row r="60" spans="1:26">
      <c r="A60" s="46"/>
      <c r="B60" s="46"/>
      <c r="C60" s="6"/>
      <c r="D60" s="6"/>
      <c r="E60" s="10"/>
      <c r="F60" s="6"/>
      <c r="G60" s="72"/>
      <c r="H60" s="71" t="str">
        <f>IF(A60="","",SUMIFS(INVOICE_PIUTANG!$G$5:$G$151,INVOICE_PIUTANG!$D$5:$D$151,A60))</f>
        <v/>
      </c>
      <c r="I60" s="71" t="str">
        <f>IF(A60="","",SUMIFS(PEMASUKAN!$H$5:$H$204,PEMASUKAN!$D$5:$D$204,A60,PEMASUKAN!$M$5:$M$204,"Pendapatan Operasional"))</f>
        <v/>
      </c>
      <c r="J60" s="73" t="str">
        <f t="shared" si="6"/>
        <v/>
      </c>
      <c r="K60" s="73" t="str">
        <f>IF(A60="","",SUMIFS(SALDO_AWAL_2026!$F$33:$F$132,SALDO_AWAL_2026!$A$33:$A$132,A60)+SUMIFS(PENGELUARAN!$K$5:$K$204,PENGELUARAN!$D$5:$D$204,A60,PENGELUARAN!$L$5:$L$204,"Kantor"))</f>
        <v/>
      </c>
      <c r="L60" s="73" t="str">
        <f>IF(A60="","",SUMIFS(PENGELUARAN!$K$5:$K$204,PENGELUARAN!$D$5:$D$204,A60,PENGELUARAN!$L$5:$L$204,"Klien"))</f>
        <v/>
      </c>
      <c r="M60" s="73" t="str">
        <f>IF(A60="","",SUMIFS(PEMASUKAN!$H$5:$H$204,PEMASUKAN!$D$5:$D$204,A60,PEMASUKAN!$M$5:$M$204,"Penggantian Biaya"))</f>
        <v/>
      </c>
      <c r="N60" s="73" t="str">
        <f t="shared" si="7"/>
        <v/>
      </c>
      <c r="O60" s="69" t="str">
        <f t="shared" si="8"/>
        <v/>
      </c>
      <c r="P60" s="73" t="str">
        <f>IF(A60="","",SUMIFS(INVOICE_PIUTANG!$L$5:$L$151,INVOICE_PIUTANG!$D$5:$D$151,A60))</f>
        <v/>
      </c>
      <c r="Q60" s="10"/>
      <c r="R60" s="6"/>
      <c r="S60" s="64"/>
      <c r="T60" s="64"/>
      <c r="U60" s="64"/>
      <c r="V60" s="64"/>
      <c r="W60" s="74" t="str">
        <f>IF(A60="","",SUMIFS(SALDO_AWAL_2026!$G$33:$G$132,SALDO_AWAL_2026!$A$33:$A$132,A60)+SUMIFS(GAJI!$Q$5:$Q$124,GAJI!$X$5:$X$124,A60))</f>
        <v/>
      </c>
      <c r="X60" s="74" t="str">
        <f t="shared" si="9"/>
        <v/>
      </c>
      <c r="Y60" s="74" t="str">
        <f t="shared" si="10"/>
        <v/>
      </c>
      <c r="Z60" s="67" t="str">
        <f t="shared" si="11"/>
        <v/>
      </c>
    </row>
    <row r="61" spans="1:26">
      <c r="A61" s="46"/>
      <c r="B61" s="46"/>
      <c r="C61" s="6"/>
      <c r="D61" s="6"/>
      <c r="E61" s="10"/>
      <c r="F61" s="6"/>
      <c r="G61" s="72"/>
      <c r="H61" s="71" t="str">
        <f>IF(A61="","",SUMIFS(INVOICE_PIUTANG!$G$5:$G$151,INVOICE_PIUTANG!$D$5:$D$151,A61))</f>
        <v/>
      </c>
      <c r="I61" s="71" t="str">
        <f>IF(A61="","",SUMIFS(PEMASUKAN!$H$5:$H$204,PEMASUKAN!$D$5:$D$204,A61,PEMASUKAN!$M$5:$M$204,"Pendapatan Operasional"))</f>
        <v/>
      </c>
      <c r="J61" s="73" t="str">
        <f t="shared" si="6"/>
        <v/>
      </c>
      <c r="K61" s="73" t="str">
        <f>IF(A61="","",SUMIFS(SALDO_AWAL_2026!$F$33:$F$132,SALDO_AWAL_2026!$A$33:$A$132,A61)+SUMIFS(PENGELUARAN!$K$5:$K$204,PENGELUARAN!$D$5:$D$204,A61,PENGELUARAN!$L$5:$L$204,"Kantor"))</f>
        <v/>
      </c>
      <c r="L61" s="73" t="str">
        <f>IF(A61="","",SUMIFS(PENGELUARAN!$K$5:$K$204,PENGELUARAN!$D$5:$D$204,A61,PENGELUARAN!$L$5:$L$204,"Klien"))</f>
        <v/>
      </c>
      <c r="M61" s="73" t="str">
        <f>IF(A61="","",SUMIFS(PEMASUKAN!$H$5:$H$204,PEMASUKAN!$D$5:$D$204,A61,PEMASUKAN!$M$5:$M$204,"Penggantian Biaya"))</f>
        <v/>
      </c>
      <c r="N61" s="73" t="str">
        <f t="shared" si="7"/>
        <v/>
      </c>
      <c r="O61" s="69" t="str">
        <f t="shared" si="8"/>
        <v/>
      </c>
      <c r="P61" s="73" t="str">
        <f>IF(A61="","",SUMIFS(INVOICE_PIUTANG!$L$5:$L$151,INVOICE_PIUTANG!$D$5:$D$151,A61))</f>
        <v/>
      </c>
      <c r="Q61" s="10"/>
      <c r="R61" s="6"/>
      <c r="S61" s="64"/>
      <c r="T61" s="64"/>
      <c r="U61" s="64"/>
      <c r="V61" s="64"/>
      <c r="W61" s="74" t="str">
        <f>IF(A61="","",SUMIFS(SALDO_AWAL_2026!$G$33:$G$132,SALDO_AWAL_2026!$A$33:$A$132,A61)+SUMIFS(GAJI!$Q$5:$Q$124,GAJI!$X$5:$X$124,A61))</f>
        <v/>
      </c>
      <c r="X61" s="74" t="str">
        <f t="shared" si="9"/>
        <v/>
      </c>
      <c r="Y61" s="74" t="str">
        <f t="shared" si="10"/>
        <v/>
      </c>
      <c r="Z61" s="67" t="str">
        <f t="shared" si="11"/>
        <v/>
      </c>
    </row>
    <row r="62" spans="1:26">
      <c r="A62" s="46"/>
      <c r="B62" s="46"/>
      <c r="C62" s="6"/>
      <c r="D62" s="6"/>
      <c r="E62" s="10"/>
      <c r="F62" s="6"/>
      <c r="G62" s="72"/>
      <c r="H62" s="71" t="str">
        <f>IF(A62="","",SUMIFS(INVOICE_PIUTANG!$G$5:$G$151,INVOICE_PIUTANG!$D$5:$D$151,A62))</f>
        <v/>
      </c>
      <c r="I62" s="71" t="str">
        <f>IF(A62="","",SUMIFS(PEMASUKAN!$H$5:$H$204,PEMASUKAN!$D$5:$D$204,A62,PEMASUKAN!$M$5:$M$204,"Pendapatan Operasional"))</f>
        <v/>
      </c>
      <c r="J62" s="73" t="str">
        <f t="shared" si="6"/>
        <v/>
      </c>
      <c r="K62" s="73" t="str">
        <f>IF(A62="","",SUMIFS(SALDO_AWAL_2026!$F$33:$F$132,SALDO_AWAL_2026!$A$33:$A$132,A62)+SUMIFS(PENGELUARAN!$K$5:$K$204,PENGELUARAN!$D$5:$D$204,A62,PENGELUARAN!$L$5:$L$204,"Kantor"))</f>
        <v/>
      </c>
      <c r="L62" s="73" t="str">
        <f>IF(A62="","",SUMIFS(PENGELUARAN!$K$5:$K$204,PENGELUARAN!$D$5:$D$204,A62,PENGELUARAN!$L$5:$L$204,"Klien"))</f>
        <v/>
      </c>
      <c r="M62" s="73" t="str">
        <f>IF(A62="","",SUMIFS(PEMASUKAN!$H$5:$H$204,PEMASUKAN!$D$5:$D$204,A62,PEMASUKAN!$M$5:$M$204,"Penggantian Biaya"))</f>
        <v/>
      </c>
      <c r="N62" s="73" t="str">
        <f t="shared" si="7"/>
        <v/>
      </c>
      <c r="O62" s="69" t="str">
        <f t="shared" si="8"/>
        <v/>
      </c>
      <c r="P62" s="73" t="str">
        <f>IF(A62="","",SUMIFS(INVOICE_PIUTANG!$L$5:$L$151,INVOICE_PIUTANG!$D$5:$D$151,A62))</f>
        <v/>
      </c>
      <c r="Q62" s="10"/>
      <c r="R62" s="6"/>
      <c r="S62" s="64"/>
      <c r="T62" s="64"/>
      <c r="U62" s="64"/>
      <c r="V62" s="64"/>
      <c r="W62" s="74" t="str">
        <f>IF(A62="","",SUMIFS(SALDO_AWAL_2026!$G$33:$G$132,SALDO_AWAL_2026!$A$33:$A$132,A62)+SUMIFS(GAJI!$Q$5:$Q$124,GAJI!$X$5:$X$124,A62))</f>
        <v/>
      </c>
      <c r="X62" s="74" t="str">
        <f t="shared" si="9"/>
        <v/>
      </c>
      <c r="Y62" s="74" t="str">
        <f t="shared" si="10"/>
        <v/>
      </c>
      <c r="Z62" s="67" t="str">
        <f t="shared" si="11"/>
        <v/>
      </c>
    </row>
    <row r="63" spans="1:26">
      <c r="A63" s="46"/>
      <c r="B63" s="46"/>
      <c r="C63" s="6"/>
      <c r="D63" s="6"/>
      <c r="E63" s="10"/>
      <c r="F63" s="6"/>
      <c r="G63" s="72"/>
      <c r="H63" s="71" t="str">
        <f>IF(A63="","",SUMIFS(INVOICE_PIUTANG!$G$5:$G$151,INVOICE_PIUTANG!$D$5:$D$151,A63))</f>
        <v/>
      </c>
      <c r="I63" s="71" t="str">
        <f>IF(A63="","",SUMIFS(PEMASUKAN!$H$5:$H$204,PEMASUKAN!$D$5:$D$204,A63,PEMASUKAN!$M$5:$M$204,"Pendapatan Operasional"))</f>
        <v/>
      </c>
      <c r="J63" s="73" t="str">
        <f t="shared" si="6"/>
        <v/>
      </c>
      <c r="K63" s="73" t="str">
        <f>IF(A63="","",SUMIFS(SALDO_AWAL_2026!$F$33:$F$132,SALDO_AWAL_2026!$A$33:$A$132,A63)+SUMIFS(PENGELUARAN!$K$5:$K$204,PENGELUARAN!$D$5:$D$204,A63,PENGELUARAN!$L$5:$L$204,"Kantor"))</f>
        <v/>
      </c>
      <c r="L63" s="73" t="str">
        <f>IF(A63="","",SUMIFS(PENGELUARAN!$K$5:$K$204,PENGELUARAN!$D$5:$D$204,A63,PENGELUARAN!$L$5:$L$204,"Klien"))</f>
        <v/>
      </c>
      <c r="M63" s="73" t="str">
        <f>IF(A63="","",SUMIFS(PEMASUKAN!$H$5:$H$204,PEMASUKAN!$D$5:$D$204,A63,PEMASUKAN!$M$5:$M$204,"Penggantian Biaya"))</f>
        <v/>
      </c>
      <c r="N63" s="73" t="str">
        <f t="shared" si="7"/>
        <v/>
      </c>
      <c r="O63" s="69" t="str">
        <f t="shared" si="8"/>
        <v/>
      </c>
      <c r="P63" s="73" t="str">
        <f>IF(A63="","",SUMIFS(INVOICE_PIUTANG!$L$5:$L$151,INVOICE_PIUTANG!$D$5:$D$151,A63))</f>
        <v/>
      </c>
      <c r="Q63" s="10"/>
      <c r="R63" s="6"/>
      <c r="S63" s="64"/>
      <c r="T63" s="64"/>
      <c r="U63" s="64"/>
      <c r="V63" s="64"/>
      <c r="W63" s="74" t="str">
        <f>IF(A63="","",SUMIFS(SALDO_AWAL_2026!$G$33:$G$132,SALDO_AWAL_2026!$A$33:$A$132,A63)+SUMIFS(GAJI!$Q$5:$Q$124,GAJI!$X$5:$X$124,A63))</f>
        <v/>
      </c>
      <c r="X63" s="74" t="str">
        <f t="shared" si="9"/>
        <v/>
      </c>
      <c r="Y63" s="74" t="str">
        <f t="shared" si="10"/>
        <v/>
      </c>
      <c r="Z63" s="67" t="str">
        <f t="shared" si="11"/>
        <v/>
      </c>
    </row>
    <row r="64" spans="1:26">
      <c r="A64" s="46"/>
      <c r="B64" s="46"/>
      <c r="C64" s="6"/>
      <c r="D64" s="6"/>
      <c r="E64" s="10"/>
      <c r="F64" s="6"/>
      <c r="G64" s="72"/>
      <c r="H64" s="71" t="str">
        <f>IF(A64="","",SUMIFS(INVOICE_PIUTANG!$G$5:$G$151,INVOICE_PIUTANG!$D$5:$D$151,A64))</f>
        <v/>
      </c>
      <c r="I64" s="71" t="str">
        <f>IF(A64="","",SUMIFS(PEMASUKAN!$H$5:$H$204,PEMASUKAN!$D$5:$D$204,A64,PEMASUKAN!$M$5:$M$204,"Pendapatan Operasional"))</f>
        <v/>
      </c>
      <c r="J64" s="73" t="str">
        <f t="shared" si="6"/>
        <v/>
      </c>
      <c r="K64" s="73" t="str">
        <f>IF(A64="","",SUMIFS(SALDO_AWAL_2026!$F$33:$F$132,SALDO_AWAL_2026!$A$33:$A$132,A64)+SUMIFS(PENGELUARAN!$K$5:$K$204,PENGELUARAN!$D$5:$D$204,A64,PENGELUARAN!$L$5:$L$204,"Kantor"))</f>
        <v/>
      </c>
      <c r="L64" s="73" t="str">
        <f>IF(A64="","",SUMIFS(PENGELUARAN!$K$5:$K$204,PENGELUARAN!$D$5:$D$204,A64,PENGELUARAN!$L$5:$L$204,"Klien"))</f>
        <v/>
      </c>
      <c r="M64" s="73" t="str">
        <f>IF(A64="","",SUMIFS(PEMASUKAN!$H$5:$H$204,PEMASUKAN!$D$5:$D$204,A64,PEMASUKAN!$M$5:$M$204,"Penggantian Biaya"))</f>
        <v/>
      </c>
      <c r="N64" s="73" t="str">
        <f t="shared" si="7"/>
        <v/>
      </c>
      <c r="O64" s="69" t="str">
        <f t="shared" si="8"/>
        <v/>
      </c>
      <c r="P64" s="73" t="str">
        <f>IF(A64="","",SUMIFS(INVOICE_PIUTANG!$L$5:$L$151,INVOICE_PIUTANG!$D$5:$D$151,A64))</f>
        <v/>
      </c>
      <c r="Q64" s="10"/>
      <c r="R64" s="6"/>
      <c r="S64" s="64"/>
      <c r="T64" s="64"/>
      <c r="U64" s="64"/>
      <c r="V64" s="64"/>
      <c r="W64" s="74" t="str">
        <f>IF(A64="","",SUMIFS(SALDO_AWAL_2026!$G$33:$G$132,SALDO_AWAL_2026!$A$33:$A$132,A64)+SUMIFS(GAJI!$Q$5:$Q$124,GAJI!$X$5:$X$124,A64))</f>
        <v/>
      </c>
      <c r="X64" s="74" t="str">
        <f t="shared" si="9"/>
        <v/>
      </c>
      <c r="Y64" s="74" t="str">
        <f t="shared" si="10"/>
        <v/>
      </c>
      <c r="Z64" s="67" t="str">
        <f t="shared" si="11"/>
        <v/>
      </c>
    </row>
    <row r="65" spans="1:26">
      <c r="A65" s="46"/>
      <c r="B65" s="46"/>
      <c r="C65" s="6"/>
      <c r="D65" s="6"/>
      <c r="E65" s="10"/>
      <c r="F65" s="6"/>
      <c r="G65" s="72"/>
      <c r="H65" s="71" t="str">
        <f>IF(A65="","",SUMIFS(INVOICE_PIUTANG!$G$5:$G$151,INVOICE_PIUTANG!$D$5:$D$151,A65))</f>
        <v/>
      </c>
      <c r="I65" s="71" t="str">
        <f>IF(A65="","",SUMIFS(PEMASUKAN!$H$5:$H$204,PEMASUKAN!$D$5:$D$204,A65,PEMASUKAN!$M$5:$M$204,"Pendapatan Operasional"))</f>
        <v/>
      </c>
      <c r="J65" s="73" t="str">
        <f t="shared" si="6"/>
        <v/>
      </c>
      <c r="K65" s="73" t="str">
        <f>IF(A65="","",SUMIFS(SALDO_AWAL_2026!$F$33:$F$132,SALDO_AWAL_2026!$A$33:$A$132,A65)+SUMIFS(PENGELUARAN!$K$5:$K$204,PENGELUARAN!$D$5:$D$204,A65,PENGELUARAN!$L$5:$L$204,"Kantor"))</f>
        <v/>
      </c>
      <c r="L65" s="73" t="str">
        <f>IF(A65="","",SUMIFS(PENGELUARAN!$K$5:$K$204,PENGELUARAN!$D$5:$D$204,A65,PENGELUARAN!$L$5:$L$204,"Klien"))</f>
        <v/>
      </c>
      <c r="M65" s="73" t="str">
        <f>IF(A65="","",SUMIFS(PEMASUKAN!$H$5:$H$204,PEMASUKAN!$D$5:$D$204,A65,PEMASUKAN!$M$5:$M$204,"Penggantian Biaya"))</f>
        <v/>
      </c>
      <c r="N65" s="73" t="str">
        <f t="shared" si="7"/>
        <v/>
      </c>
      <c r="O65" s="69" t="str">
        <f t="shared" si="8"/>
        <v/>
      </c>
      <c r="P65" s="73" t="str">
        <f>IF(A65="","",SUMIFS(INVOICE_PIUTANG!$L$5:$L$151,INVOICE_PIUTANG!$D$5:$D$151,A65))</f>
        <v/>
      </c>
      <c r="Q65" s="10"/>
      <c r="R65" s="6"/>
      <c r="S65" s="64"/>
      <c r="T65" s="64"/>
      <c r="U65" s="64"/>
      <c r="V65" s="64"/>
      <c r="W65" s="74" t="str">
        <f>IF(A65="","",SUMIFS(SALDO_AWAL_2026!$G$33:$G$132,SALDO_AWAL_2026!$A$33:$A$132,A65)+SUMIFS(GAJI!$Q$5:$Q$124,GAJI!$X$5:$X$124,A65))</f>
        <v/>
      </c>
      <c r="X65" s="74" t="str">
        <f t="shared" si="9"/>
        <v/>
      </c>
      <c r="Y65" s="74" t="str">
        <f t="shared" si="10"/>
        <v/>
      </c>
      <c r="Z65" s="67" t="str">
        <f t="shared" si="11"/>
        <v/>
      </c>
    </row>
    <row r="66" spans="1:26">
      <c r="A66" s="46"/>
      <c r="B66" s="46"/>
      <c r="C66" s="6"/>
      <c r="D66" s="6"/>
      <c r="E66" s="10"/>
      <c r="F66" s="6"/>
      <c r="G66" s="72"/>
      <c r="H66" s="71" t="str">
        <f>IF(A66="","",SUMIFS(INVOICE_PIUTANG!$G$5:$G$151,INVOICE_PIUTANG!$D$5:$D$151,A66))</f>
        <v/>
      </c>
      <c r="I66" s="71" t="str">
        <f>IF(A66="","",SUMIFS(PEMASUKAN!$H$5:$H$204,PEMASUKAN!$D$5:$D$204,A66,PEMASUKAN!$M$5:$M$204,"Pendapatan Operasional"))</f>
        <v/>
      </c>
      <c r="J66" s="73" t="str">
        <f t="shared" si="6"/>
        <v/>
      </c>
      <c r="K66" s="73" t="str">
        <f>IF(A66="","",SUMIFS(SALDO_AWAL_2026!$F$33:$F$132,SALDO_AWAL_2026!$A$33:$A$132,A66)+SUMIFS(PENGELUARAN!$K$5:$K$204,PENGELUARAN!$D$5:$D$204,A66,PENGELUARAN!$L$5:$L$204,"Kantor"))</f>
        <v/>
      </c>
      <c r="L66" s="73" t="str">
        <f>IF(A66="","",SUMIFS(PENGELUARAN!$K$5:$K$204,PENGELUARAN!$D$5:$D$204,A66,PENGELUARAN!$L$5:$L$204,"Klien"))</f>
        <v/>
      </c>
      <c r="M66" s="73" t="str">
        <f>IF(A66="","",SUMIFS(PEMASUKAN!$H$5:$H$204,PEMASUKAN!$D$5:$D$204,A66,PEMASUKAN!$M$5:$M$204,"Penggantian Biaya"))</f>
        <v/>
      </c>
      <c r="N66" s="73" t="str">
        <f t="shared" si="7"/>
        <v/>
      </c>
      <c r="O66" s="69" t="str">
        <f t="shared" si="8"/>
        <v/>
      </c>
      <c r="P66" s="73" t="str">
        <f>IF(A66="","",SUMIFS(INVOICE_PIUTANG!$L$5:$L$151,INVOICE_PIUTANG!$D$5:$D$151,A66))</f>
        <v/>
      </c>
      <c r="Q66" s="10"/>
      <c r="R66" s="6"/>
      <c r="S66" s="64"/>
      <c r="T66" s="64"/>
      <c r="U66" s="64"/>
      <c r="V66" s="64"/>
      <c r="W66" s="74" t="str">
        <f>IF(A66="","",SUMIFS(SALDO_AWAL_2026!$G$33:$G$132,SALDO_AWAL_2026!$A$33:$A$132,A66)+SUMIFS(GAJI!$Q$5:$Q$124,GAJI!$X$5:$X$124,A66))</f>
        <v/>
      </c>
      <c r="X66" s="74" t="str">
        <f t="shared" si="9"/>
        <v/>
      </c>
      <c r="Y66" s="74" t="str">
        <f t="shared" si="10"/>
        <v/>
      </c>
      <c r="Z66" s="67" t="str">
        <f t="shared" si="11"/>
        <v/>
      </c>
    </row>
    <row r="67" spans="1:26">
      <c r="A67" s="46"/>
      <c r="B67" s="46"/>
      <c r="C67" s="6"/>
      <c r="D67" s="6"/>
      <c r="E67" s="10"/>
      <c r="F67" s="6"/>
      <c r="G67" s="72"/>
      <c r="H67" s="71" t="str">
        <f>IF(A67="","",SUMIFS(INVOICE_PIUTANG!$G$5:$G$151,INVOICE_PIUTANG!$D$5:$D$151,A67))</f>
        <v/>
      </c>
      <c r="I67" s="71" t="str">
        <f>IF(A67="","",SUMIFS(PEMASUKAN!$H$5:$H$204,PEMASUKAN!$D$5:$D$204,A67,PEMASUKAN!$M$5:$M$204,"Pendapatan Operasional"))</f>
        <v/>
      </c>
      <c r="J67" s="73" t="str">
        <f t="shared" si="6"/>
        <v/>
      </c>
      <c r="K67" s="73" t="str">
        <f>IF(A67="","",SUMIFS(SALDO_AWAL_2026!$F$33:$F$132,SALDO_AWAL_2026!$A$33:$A$132,A67)+SUMIFS(PENGELUARAN!$K$5:$K$204,PENGELUARAN!$D$5:$D$204,A67,PENGELUARAN!$L$5:$L$204,"Kantor"))</f>
        <v/>
      </c>
      <c r="L67" s="73" t="str">
        <f>IF(A67="","",SUMIFS(PENGELUARAN!$K$5:$K$204,PENGELUARAN!$D$5:$D$204,A67,PENGELUARAN!$L$5:$L$204,"Klien"))</f>
        <v/>
      </c>
      <c r="M67" s="73" t="str">
        <f>IF(A67="","",SUMIFS(PEMASUKAN!$H$5:$H$204,PEMASUKAN!$D$5:$D$204,A67,PEMASUKAN!$M$5:$M$204,"Penggantian Biaya"))</f>
        <v/>
      </c>
      <c r="N67" s="73" t="str">
        <f t="shared" si="7"/>
        <v/>
      </c>
      <c r="O67" s="69" t="str">
        <f t="shared" si="8"/>
        <v/>
      </c>
      <c r="P67" s="73" t="str">
        <f>IF(A67="","",SUMIFS(INVOICE_PIUTANG!$L$5:$L$151,INVOICE_PIUTANG!$D$5:$D$151,A67))</f>
        <v/>
      </c>
      <c r="Q67" s="10"/>
      <c r="R67" s="6"/>
      <c r="S67" s="64"/>
      <c r="T67" s="64"/>
      <c r="U67" s="64"/>
      <c r="V67" s="64"/>
      <c r="W67" s="74" t="str">
        <f>IF(A67="","",SUMIFS(SALDO_AWAL_2026!$G$33:$G$132,SALDO_AWAL_2026!$A$33:$A$132,A67)+SUMIFS(GAJI!$Q$5:$Q$124,GAJI!$X$5:$X$124,A67))</f>
        <v/>
      </c>
      <c r="X67" s="74" t="str">
        <f t="shared" si="9"/>
        <v/>
      </c>
      <c r="Y67" s="74" t="str">
        <f t="shared" si="10"/>
        <v/>
      </c>
      <c r="Z67" s="67" t="str">
        <f t="shared" si="11"/>
        <v/>
      </c>
    </row>
    <row r="68" spans="1:26">
      <c r="A68" s="46"/>
      <c r="B68" s="46"/>
      <c r="C68" s="6"/>
      <c r="D68" s="6"/>
      <c r="E68" s="10"/>
      <c r="F68" s="6"/>
      <c r="G68" s="72"/>
      <c r="H68" s="71" t="str">
        <f>IF(A68="","",SUMIFS(INVOICE_PIUTANG!$G$5:$G$151,INVOICE_PIUTANG!$D$5:$D$151,A68))</f>
        <v/>
      </c>
      <c r="I68" s="71" t="str">
        <f>IF(A68="","",SUMIFS(PEMASUKAN!$H$5:$H$204,PEMASUKAN!$D$5:$D$204,A68,PEMASUKAN!$M$5:$M$204,"Pendapatan Operasional"))</f>
        <v/>
      </c>
      <c r="J68" s="73" t="str">
        <f t="shared" si="6"/>
        <v/>
      </c>
      <c r="K68" s="73" t="str">
        <f>IF(A68="","",SUMIFS(SALDO_AWAL_2026!$F$33:$F$132,SALDO_AWAL_2026!$A$33:$A$132,A68)+SUMIFS(PENGELUARAN!$K$5:$K$204,PENGELUARAN!$D$5:$D$204,A68,PENGELUARAN!$L$5:$L$204,"Kantor"))</f>
        <v/>
      </c>
      <c r="L68" s="73" t="str">
        <f>IF(A68="","",SUMIFS(PENGELUARAN!$K$5:$K$204,PENGELUARAN!$D$5:$D$204,A68,PENGELUARAN!$L$5:$L$204,"Klien"))</f>
        <v/>
      </c>
      <c r="M68" s="73" t="str">
        <f>IF(A68="","",SUMIFS(PEMASUKAN!$H$5:$H$204,PEMASUKAN!$D$5:$D$204,A68,PEMASUKAN!$M$5:$M$204,"Penggantian Biaya"))</f>
        <v/>
      </c>
      <c r="N68" s="73" t="str">
        <f t="shared" si="7"/>
        <v/>
      </c>
      <c r="O68" s="69" t="str">
        <f t="shared" si="8"/>
        <v/>
      </c>
      <c r="P68" s="73" t="str">
        <f>IF(A68="","",SUMIFS(INVOICE_PIUTANG!$L$5:$L$151,INVOICE_PIUTANG!$D$5:$D$151,A68))</f>
        <v/>
      </c>
      <c r="Q68" s="10"/>
      <c r="R68" s="6"/>
      <c r="S68" s="64"/>
      <c r="T68" s="64"/>
      <c r="U68" s="64"/>
      <c r="V68" s="64"/>
      <c r="W68" s="74" t="str">
        <f>IF(A68="","",SUMIFS(SALDO_AWAL_2026!$G$33:$G$132,SALDO_AWAL_2026!$A$33:$A$132,A68)+SUMIFS(GAJI!$Q$5:$Q$124,GAJI!$X$5:$X$124,A68))</f>
        <v/>
      </c>
      <c r="X68" s="74" t="str">
        <f t="shared" si="9"/>
        <v/>
      </c>
      <c r="Y68" s="74" t="str">
        <f t="shared" si="10"/>
        <v/>
      </c>
      <c r="Z68" s="67" t="str">
        <f t="shared" si="11"/>
        <v/>
      </c>
    </row>
    <row r="69" spans="1:26">
      <c r="A69" s="46"/>
      <c r="B69" s="46"/>
      <c r="C69" s="6"/>
      <c r="D69" s="6"/>
      <c r="E69" s="10"/>
      <c r="F69" s="6"/>
      <c r="G69" s="72"/>
      <c r="H69" s="71" t="str">
        <f>IF(A69="","",SUMIFS(INVOICE_PIUTANG!$G$5:$G$151,INVOICE_PIUTANG!$D$5:$D$151,A69))</f>
        <v/>
      </c>
      <c r="I69" s="71" t="str">
        <f>IF(A69="","",SUMIFS(PEMASUKAN!$H$5:$H$204,PEMASUKAN!$D$5:$D$204,A69,PEMASUKAN!$M$5:$M$204,"Pendapatan Operasional"))</f>
        <v/>
      </c>
      <c r="J69" s="73" t="str">
        <f t="shared" ref="J69:J100" si="12">IF(A69="","",MAX(G69-I69,0))</f>
        <v/>
      </c>
      <c r="K69" s="73" t="str">
        <f>IF(A69="","",SUMIFS(SALDO_AWAL_2026!$F$33:$F$132,SALDO_AWAL_2026!$A$33:$A$132,A69)+SUMIFS(PENGELUARAN!$K$5:$K$204,PENGELUARAN!$D$5:$D$204,A69,PENGELUARAN!$L$5:$L$204,"Kantor"))</f>
        <v/>
      </c>
      <c r="L69" s="73" t="str">
        <f>IF(A69="","",SUMIFS(PENGELUARAN!$K$5:$K$204,PENGELUARAN!$D$5:$D$204,A69,PENGELUARAN!$L$5:$L$204,"Klien"))</f>
        <v/>
      </c>
      <c r="M69" s="73" t="str">
        <f>IF(A69="","",SUMIFS(PEMASUKAN!$H$5:$H$204,PEMASUKAN!$D$5:$D$204,A69,PEMASUKAN!$M$5:$M$204,"Penggantian Biaya"))</f>
        <v/>
      </c>
      <c r="N69" s="73" t="str">
        <f t="shared" ref="N69:N104" si="13">IF(A69="","",I69-K69)</f>
        <v/>
      </c>
      <c r="O69" s="69" t="str">
        <f t="shared" ref="O69:O100" si="14">IF(A69="","",IF(I69=0,0,N69/I69))</f>
        <v/>
      </c>
      <c r="P69" s="73" t="str">
        <f>IF(A69="","",SUMIFS(INVOICE_PIUTANG!$L$5:$L$151,INVOICE_PIUTANG!$D$5:$D$151,A69))</f>
        <v/>
      </c>
      <c r="Q69" s="10"/>
      <c r="R69" s="6"/>
      <c r="S69" s="64"/>
      <c r="T69" s="64"/>
      <c r="U69" s="64"/>
      <c r="V69" s="64"/>
      <c r="W69" s="74" t="str">
        <f>IF(A69="","",SUMIFS(SALDO_AWAL_2026!$G$33:$G$132,SALDO_AWAL_2026!$A$33:$A$132,A69)+SUMIFS(GAJI!$Q$5:$Q$124,GAJI!$X$5:$X$124,A69))</f>
        <v/>
      </c>
      <c r="X69" s="74" t="str">
        <f t="shared" ref="X69:X100" si="15">IF(A69="","",N69-W69)</f>
        <v/>
      </c>
      <c r="Y69" s="74" t="str">
        <f t="shared" ref="Y69:Y104" si="16">IF(A69="","",MAX(G69-H69,0))</f>
        <v/>
      </c>
      <c r="Z69" s="67" t="str">
        <f t="shared" ref="Z69:Z104" si="17">IF(A69="","",IF(COUNTIF($A$5:$A$104,A69)&gt;1,"ID PERKARA DUPLIKAT",IF(B69="","NAMA KLIEN BELUM DIISI",IF(D69="","PIC PARTNER BELUM DIISI","OK"))))</f>
        <v/>
      </c>
    </row>
    <row r="70" spans="1:26">
      <c r="A70" s="46"/>
      <c r="B70" s="46"/>
      <c r="C70" s="6"/>
      <c r="D70" s="6"/>
      <c r="E70" s="10"/>
      <c r="F70" s="6"/>
      <c r="G70" s="72"/>
      <c r="H70" s="71" t="str">
        <f>IF(A70="","",SUMIFS(INVOICE_PIUTANG!$G$5:$G$151,INVOICE_PIUTANG!$D$5:$D$151,A70))</f>
        <v/>
      </c>
      <c r="I70" s="71" t="str">
        <f>IF(A70="","",SUMIFS(PEMASUKAN!$H$5:$H$204,PEMASUKAN!$D$5:$D$204,A70,PEMASUKAN!$M$5:$M$204,"Pendapatan Operasional"))</f>
        <v/>
      </c>
      <c r="J70" s="73" t="str">
        <f t="shared" si="12"/>
        <v/>
      </c>
      <c r="K70" s="73" t="str">
        <f>IF(A70="","",SUMIFS(SALDO_AWAL_2026!$F$33:$F$132,SALDO_AWAL_2026!$A$33:$A$132,A70)+SUMIFS(PENGELUARAN!$K$5:$K$204,PENGELUARAN!$D$5:$D$204,A70,PENGELUARAN!$L$5:$L$204,"Kantor"))</f>
        <v/>
      </c>
      <c r="L70" s="73" t="str">
        <f>IF(A70="","",SUMIFS(PENGELUARAN!$K$5:$K$204,PENGELUARAN!$D$5:$D$204,A70,PENGELUARAN!$L$5:$L$204,"Klien"))</f>
        <v/>
      </c>
      <c r="M70" s="73" t="str">
        <f>IF(A70="","",SUMIFS(PEMASUKAN!$H$5:$H$204,PEMASUKAN!$D$5:$D$204,A70,PEMASUKAN!$M$5:$M$204,"Penggantian Biaya"))</f>
        <v/>
      </c>
      <c r="N70" s="73" t="str">
        <f t="shared" si="13"/>
        <v/>
      </c>
      <c r="O70" s="69" t="str">
        <f t="shared" si="14"/>
        <v/>
      </c>
      <c r="P70" s="73" t="str">
        <f>IF(A70="","",SUMIFS(INVOICE_PIUTANG!$L$5:$L$151,INVOICE_PIUTANG!$D$5:$D$151,A70))</f>
        <v/>
      </c>
      <c r="Q70" s="10"/>
      <c r="R70" s="6"/>
      <c r="S70" s="64"/>
      <c r="T70" s="64"/>
      <c r="U70" s="64"/>
      <c r="V70" s="64"/>
      <c r="W70" s="74" t="str">
        <f>IF(A70="","",SUMIFS(SALDO_AWAL_2026!$G$33:$G$132,SALDO_AWAL_2026!$A$33:$A$132,A70)+SUMIFS(GAJI!$Q$5:$Q$124,GAJI!$X$5:$X$124,A70))</f>
        <v/>
      </c>
      <c r="X70" s="74" t="str">
        <f t="shared" si="15"/>
        <v/>
      </c>
      <c r="Y70" s="74" t="str">
        <f t="shared" si="16"/>
        <v/>
      </c>
      <c r="Z70" s="67" t="str">
        <f t="shared" si="17"/>
        <v/>
      </c>
    </row>
    <row r="71" spans="1:26">
      <c r="A71" s="46"/>
      <c r="B71" s="46"/>
      <c r="C71" s="6"/>
      <c r="D71" s="6"/>
      <c r="E71" s="10"/>
      <c r="F71" s="6"/>
      <c r="G71" s="72"/>
      <c r="H71" s="71" t="str">
        <f>IF(A71="","",SUMIFS(INVOICE_PIUTANG!$G$5:$G$151,INVOICE_PIUTANG!$D$5:$D$151,A71))</f>
        <v/>
      </c>
      <c r="I71" s="71" t="str">
        <f>IF(A71="","",SUMIFS(PEMASUKAN!$H$5:$H$204,PEMASUKAN!$D$5:$D$204,A71,PEMASUKAN!$M$5:$M$204,"Pendapatan Operasional"))</f>
        <v/>
      </c>
      <c r="J71" s="73" t="str">
        <f t="shared" si="12"/>
        <v/>
      </c>
      <c r="K71" s="73" t="str">
        <f>IF(A71="","",SUMIFS(SALDO_AWAL_2026!$F$33:$F$132,SALDO_AWAL_2026!$A$33:$A$132,A71)+SUMIFS(PENGELUARAN!$K$5:$K$204,PENGELUARAN!$D$5:$D$204,A71,PENGELUARAN!$L$5:$L$204,"Kantor"))</f>
        <v/>
      </c>
      <c r="L71" s="73" t="str">
        <f>IF(A71="","",SUMIFS(PENGELUARAN!$K$5:$K$204,PENGELUARAN!$D$5:$D$204,A71,PENGELUARAN!$L$5:$L$204,"Klien"))</f>
        <v/>
      </c>
      <c r="M71" s="73" t="str">
        <f>IF(A71="","",SUMIFS(PEMASUKAN!$H$5:$H$204,PEMASUKAN!$D$5:$D$204,A71,PEMASUKAN!$M$5:$M$204,"Penggantian Biaya"))</f>
        <v/>
      </c>
      <c r="N71" s="73" t="str">
        <f t="shared" si="13"/>
        <v/>
      </c>
      <c r="O71" s="69" t="str">
        <f t="shared" si="14"/>
        <v/>
      </c>
      <c r="P71" s="73" t="str">
        <f>IF(A71="","",SUMIFS(INVOICE_PIUTANG!$L$5:$L$151,INVOICE_PIUTANG!$D$5:$D$151,A71))</f>
        <v/>
      </c>
      <c r="Q71" s="10"/>
      <c r="R71" s="6"/>
      <c r="S71" s="64"/>
      <c r="T71" s="64"/>
      <c r="U71" s="64"/>
      <c r="V71" s="64"/>
      <c r="W71" s="74" t="str">
        <f>IF(A71="","",SUMIFS(SALDO_AWAL_2026!$G$33:$G$132,SALDO_AWAL_2026!$A$33:$A$132,A71)+SUMIFS(GAJI!$Q$5:$Q$124,GAJI!$X$5:$X$124,A71))</f>
        <v/>
      </c>
      <c r="X71" s="74" t="str">
        <f t="shared" si="15"/>
        <v/>
      </c>
      <c r="Y71" s="74" t="str">
        <f t="shared" si="16"/>
        <v/>
      </c>
      <c r="Z71" s="67" t="str">
        <f t="shared" si="17"/>
        <v/>
      </c>
    </row>
    <row r="72" spans="1:26">
      <c r="A72" s="46"/>
      <c r="B72" s="46"/>
      <c r="C72" s="6"/>
      <c r="D72" s="6"/>
      <c r="E72" s="10"/>
      <c r="F72" s="6"/>
      <c r="G72" s="72"/>
      <c r="H72" s="71" t="str">
        <f>IF(A72="","",SUMIFS(INVOICE_PIUTANG!$G$5:$G$151,INVOICE_PIUTANG!$D$5:$D$151,A72))</f>
        <v/>
      </c>
      <c r="I72" s="71" t="str">
        <f>IF(A72="","",SUMIFS(PEMASUKAN!$H$5:$H$204,PEMASUKAN!$D$5:$D$204,A72,PEMASUKAN!$M$5:$M$204,"Pendapatan Operasional"))</f>
        <v/>
      </c>
      <c r="J72" s="73" t="str">
        <f t="shared" si="12"/>
        <v/>
      </c>
      <c r="K72" s="73" t="str">
        <f>IF(A72="","",SUMIFS(SALDO_AWAL_2026!$F$33:$F$132,SALDO_AWAL_2026!$A$33:$A$132,A72)+SUMIFS(PENGELUARAN!$K$5:$K$204,PENGELUARAN!$D$5:$D$204,A72,PENGELUARAN!$L$5:$L$204,"Kantor"))</f>
        <v/>
      </c>
      <c r="L72" s="73" t="str">
        <f>IF(A72="","",SUMIFS(PENGELUARAN!$K$5:$K$204,PENGELUARAN!$D$5:$D$204,A72,PENGELUARAN!$L$5:$L$204,"Klien"))</f>
        <v/>
      </c>
      <c r="M72" s="73" t="str">
        <f>IF(A72="","",SUMIFS(PEMASUKAN!$H$5:$H$204,PEMASUKAN!$D$5:$D$204,A72,PEMASUKAN!$M$5:$M$204,"Penggantian Biaya"))</f>
        <v/>
      </c>
      <c r="N72" s="73" t="str">
        <f t="shared" si="13"/>
        <v/>
      </c>
      <c r="O72" s="69" t="str">
        <f t="shared" si="14"/>
        <v/>
      </c>
      <c r="P72" s="73" t="str">
        <f>IF(A72="","",SUMIFS(INVOICE_PIUTANG!$L$5:$L$151,INVOICE_PIUTANG!$D$5:$D$151,A72))</f>
        <v/>
      </c>
      <c r="Q72" s="10"/>
      <c r="R72" s="6"/>
      <c r="S72" s="64"/>
      <c r="T72" s="64"/>
      <c r="U72" s="64"/>
      <c r="V72" s="64"/>
      <c r="W72" s="74" t="str">
        <f>IF(A72="","",SUMIFS(SALDO_AWAL_2026!$G$33:$G$132,SALDO_AWAL_2026!$A$33:$A$132,A72)+SUMIFS(GAJI!$Q$5:$Q$124,GAJI!$X$5:$X$124,A72))</f>
        <v/>
      </c>
      <c r="X72" s="74" t="str">
        <f t="shared" si="15"/>
        <v/>
      </c>
      <c r="Y72" s="74" t="str">
        <f t="shared" si="16"/>
        <v/>
      </c>
      <c r="Z72" s="67" t="str">
        <f t="shared" si="17"/>
        <v/>
      </c>
    </row>
    <row r="73" spans="1:26">
      <c r="A73" s="46"/>
      <c r="B73" s="46"/>
      <c r="C73" s="6"/>
      <c r="D73" s="6"/>
      <c r="E73" s="10"/>
      <c r="F73" s="6"/>
      <c r="G73" s="72"/>
      <c r="H73" s="71" t="str">
        <f>IF(A73="","",SUMIFS(INVOICE_PIUTANG!$G$5:$G$151,INVOICE_PIUTANG!$D$5:$D$151,A73))</f>
        <v/>
      </c>
      <c r="I73" s="71" t="str">
        <f>IF(A73="","",SUMIFS(PEMASUKAN!$H$5:$H$204,PEMASUKAN!$D$5:$D$204,A73,PEMASUKAN!$M$5:$M$204,"Pendapatan Operasional"))</f>
        <v/>
      </c>
      <c r="J73" s="73" t="str">
        <f t="shared" si="12"/>
        <v/>
      </c>
      <c r="K73" s="73" t="str">
        <f>IF(A73="","",SUMIFS(SALDO_AWAL_2026!$F$33:$F$132,SALDO_AWAL_2026!$A$33:$A$132,A73)+SUMIFS(PENGELUARAN!$K$5:$K$204,PENGELUARAN!$D$5:$D$204,A73,PENGELUARAN!$L$5:$L$204,"Kantor"))</f>
        <v/>
      </c>
      <c r="L73" s="73" t="str">
        <f>IF(A73="","",SUMIFS(PENGELUARAN!$K$5:$K$204,PENGELUARAN!$D$5:$D$204,A73,PENGELUARAN!$L$5:$L$204,"Klien"))</f>
        <v/>
      </c>
      <c r="M73" s="73" t="str">
        <f>IF(A73="","",SUMIFS(PEMASUKAN!$H$5:$H$204,PEMASUKAN!$D$5:$D$204,A73,PEMASUKAN!$M$5:$M$204,"Penggantian Biaya"))</f>
        <v/>
      </c>
      <c r="N73" s="73" t="str">
        <f t="shared" si="13"/>
        <v/>
      </c>
      <c r="O73" s="69" t="str">
        <f t="shared" si="14"/>
        <v/>
      </c>
      <c r="P73" s="73" t="str">
        <f>IF(A73="","",SUMIFS(INVOICE_PIUTANG!$L$5:$L$151,INVOICE_PIUTANG!$D$5:$D$151,A73))</f>
        <v/>
      </c>
      <c r="Q73" s="10"/>
      <c r="R73" s="6"/>
      <c r="S73" s="64"/>
      <c r="T73" s="64"/>
      <c r="U73" s="64"/>
      <c r="V73" s="64"/>
      <c r="W73" s="74" t="str">
        <f>IF(A73="","",SUMIFS(SALDO_AWAL_2026!$G$33:$G$132,SALDO_AWAL_2026!$A$33:$A$132,A73)+SUMIFS(GAJI!$Q$5:$Q$124,GAJI!$X$5:$X$124,A73))</f>
        <v/>
      </c>
      <c r="X73" s="74" t="str">
        <f t="shared" si="15"/>
        <v/>
      </c>
      <c r="Y73" s="74" t="str">
        <f t="shared" si="16"/>
        <v/>
      </c>
      <c r="Z73" s="67" t="str">
        <f t="shared" si="17"/>
        <v/>
      </c>
    </row>
    <row r="74" spans="1:26">
      <c r="A74" s="46"/>
      <c r="B74" s="46"/>
      <c r="C74" s="6"/>
      <c r="D74" s="6"/>
      <c r="E74" s="10"/>
      <c r="F74" s="6"/>
      <c r="G74" s="72"/>
      <c r="H74" s="71" t="str">
        <f>IF(A74="","",SUMIFS(INVOICE_PIUTANG!$G$5:$G$151,INVOICE_PIUTANG!$D$5:$D$151,A74))</f>
        <v/>
      </c>
      <c r="I74" s="71" t="str">
        <f>IF(A74="","",SUMIFS(PEMASUKAN!$H$5:$H$204,PEMASUKAN!$D$5:$D$204,A74,PEMASUKAN!$M$5:$M$204,"Pendapatan Operasional"))</f>
        <v/>
      </c>
      <c r="J74" s="73" t="str">
        <f t="shared" si="12"/>
        <v/>
      </c>
      <c r="K74" s="73" t="str">
        <f>IF(A74="","",SUMIFS(SALDO_AWAL_2026!$F$33:$F$132,SALDO_AWAL_2026!$A$33:$A$132,A74)+SUMIFS(PENGELUARAN!$K$5:$K$204,PENGELUARAN!$D$5:$D$204,A74,PENGELUARAN!$L$5:$L$204,"Kantor"))</f>
        <v/>
      </c>
      <c r="L74" s="73" t="str">
        <f>IF(A74="","",SUMIFS(PENGELUARAN!$K$5:$K$204,PENGELUARAN!$D$5:$D$204,A74,PENGELUARAN!$L$5:$L$204,"Klien"))</f>
        <v/>
      </c>
      <c r="M74" s="73" t="str">
        <f>IF(A74="","",SUMIFS(PEMASUKAN!$H$5:$H$204,PEMASUKAN!$D$5:$D$204,A74,PEMASUKAN!$M$5:$M$204,"Penggantian Biaya"))</f>
        <v/>
      </c>
      <c r="N74" s="73" t="str">
        <f t="shared" si="13"/>
        <v/>
      </c>
      <c r="O74" s="69" t="str">
        <f t="shared" si="14"/>
        <v/>
      </c>
      <c r="P74" s="73" t="str">
        <f>IF(A74="","",SUMIFS(INVOICE_PIUTANG!$L$5:$L$151,INVOICE_PIUTANG!$D$5:$D$151,A74))</f>
        <v/>
      </c>
      <c r="Q74" s="10"/>
      <c r="R74" s="6"/>
      <c r="S74" s="64"/>
      <c r="T74" s="64"/>
      <c r="U74" s="64"/>
      <c r="V74" s="64"/>
      <c r="W74" s="74" t="str">
        <f>IF(A74="","",SUMIFS(SALDO_AWAL_2026!$G$33:$G$132,SALDO_AWAL_2026!$A$33:$A$132,A74)+SUMIFS(GAJI!$Q$5:$Q$124,GAJI!$X$5:$X$124,A74))</f>
        <v/>
      </c>
      <c r="X74" s="74" t="str">
        <f t="shared" si="15"/>
        <v/>
      </c>
      <c r="Y74" s="74" t="str">
        <f t="shared" si="16"/>
        <v/>
      </c>
      <c r="Z74" s="67" t="str">
        <f t="shared" si="17"/>
        <v/>
      </c>
    </row>
    <row r="75" spans="1:26">
      <c r="A75" s="46"/>
      <c r="B75" s="46"/>
      <c r="C75" s="6"/>
      <c r="D75" s="6"/>
      <c r="E75" s="10"/>
      <c r="F75" s="6"/>
      <c r="G75" s="72"/>
      <c r="H75" s="71" t="str">
        <f>IF(A75="","",SUMIFS(INVOICE_PIUTANG!$G$5:$G$151,INVOICE_PIUTANG!$D$5:$D$151,A75))</f>
        <v/>
      </c>
      <c r="I75" s="71" t="str">
        <f>IF(A75="","",SUMIFS(PEMASUKAN!$H$5:$H$204,PEMASUKAN!$D$5:$D$204,A75,PEMASUKAN!$M$5:$M$204,"Pendapatan Operasional"))</f>
        <v/>
      </c>
      <c r="J75" s="73" t="str">
        <f t="shared" si="12"/>
        <v/>
      </c>
      <c r="K75" s="73" t="str">
        <f>IF(A75="","",SUMIFS(SALDO_AWAL_2026!$F$33:$F$132,SALDO_AWAL_2026!$A$33:$A$132,A75)+SUMIFS(PENGELUARAN!$K$5:$K$204,PENGELUARAN!$D$5:$D$204,A75,PENGELUARAN!$L$5:$L$204,"Kantor"))</f>
        <v/>
      </c>
      <c r="L75" s="73" t="str">
        <f>IF(A75="","",SUMIFS(PENGELUARAN!$K$5:$K$204,PENGELUARAN!$D$5:$D$204,A75,PENGELUARAN!$L$5:$L$204,"Klien"))</f>
        <v/>
      </c>
      <c r="M75" s="73" t="str">
        <f>IF(A75="","",SUMIFS(PEMASUKAN!$H$5:$H$204,PEMASUKAN!$D$5:$D$204,A75,PEMASUKAN!$M$5:$M$204,"Penggantian Biaya"))</f>
        <v/>
      </c>
      <c r="N75" s="73" t="str">
        <f t="shared" si="13"/>
        <v/>
      </c>
      <c r="O75" s="69" t="str">
        <f t="shared" si="14"/>
        <v/>
      </c>
      <c r="P75" s="73" t="str">
        <f>IF(A75="","",SUMIFS(INVOICE_PIUTANG!$L$5:$L$151,INVOICE_PIUTANG!$D$5:$D$151,A75))</f>
        <v/>
      </c>
      <c r="Q75" s="10"/>
      <c r="R75" s="6"/>
      <c r="S75" s="64"/>
      <c r="T75" s="64"/>
      <c r="U75" s="64"/>
      <c r="V75" s="64"/>
      <c r="W75" s="74" t="str">
        <f>IF(A75="","",SUMIFS(SALDO_AWAL_2026!$G$33:$G$132,SALDO_AWAL_2026!$A$33:$A$132,A75)+SUMIFS(GAJI!$Q$5:$Q$124,GAJI!$X$5:$X$124,A75))</f>
        <v/>
      </c>
      <c r="X75" s="74" t="str">
        <f t="shared" si="15"/>
        <v/>
      </c>
      <c r="Y75" s="74" t="str">
        <f t="shared" si="16"/>
        <v/>
      </c>
      <c r="Z75" s="67" t="str">
        <f t="shared" si="17"/>
        <v/>
      </c>
    </row>
    <row r="76" spans="1:26">
      <c r="A76" s="46"/>
      <c r="B76" s="46"/>
      <c r="C76" s="6"/>
      <c r="D76" s="6"/>
      <c r="E76" s="10"/>
      <c r="F76" s="6"/>
      <c r="G76" s="72"/>
      <c r="H76" s="71" t="str">
        <f>IF(A76="","",SUMIFS(INVOICE_PIUTANG!$G$5:$G$151,INVOICE_PIUTANG!$D$5:$D$151,A76))</f>
        <v/>
      </c>
      <c r="I76" s="71" t="str">
        <f>IF(A76="","",SUMIFS(PEMASUKAN!$H$5:$H$204,PEMASUKAN!$D$5:$D$204,A76,PEMASUKAN!$M$5:$M$204,"Pendapatan Operasional"))</f>
        <v/>
      </c>
      <c r="J76" s="73" t="str">
        <f t="shared" si="12"/>
        <v/>
      </c>
      <c r="K76" s="73" t="str">
        <f>IF(A76="","",SUMIFS(SALDO_AWAL_2026!$F$33:$F$132,SALDO_AWAL_2026!$A$33:$A$132,A76)+SUMIFS(PENGELUARAN!$K$5:$K$204,PENGELUARAN!$D$5:$D$204,A76,PENGELUARAN!$L$5:$L$204,"Kantor"))</f>
        <v/>
      </c>
      <c r="L76" s="73" t="str">
        <f>IF(A76="","",SUMIFS(PENGELUARAN!$K$5:$K$204,PENGELUARAN!$D$5:$D$204,A76,PENGELUARAN!$L$5:$L$204,"Klien"))</f>
        <v/>
      </c>
      <c r="M76" s="73" t="str">
        <f>IF(A76="","",SUMIFS(PEMASUKAN!$H$5:$H$204,PEMASUKAN!$D$5:$D$204,A76,PEMASUKAN!$M$5:$M$204,"Penggantian Biaya"))</f>
        <v/>
      </c>
      <c r="N76" s="73" t="str">
        <f t="shared" si="13"/>
        <v/>
      </c>
      <c r="O76" s="69" t="str">
        <f t="shared" si="14"/>
        <v/>
      </c>
      <c r="P76" s="73" t="str">
        <f>IF(A76="","",SUMIFS(INVOICE_PIUTANG!$L$5:$L$151,INVOICE_PIUTANG!$D$5:$D$151,A76))</f>
        <v/>
      </c>
      <c r="Q76" s="10"/>
      <c r="R76" s="6"/>
      <c r="S76" s="64"/>
      <c r="T76" s="64"/>
      <c r="U76" s="64"/>
      <c r="V76" s="64"/>
      <c r="W76" s="74" t="str">
        <f>IF(A76="","",SUMIFS(SALDO_AWAL_2026!$G$33:$G$132,SALDO_AWAL_2026!$A$33:$A$132,A76)+SUMIFS(GAJI!$Q$5:$Q$124,GAJI!$X$5:$X$124,A76))</f>
        <v/>
      </c>
      <c r="X76" s="74" t="str">
        <f t="shared" si="15"/>
        <v/>
      </c>
      <c r="Y76" s="74" t="str">
        <f t="shared" si="16"/>
        <v/>
      </c>
      <c r="Z76" s="67" t="str">
        <f t="shared" si="17"/>
        <v/>
      </c>
    </row>
    <row r="77" spans="1:26">
      <c r="A77" s="46"/>
      <c r="B77" s="46"/>
      <c r="C77" s="6"/>
      <c r="D77" s="6"/>
      <c r="E77" s="10"/>
      <c r="F77" s="6"/>
      <c r="G77" s="72"/>
      <c r="H77" s="71" t="str">
        <f>IF(A77="","",SUMIFS(INVOICE_PIUTANG!$G$5:$G$151,INVOICE_PIUTANG!$D$5:$D$151,A77))</f>
        <v/>
      </c>
      <c r="I77" s="71" t="str">
        <f>IF(A77="","",SUMIFS(PEMASUKAN!$H$5:$H$204,PEMASUKAN!$D$5:$D$204,A77,PEMASUKAN!$M$5:$M$204,"Pendapatan Operasional"))</f>
        <v/>
      </c>
      <c r="J77" s="73" t="str">
        <f t="shared" si="12"/>
        <v/>
      </c>
      <c r="K77" s="73" t="str">
        <f>IF(A77="","",SUMIFS(SALDO_AWAL_2026!$F$33:$F$132,SALDO_AWAL_2026!$A$33:$A$132,A77)+SUMIFS(PENGELUARAN!$K$5:$K$204,PENGELUARAN!$D$5:$D$204,A77,PENGELUARAN!$L$5:$L$204,"Kantor"))</f>
        <v/>
      </c>
      <c r="L77" s="73" t="str">
        <f>IF(A77="","",SUMIFS(PENGELUARAN!$K$5:$K$204,PENGELUARAN!$D$5:$D$204,A77,PENGELUARAN!$L$5:$L$204,"Klien"))</f>
        <v/>
      </c>
      <c r="M77" s="73" t="str">
        <f>IF(A77="","",SUMIFS(PEMASUKAN!$H$5:$H$204,PEMASUKAN!$D$5:$D$204,A77,PEMASUKAN!$M$5:$M$204,"Penggantian Biaya"))</f>
        <v/>
      </c>
      <c r="N77" s="73" t="str">
        <f t="shared" si="13"/>
        <v/>
      </c>
      <c r="O77" s="69" t="str">
        <f t="shared" si="14"/>
        <v/>
      </c>
      <c r="P77" s="73" t="str">
        <f>IF(A77="","",SUMIFS(INVOICE_PIUTANG!$L$5:$L$151,INVOICE_PIUTANG!$D$5:$D$151,A77))</f>
        <v/>
      </c>
      <c r="Q77" s="10"/>
      <c r="R77" s="6"/>
      <c r="S77" s="64"/>
      <c r="T77" s="64"/>
      <c r="U77" s="64"/>
      <c r="V77" s="64"/>
      <c r="W77" s="74" t="str">
        <f>IF(A77="","",SUMIFS(SALDO_AWAL_2026!$G$33:$G$132,SALDO_AWAL_2026!$A$33:$A$132,A77)+SUMIFS(GAJI!$Q$5:$Q$124,GAJI!$X$5:$X$124,A77))</f>
        <v/>
      </c>
      <c r="X77" s="74" t="str">
        <f t="shared" si="15"/>
        <v/>
      </c>
      <c r="Y77" s="74" t="str">
        <f t="shared" si="16"/>
        <v/>
      </c>
      <c r="Z77" s="67" t="str">
        <f t="shared" si="17"/>
        <v/>
      </c>
    </row>
    <row r="78" spans="1:26">
      <c r="A78" s="46"/>
      <c r="B78" s="46"/>
      <c r="C78" s="6"/>
      <c r="D78" s="6"/>
      <c r="E78" s="10"/>
      <c r="F78" s="6"/>
      <c r="G78" s="72"/>
      <c r="H78" s="71" t="str">
        <f>IF(A78="","",SUMIFS(INVOICE_PIUTANG!$G$5:$G$151,INVOICE_PIUTANG!$D$5:$D$151,A78))</f>
        <v/>
      </c>
      <c r="I78" s="71" t="str">
        <f>IF(A78="","",SUMIFS(PEMASUKAN!$H$5:$H$204,PEMASUKAN!$D$5:$D$204,A78,PEMASUKAN!$M$5:$M$204,"Pendapatan Operasional"))</f>
        <v/>
      </c>
      <c r="J78" s="73" t="str">
        <f t="shared" si="12"/>
        <v/>
      </c>
      <c r="K78" s="73" t="str">
        <f>IF(A78="","",SUMIFS(SALDO_AWAL_2026!$F$33:$F$132,SALDO_AWAL_2026!$A$33:$A$132,A78)+SUMIFS(PENGELUARAN!$K$5:$K$204,PENGELUARAN!$D$5:$D$204,A78,PENGELUARAN!$L$5:$L$204,"Kantor"))</f>
        <v/>
      </c>
      <c r="L78" s="73" t="str">
        <f>IF(A78="","",SUMIFS(PENGELUARAN!$K$5:$K$204,PENGELUARAN!$D$5:$D$204,A78,PENGELUARAN!$L$5:$L$204,"Klien"))</f>
        <v/>
      </c>
      <c r="M78" s="73" t="str">
        <f>IF(A78="","",SUMIFS(PEMASUKAN!$H$5:$H$204,PEMASUKAN!$D$5:$D$204,A78,PEMASUKAN!$M$5:$M$204,"Penggantian Biaya"))</f>
        <v/>
      </c>
      <c r="N78" s="73" t="str">
        <f t="shared" si="13"/>
        <v/>
      </c>
      <c r="O78" s="69" t="str">
        <f t="shared" si="14"/>
        <v/>
      </c>
      <c r="P78" s="73" t="str">
        <f>IF(A78="","",SUMIFS(INVOICE_PIUTANG!$L$5:$L$151,INVOICE_PIUTANG!$D$5:$D$151,A78))</f>
        <v/>
      </c>
      <c r="Q78" s="10"/>
      <c r="R78" s="6"/>
      <c r="S78" s="64"/>
      <c r="T78" s="64"/>
      <c r="U78" s="64"/>
      <c r="V78" s="64"/>
      <c r="W78" s="74" t="str">
        <f>IF(A78="","",SUMIFS(SALDO_AWAL_2026!$G$33:$G$132,SALDO_AWAL_2026!$A$33:$A$132,A78)+SUMIFS(GAJI!$Q$5:$Q$124,GAJI!$X$5:$X$124,A78))</f>
        <v/>
      </c>
      <c r="X78" s="74" t="str">
        <f t="shared" si="15"/>
        <v/>
      </c>
      <c r="Y78" s="74" t="str">
        <f t="shared" si="16"/>
        <v/>
      </c>
      <c r="Z78" s="67" t="str">
        <f t="shared" si="17"/>
        <v/>
      </c>
    </row>
    <row r="79" spans="1:26">
      <c r="A79" s="46"/>
      <c r="B79" s="46"/>
      <c r="C79" s="6"/>
      <c r="D79" s="6"/>
      <c r="E79" s="10"/>
      <c r="F79" s="6"/>
      <c r="G79" s="72"/>
      <c r="H79" s="71" t="str">
        <f>IF(A79="","",SUMIFS(INVOICE_PIUTANG!$G$5:$G$151,INVOICE_PIUTANG!$D$5:$D$151,A79))</f>
        <v/>
      </c>
      <c r="I79" s="71" t="str">
        <f>IF(A79="","",SUMIFS(PEMASUKAN!$H$5:$H$204,PEMASUKAN!$D$5:$D$204,A79,PEMASUKAN!$M$5:$M$204,"Pendapatan Operasional"))</f>
        <v/>
      </c>
      <c r="J79" s="73" t="str">
        <f t="shared" si="12"/>
        <v/>
      </c>
      <c r="K79" s="73" t="str">
        <f>IF(A79="","",SUMIFS(SALDO_AWAL_2026!$F$33:$F$132,SALDO_AWAL_2026!$A$33:$A$132,A79)+SUMIFS(PENGELUARAN!$K$5:$K$204,PENGELUARAN!$D$5:$D$204,A79,PENGELUARAN!$L$5:$L$204,"Kantor"))</f>
        <v/>
      </c>
      <c r="L79" s="73" t="str">
        <f>IF(A79="","",SUMIFS(PENGELUARAN!$K$5:$K$204,PENGELUARAN!$D$5:$D$204,A79,PENGELUARAN!$L$5:$L$204,"Klien"))</f>
        <v/>
      </c>
      <c r="M79" s="73" t="str">
        <f>IF(A79="","",SUMIFS(PEMASUKAN!$H$5:$H$204,PEMASUKAN!$D$5:$D$204,A79,PEMASUKAN!$M$5:$M$204,"Penggantian Biaya"))</f>
        <v/>
      </c>
      <c r="N79" s="73" t="str">
        <f t="shared" si="13"/>
        <v/>
      </c>
      <c r="O79" s="69" t="str">
        <f t="shared" si="14"/>
        <v/>
      </c>
      <c r="P79" s="73" t="str">
        <f>IF(A79="","",SUMIFS(INVOICE_PIUTANG!$L$5:$L$151,INVOICE_PIUTANG!$D$5:$D$151,A79))</f>
        <v/>
      </c>
      <c r="Q79" s="10"/>
      <c r="R79" s="6"/>
      <c r="S79" s="64"/>
      <c r="T79" s="64"/>
      <c r="U79" s="64"/>
      <c r="V79" s="64"/>
      <c r="W79" s="74" t="str">
        <f>IF(A79="","",SUMIFS(SALDO_AWAL_2026!$G$33:$G$132,SALDO_AWAL_2026!$A$33:$A$132,A79)+SUMIFS(GAJI!$Q$5:$Q$124,GAJI!$X$5:$X$124,A79))</f>
        <v/>
      </c>
      <c r="X79" s="74" t="str">
        <f t="shared" si="15"/>
        <v/>
      </c>
      <c r="Y79" s="74" t="str">
        <f t="shared" si="16"/>
        <v/>
      </c>
      <c r="Z79" s="67" t="str">
        <f t="shared" si="17"/>
        <v/>
      </c>
    </row>
    <row r="80" spans="1:26">
      <c r="A80" s="46"/>
      <c r="B80" s="46"/>
      <c r="C80" s="6"/>
      <c r="D80" s="6"/>
      <c r="E80" s="10"/>
      <c r="F80" s="6"/>
      <c r="G80" s="72"/>
      <c r="H80" s="71" t="str">
        <f>IF(A80="","",SUMIFS(INVOICE_PIUTANG!$G$5:$G$151,INVOICE_PIUTANG!$D$5:$D$151,A80))</f>
        <v/>
      </c>
      <c r="I80" s="71" t="str">
        <f>IF(A80="","",SUMIFS(PEMASUKAN!$H$5:$H$204,PEMASUKAN!$D$5:$D$204,A80,PEMASUKAN!$M$5:$M$204,"Pendapatan Operasional"))</f>
        <v/>
      </c>
      <c r="J80" s="73" t="str">
        <f t="shared" si="12"/>
        <v/>
      </c>
      <c r="K80" s="73" t="str">
        <f>IF(A80="","",SUMIFS(SALDO_AWAL_2026!$F$33:$F$132,SALDO_AWAL_2026!$A$33:$A$132,A80)+SUMIFS(PENGELUARAN!$K$5:$K$204,PENGELUARAN!$D$5:$D$204,A80,PENGELUARAN!$L$5:$L$204,"Kantor"))</f>
        <v/>
      </c>
      <c r="L80" s="73" t="str">
        <f>IF(A80="","",SUMIFS(PENGELUARAN!$K$5:$K$204,PENGELUARAN!$D$5:$D$204,A80,PENGELUARAN!$L$5:$L$204,"Klien"))</f>
        <v/>
      </c>
      <c r="M80" s="73" t="str">
        <f>IF(A80="","",SUMIFS(PEMASUKAN!$H$5:$H$204,PEMASUKAN!$D$5:$D$204,A80,PEMASUKAN!$M$5:$M$204,"Penggantian Biaya"))</f>
        <v/>
      </c>
      <c r="N80" s="73" t="str">
        <f t="shared" si="13"/>
        <v/>
      </c>
      <c r="O80" s="69" t="str">
        <f t="shared" si="14"/>
        <v/>
      </c>
      <c r="P80" s="73" t="str">
        <f>IF(A80="","",SUMIFS(INVOICE_PIUTANG!$L$5:$L$151,INVOICE_PIUTANG!$D$5:$D$151,A80))</f>
        <v/>
      </c>
      <c r="Q80" s="10"/>
      <c r="R80" s="6"/>
      <c r="S80" s="64"/>
      <c r="T80" s="64"/>
      <c r="U80" s="64"/>
      <c r="V80" s="64"/>
      <c r="W80" s="74" t="str">
        <f>IF(A80="","",SUMIFS(SALDO_AWAL_2026!$G$33:$G$132,SALDO_AWAL_2026!$A$33:$A$132,A80)+SUMIFS(GAJI!$Q$5:$Q$124,GAJI!$X$5:$X$124,A80))</f>
        <v/>
      </c>
      <c r="X80" s="74" t="str">
        <f t="shared" si="15"/>
        <v/>
      </c>
      <c r="Y80" s="74" t="str">
        <f t="shared" si="16"/>
        <v/>
      </c>
      <c r="Z80" s="67" t="str">
        <f t="shared" si="17"/>
        <v/>
      </c>
    </row>
    <row r="81" spans="1:26">
      <c r="A81" s="46"/>
      <c r="B81" s="46"/>
      <c r="C81" s="6"/>
      <c r="D81" s="6"/>
      <c r="E81" s="10"/>
      <c r="F81" s="6"/>
      <c r="G81" s="72"/>
      <c r="H81" s="71" t="str">
        <f>IF(A81="","",SUMIFS(INVOICE_PIUTANG!$G$5:$G$151,INVOICE_PIUTANG!$D$5:$D$151,A81))</f>
        <v/>
      </c>
      <c r="I81" s="71" t="str">
        <f>IF(A81="","",SUMIFS(PEMASUKAN!$H$5:$H$204,PEMASUKAN!$D$5:$D$204,A81,PEMASUKAN!$M$5:$M$204,"Pendapatan Operasional"))</f>
        <v/>
      </c>
      <c r="J81" s="73" t="str">
        <f t="shared" si="12"/>
        <v/>
      </c>
      <c r="K81" s="73" t="str">
        <f>IF(A81="","",SUMIFS(SALDO_AWAL_2026!$F$33:$F$132,SALDO_AWAL_2026!$A$33:$A$132,A81)+SUMIFS(PENGELUARAN!$K$5:$K$204,PENGELUARAN!$D$5:$D$204,A81,PENGELUARAN!$L$5:$L$204,"Kantor"))</f>
        <v/>
      </c>
      <c r="L81" s="73" t="str">
        <f>IF(A81="","",SUMIFS(PENGELUARAN!$K$5:$K$204,PENGELUARAN!$D$5:$D$204,A81,PENGELUARAN!$L$5:$L$204,"Klien"))</f>
        <v/>
      </c>
      <c r="M81" s="73" t="str">
        <f>IF(A81="","",SUMIFS(PEMASUKAN!$H$5:$H$204,PEMASUKAN!$D$5:$D$204,A81,PEMASUKAN!$M$5:$M$204,"Penggantian Biaya"))</f>
        <v/>
      </c>
      <c r="N81" s="73" t="str">
        <f t="shared" si="13"/>
        <v/>
      </c>
      <c r="O81" s="69" t="str">
        <f t="shared" si="14"/>
        <v/>
      </c>
      <c r="P81" s="73" t="str">
        <f>IF(A81="","",SUMIFS(INVOICE_PIUTANG!$L$5:$L$151,INVOICE_PIUTANG!$D$5:$D$151,A81))</f>
        <v/>
      </c>
      <c r="Q81" s="10"/>
      <c r="R81" s="6"/>
      <c r="S81" s="64"/>
      <c r="T81" s="64"/>
      <c r="U81" s="64"/>
      <c r="V81" s="64"/>
      <c r="W81" s="74" t="str">
        <f>IF(A81="","",SUMIFS(SALDO_AWAL_2026!$G$33:$G$132,SALDO_AWAL_2026!$A$33:$A$132,A81)+SUMIFS(GAJI!$Q$5:$Q$124,GAJI!$X$5:$X$124,A81))</f>
        <v/>
      </c>
      <c r="X81" s="74" t="str">
        <f t="shared" si="15"/>
        <v/>
      </c>
      <c r="Y81" s="74" t="str">
        <f t="shared" si="16"/>
        <v/>
      </c>
      <c r="Z81" s="67" t="str">
        <f t="shared" si="17"/>
        <v/>
      </c>
    </row>
    <row r="82" spans="1:26">
      <c r="A82" s="46"/>
      <c r="B82" s="46"/>
      <c r="C82" s="6"/>
      <c r="D82" s="6"/>
      <c r="E82" s="10"/>
      <c r="F82" s="6"/>
      <c r="G82" s="72"/>
      <c r="H82" s="71" t="str">
        <f>IF(A82="","",SUMIFS(INVOICE_PIUTANG!$G$5:$G$151,INVOICE_PIUTANG!$D$5:$D$151,A82))</f>
        <v/>
      </c>
      <c r="I82" s="71" t="str">
        <f>IF(A82="","",SUMIFS(PEMASUKAN!$H$5:$H$204,PEMASUKAN!$D$5:$D$204,A82,PEMASUKAN!$M$5:$M$204,"Pendapatan Operasional"))</f>
        <v/>
      </c>
      <c r="J82" s="73" t="str">
        <f t="shared" si="12"/>
        <v/>
      </c>
      <c r="K82" s="73" t="str">
        <f>IF(A82="","",SUMIFS(SALDO_AWAL_2026!$F$33:$F$132,SALDO_AWAL_2026!$A$33:$A$132,A82)+SUMIFS(PENGELUARAN!$K$5:$K$204,PENGELUARAN!$D$5:$D$204,A82,PENGELUARAN!$L$5:$L$204,"Kantor"))</f>
        <v/>
      </c>
      <c r="L82" s="73" t="str">
        <f>IF(A82="","",SUMIFS(PENGELUARAN!$K$5:$K$204,PENGELUARAN!$D$5:$D$204,A82,PENGELUARAN!$L$5:$L$204,"Klien"))</f>
        <v/>
      </c>
      <c r="M82" s="73" t="str">
        <f>IF(A82="","",SUMIFS(PEMASUKAN!$H$5:$H$204,PEMASUKAN!$D$5:$D$204,A82,PEMASUKAN!$M$5:$M$204,"Penggantian Biaya"))</f>
        <v/>
      </c>
      <c r="N82" s="73" t="str">
        <f t="shared" si="13"/>
        <v/>
      </c>
      <c r="O82" s="69" t="str">
        <f t="shared" si="14"/>
        <v/>
      </c>
      <c r="P82" s="73" t="str">
        <f>IF(A82="","",SUMIFS(INVOICE_PIUTANG!$L$5:$L$151,INVOICE_PIUTANG!$D$5:$D$151,A82))</f>
        <v/>
      </c>
      <c r="Q82" s="10"/>
      <c r="R82" s="6"/>
      <c r="S82" s="64"/>
      <c r="T82" s="64"/>
      <c r="U82" s="64"/>
      <c r="V82" s="64"/>
      <c r="W82" s="74" t="str">
        <f>IF(A82="","",SUMIFS(SALDO_AWAL_2026!$G$33:$G$132,SALDO_AWAL_2026!$A$33:$A$132,A82)+SUMIFS(GAJI!$Q$5:$Q$124,GAJI!$X$5:$X$124,A82))</f>
        <v/>
      </c>
      <c r="X82" s="74" t="str">
        <f t="shared" si="15"/>
        <v/>
      </c>
      <c r="Y82" s="74" t="str">
        <f t="shared" si="16"/>
        <v/>
      </c>
      <c r="Z82" s="67" t="str">
        <f t="shared" si="17"/>
        <v/>
      </c>
    </row>
    <row r="83" spans="1:26">
      <c r="A83" s="46"/>
      <c r="B83" s="46"/>
      <c r="C83" s="6"/>
      <c r="D83" s="6"/>
      <c r="E83" s="10"/>
      <c r="F83" s="6"/>
      <c r="G83" s="72"/>
      <c r="H83" s="71" t="str">
        <f>IF(A83="","",SUMIFS(INVOICE_PIUTANG!$G$5:$G$151,INVOICE_PIUTANG!$D$5:$D$151,A83))</f>
        <v/>
      </c>
      <c r="I83" s="71" t="str">
        <f>IF(A83="","",SUMIFS(PEMASUKAN!$H$5:$H$204,PEMASUKAN!$D$5:$D$204,A83,PEMASUKAN!$M$5:$M$204,"Pendapatan Operasional"))</f>
        <v/>
      </c>
      <c r="J83" s="73" t="str">
        <f t="shared" si="12"/>
        <v/>
      </c>
      <c r="K83" s="73" t="str">
        <f>IF(A83="","",SUMIFS(SALDO_AWAL_2026!$F$33:$F$132,SALDO_AWAL_2026!$A$33:$A$132,A83)+SUMIFS(PENGELUARAN!$K$5:$K$204,PENGELUARAN!$D$5:$D$204,A83,PENGELUARAN!$L$5:$L$204,"Kantor"))</f>
        <v/>
      </c>
      <c r="L83" s="73" t="str">
        <f>IF(A83="","",SUMIFS(PENGELUARAN!$K$5:$K$204,PENGELUARAN!$D$5:$D$204,A83,PENGELUARAN!$L$5:$L$204,"Klien"))</f>
        <v/>
      </c>
      <c r="M83" s="73" t="str">
        <f>IF(A83="","",SUMIFS(PEMASUKAN!$H$5:$H$204,PEMASUKAN!$D$5:$D$204,A83,PEMASUKAN!$M$5:$M$204,"Penggantian Biaya"))</f>
        <v/>
      </c>
      <c r="N83" s="73" t="str">
        <f t="shared" si="13"/>
        <v/>
      </c>
      <c r="O83" s="69" t="str">
        <f t="shared" si="14"/>
        <v/>
      </c>
      <c r="P83" s="73" t="str">
        <f>IF(A83="","",SUMIFS(INVOICE_PIUTANG!$L$5:$L$151,INVOICE_PIUTANG!$D$5:$D$151,A83))</f>
        <v/>
      </c>
      <c r="Q83" s="10"/>
      <c r="R83" s="6"/>
      <c r="S83" s="64"/>
      <c r="T83" s="64"/>
      <c r="U83" s="64"/>
      <c r="V83" s="64"/>
      <c r="W83" s="74" t="str">
        <f>IF(A83="","",SUMIFS(SALDO_AWAL_2026!$G$33:$G$132,SALDO_AWAL_2026!$A$33:$A$132,A83)+SUMIFS(GAJI!$Q$5:$Q$124,GAJI!$X$5:$X$124,A83))</f>
        <v/>
      </c>
      <c r="X83" s="74" t="str">
        <f t="shared" si="15"/>
        <v/>
      </c>
      <c r="Y83" s="74" t="str">
        <f t="shared" si="16"/>
        <v/>
      </c>
      <c r="Z83" s="67" t="str">
        <f t="shared" si="17"/>
        <v/>
      </c>
    </row>
    <row r="84" spans="1:26">
      <c r="A84" s="46"/>
      <c r="B84" s="46"/>
      <c r="C84" s="6"/>
      <c r="D84" s="6"/>
      <c r="E84" s="10"/>
      <c r="F84" s="6"/>
      <c r="G84" s="72"/>
      <c r="H84" s="71" t="str">
        <f>IF(A84="","",SUMIFS(INVOICE_PIUTANG!$G$5:$G$151,INVOICE_PIUTANG!$D$5:$D$151,A84))</f>
        <v/>
      </c>
      <c r="I84" s="71" t="str">
        <f>IF(A84="","",SUMIFS(PEMASUKAN!$H$5:$H$204,PEMASUKAN!$D$5:$D$204,A84,PEMASUKAN!$M$5:$M$204,"Pendapatan Operasional"))</f>
        <v/>
      </c>
      <c r="J84" s="73" t="str">
        <f t="shared" si="12"/>
        <v/>
      </c>
      <c r="K84" s="73" t="str">
        <f>IF(A84="","",SUMIFS(SALDO_AWAL_2026!$F$33:$F$132,SALDO_AWAL_2026!$A$33:$A$132,A84)+SUMIFS(PENGELUARAN!$K$5:$K$204,PENGELUARAN!$D$5:$D$204,A84,PENGELUARAN!$L$5:$L$204,"Kantor"))</f>
        <v/>
      </c>
      <c r="L84" s="73" t="str">
        <f>IF(A84="","",SUMIFS(PENGELUARAN!$K$5:$K$204,PENGELUARAN!$D$5:$D$204,A84,PENGELUARAN!$L$5:$L$204,"Klien"))</f>
        <v/>
      </c>
      <c r="M84" s="73" t="str">
        <f>IF(A84="","",SUMIFS(PEMASUKAN!$H$5:$H$204,PEMASUKAN!$D$5:$D$204,A84,PEMASUKAN!$M$5:$M$204,"Penggantian Biaya"))</f>
        <v/>
      </c>
      <c r="N84" s="73" t="str">
        <f t="shared" si="13"/>
        <v/>
      </c>
      <c r="O84" s="69" t="str">
        <f t="shared" si="14"/>
        <v/>
      </c>
      <c r="P84" s="73" t="str">
        <f>IF(A84="","",SUMIFS(INVOICE_PIUTANG!$L$5:$L$151,INVOICE_PIUTANG!$D$5:$D$151,A84))</f>
        <v/>
      </c>
      <c r="Q84" s="10"/>
      <c r="R84" s="6"/>
      <c r="S84" s="64"/>
      <c r="T84" s="64"/>
      <c r="U84" s="64"/>
      <c r="V84" s="64"/>
      <c r="W84" s="74" t="str">
        <f>IF(A84="","",SUMIFS(SALDO_AWAL_2026!$G$33:$G$132,SALDO_AWAL_2026!$A$33:$A$132,A84)+SUMIFS(GAJI!$Q$5:$Q$124,GAJI!$X$5:$X$124,A84))</f>
        <v/>
      </c>
      <c r="X84" s="74" t="str">
        <f t="shared" si="15"/>
        <v/>
      </c>
      <c r="Y84" s="74" t="str">
        <f t="shared" si="16"/>
        <v/>
      </c>
      <c r="Z84" s="67" t="str">
        <f t="shared" si="17"/>
        <v/>
      </c>
    </row>
    <row r="85" spans="1:26">
      <c r="A85" s="46"/>
      <c r="B85" s="46"/>
      <c r="C85" s="6"/>
      <c r="D85" s="6"/>
      <c r="E85" s="10"/>
      <c r="F85" s="6"/>
      <c r="G85" s="72"/>
      <c r="H85" s="71" t="str">
        <f>IF(A85="","",SUMIFS(INVOICE_PIUTANG!$G$5:$G$151,INVOICE_PIUTANG!$D$5:$D$151,A85))</f>
        <v/>
      </c>
      <c r="I85" s="71" t="str">
        <f>IF(A85="","",SUMIFS(PEMASUKAN!$H$5:$H$204,PEMASUKAN!$D$5:$D$204,A85,PEMASUKAN!$M$5:$M$204,"Pendapatan Operasional"))</f>
        <v/>
      </c>
      <c r="J85" s="73" t="str">
        <f t="shared" si="12"/>
        <v/>
      </c>
      <c r="K85" s="73" t="str">
        <f>IF(A85="","",SUMIFS(SALDO_AWAL_2026!$F$33:$F$132,SALDO_AWAL_2026!$A$33:$A$132,A85)+SUMIFS(PENGELUARAN!$K$5:$K$204,PENGELUARAN!$D$5:$D$204,A85,PENGELUARAN!$L$5:$L$204,"Kantor"))</f>
        <v/>
      </c>
      <c r="L85" s="73" t="str">
        <f>IF(A85="","",SUMIFS(PENGELUARAN!$K$5:$K$204,PENGELUARAN!$D$5:$D$204,A85,PENGELUARAN!$L$5:$L$204,"Klien"))</f>
        <v/>
      </c>
      <c r="M85" s="73" t="str">
        <f>IF(A85="","",SUMIFS(PEMASUKAN!$H$5:$H$204,PEMASUKAN!$D$5:$D$204,A85,PEMASUKAN!$M$5:$M$204,"Penggantian Biaya"))</f>
        <v/>
      </c>
      <c r="N85" s="73" t="str">
        <f t="shared" si="13"/>
        <v/>
      </c>
      <c r="O85" s="69" t="str">
        <f t="shared" si="14"/>
        <v/>
      </c>
      <c r="P85" s="73" t="str">
        <f>IF(A85="","",SUMIFS(INVOICE_PIUTANG!$L$5:$L$151,INVOICE_PIUTANG!$D$5:$D$151,A85))</f>
        <v/>
      </c>
      <c r="Q85" s="10"/>
      <c r="R85" s="6"/>
      <c r="S85" s="64"/>
      <c r="T85" s="64"/>
      <c r="U85" s="64"/>
      <c r="V85" s="64"/>
      <c r="W85" s="74" t="str">
        <f>IF(A85="","",SUMIFS(SALDO_AWAL_2026!$G$33:$G$132,SALDO_AWAL_2026!$A$33:$A$132,A85)+SUMIFS(GAJI!$Q$5:$Q$124,GAJI!$X$5:$X$124,A85))</f>
        <v/>
      </c>
      <c r="X85" s="74" t="str">
        <f t="shared" si="15"/>
        <v/>
      </c>
      <c r="Y85" s="74" t="str">
        <f t="shared" si="16"/>
        <v/>
      </c>
      <c r="Z85" s="67" t="str">
        <f t="shared" si="17"/>
        <v/>
      </c>
    </row>
    <row r="86" spans="1:26">
      <c r="A86" s="46"/>
      <c r="B86" s="46"/>
      <c r="C86" s="6"/>
      <c r="D86" s="6"/>
      <c r="E86" s="10"/>
      <c r="F86" s="6"/>
      <c r="G86" s="72"/>
      <c r="H86" s="71" t="str">
        <f>IF(A86="","",SUMIFS(INVOICE_PIUTANG!$G$5:$G$151,INVOICE_PIUTANG!$D$5:$D$151,A86))</f>
        <v/>
      </c>
      <c r="I86" s="71" t="str">
        <f>IF(A86="","",SUMIFS(PEMASUKAN!$H$5:$H$204,PEMASUKAN!$D$5:$D$204,A86,PEMASUKAN!$M$5:$M$204,"Pendapatan Operasional"))</f>
        <v/>
      </c>
      <c r="J86" s="73" t="str">
        <f t="shared" si="12"/>
        <v/>
      </c>
      <c r="K86" s="73" t="str">
        <f>IF(A86="","",SUMIFS(SALDO_AWAL_2026!$F$33:$F$132,SALDO_AWAL_2026!$A$33:$A$132,A86)+SUMIFS(PENGELUARAN!$K$5:$K$204,PENGELUARAN!$D$5:$D$204,A86,PENGELUARAN!$L$5:$L$204,"Kantor"))</f>
        <v/>
      </c>
      <c r="L86" s="73" t="str">
        <f>IF(A86="","",SUMIFS(PENGELUARAN!$K$5:$K$204,PENGELUARAN!$D$5:$D$204,A86,PENGELUARAN!$L$5:$L$204,"Klien"))</f>
        <v/>
      </c>
      <c r="M86" s="73" t="str">
        <f>IF(A86="","",SUMIFS(PEMASUKAN!$H$5:$H$204,PEMASUKAN!$D$5:$D$204,A86,PEMASUKAN!$M$5:$M$204,"Penggantian Biaya"))</f>
        <v/>
      </c>
      <c r="N86" s="73" t="str">
        <f t="shared" si="13"/>
        <v/>
      </c>
      <c r="O86" s="69" t="str">
        <f t="shared" si="14"/>
        <v/>
      </c>
      <c r="P86" s="73" t="str">
        <f>IF(A86="","",SUMIFS(INVOICE_PIUTANG!$L$5:$L$151,INVOICE_PIUTANG!$D$5:$D$151,A86))</f>
        <v/>
      </c>
      <c r="Q86" s="10"/>
      <c r="R86" s="6"/>
      <c r="S86" s="64"/>
      <c r="T86" s="64"/>
      <c r="U86" s="64"/>
      <c r="V86" s="64"/>
      <c r="W86" s="74" t="str">
        <f>IF(A86="","",SUMIFS(SALDO_AWAL_2026!$G$33:$G$132,SALDO_AWAL_2026!$A$33:$A$132,A86)+SUMIFS(GAJI!$Q$5:$Q$124,GAJI!$X$5:$X$124,A86))</f>
        <v/>
      </c>
      <c r="X86" s="74" t="str">
        <f t="shared" si="15"/>
        <v/>
      </c>
      <c r="Y86" s="74" t="str">
        <f t="shared" si="16"/>
        <v/>
      </c>
      <c r="Z86" s="67" t="str">
        <f t="shared" si="17"/>
        <v/>
      </c>
    </row>
    <row r="87" spans="1:26">
      <c r="A87" s="46"/>
      <c r="B87" s="46"/>
      <c r="C87" s="6"/>
      <c r="D87" s="6"/>
      <c r="E87" s="10"/>
      <c r="F87" s="6"/>
      <c r="G87" s="72"/>
      <c r="H87" s="71" t="str">
        <f>IF(A87="","",SUMIFS(INVOICE_PIUTANG!$G$5:$G$151,INVOICE_PIUTANG!$D$5:$D$151,A87))</f>
        <v/>
      </c>
      <c r="I87" s="71" t="str">
        <f>IF(A87="","",SUMIFS(PEMASUKAN!$H$5:$H$204,PEMASUKAN!$D$5:$D$204,A87,PEMASUKAN!$M$5:$M$204,"Pendapatan Operasional"))</f>
        <v/>
      </c>
      <c r="J87" s="73" t="str">
        <f t="shared" si="12"/>
        <v/>
      </c>
      <c r="K87" s="73" t="str">
        <f>IF(A87="","",SUMIFS(SALDO_AWAL_2026!$F$33:$F$132,SALDO_AWAL_2026!$A$33:$A$132,A87)+SUMIFS(PENGELUARAN!$K$5:$K$204,PENGELUARAN!$D$5:$D$204,A87,PENGELUARAN!$L$5:$L$204,"Kantor"))</f>
        <v/>
      </c>
      <c r="L87" s="73" t="str">
        <f>IF(A87="","",SUMIFS(PENGELUARAN!$K$5:$K$204,PENGELUARAN!$D$5:$D$204,A87,PENGELUARAN!$L$5:$L$204,"Klien"))</f>
        <v/>
      </c>
      <c r="M87" s="73" t="str">
        <f>IF(A87="","",SUMIFS(PEMASUKAN!$H$5:$H$204,PEMASUKAN!$D$5:$D$204,A87,PEMASUKAN!$M$5:$M$204,"Penggantian Biaya"))</f>
        <v/>
      </c>
      <c r="N87" s="73" t="str">
        <f t="shared" si="13"/>
        <v/>
      </c>
      <c r="O87" s="69" t="str">
        <f t="shared" si="14"/>
        <v/>
      </c>
      <c r="P87" s="73" t="str">
        <f>IF(A87="","",SUMIFS(INVOICE_PIUTANG!$L$5:$L$151,INVOICE_PIUTANG!$D$5:$D$151,A87))</f>
        <v/>
      </c>
      <c r="Q87" s="10"/>
      <c r="R87" s="6"/>
      <c r="S87" s="64"/>
      <c r="T87" s="64"/>
      <c r="U87" s="64"/>
      <c r="V87" s="64"/>
      <c r="W87" s="74" t="str">
        <f>IF(A87="","",SUMIFS(SALDO_AWAL_2026!$G$33:$G$132,SALDO_AWAL_2026!$A$33:$A$132,A87)+SUMIFS(GAJI!$Q$5:$Q$124,GAJI!$X$5:$X$124,A87))</f>
        <v/>
      </c>
      <c r="X87" s="74" t="str">
        <f t="shared" si="15"/>
        <v/>
      </c>
      <c r="Y87" s="74" t="str">
        <f t="shared" si="16"/>
        <v/>
      </c>
      <c r="Z87" s="67" t="str">
        <f t="shared" si="17"/>
        <v/>
      </c>
    </row>
    <row r="88" spans="1:26">
      <c r="A88" s="46"/>
      <c r="B88" s="46"/>
      <c r="C88" s="6"/>
      <c r="D88" s="6"/>
      <c r="E88" s="10"/>
      <c r="F88" s="6"/>
      <c r="G88" s="72"/>
      <c r="H88" s="71" t="str">
        <f>IF(A88="","",SUMIFS(INVOICE_PIUTANG!$G$5:$G$151,INVOICE_PIUTANG!$D$5:$D$151,A88))</f>
        <v/>
      </c>
      <c r="I88" s="71" t="str">
        <f>IF(A88="","",SUMIFS(PEMASUKAN!$H$5:$H$204,PEMASUKAN!$D$5:$D$204,A88,PEMASUKAN!$M$5:$M$204,"Pendapatan Operasional"))</f>
        <v/>
      </c>
      <c r="J88" s="73" t="str">
        <f t="shared" si="12"/>
        <v/>
      </c>
      <c r="K88" s="73" t="str">
        <f>IF(A88="","",SUMIFS(SALDO_AWAL_2026!$F$33:$F$132,SALDO_AWAL_2026!$A$33:$A$132,A88)+SUMIFS(PENGELUARAN!$K$5:$K$204,PENGELUARAN!$D$5:$D$204,A88,PENGELUARAN!$L$5:$L$204,"Kantor"))</f>
        <v/>
      </c>
      <c r="L88" s="73" t="str">
        <f>IF(A88="","",SUMIFS(PENGELUARAN!$K$5:$K$204,PENGELUARAN!$D$5:$D$204,A88,PENGELUARAN!$L$5:$L$204,"Klien"))</f>
        <v/>
      </c>
      <c r="M88" s="73" t="str">
        <f>IF(A88="","",SUMIFS(PEMASUKAN!$H$5:$H$204,PEMASUKAN!$D$5:$D$204,A88,PEMASUKAN!$M$5:$M$204,"Penggantian Biaya"))</f>
        <v/>
      </c>
      <c r="N88" s="73" t="str">
        <f t="shared" si="13"/>
        <v/>
      </c>
      <c r="O88" s="69" t="str">
        <f t="shared" si="14"/>
        <v/>
      </c>
      <c r="P88" s="73" t="str">
        <f>IF(A88="","",SUMIFS(INVOICE_PIUTANG!$L$5:$L$151,INVOICE_PIUTANG!$D$5:$D$151,A88))</f>
        <v/>
      </c>
      <c r="Q88" s="10"/>
      <c r="R88" s="6"/>
      <c r="S88" s="64"/>
      <c r="T88" s="64"/>
      <c r="U88" s="64"/>
      <c r="V88" s="64"/>
      <c r="W88" s="74" t="str">
        <f>IF(A88="","",SUMIFS(SALDO_AWAL_2026!$G$33:$G$132,SALDO_AWAL_2026!$A$33:$A$132,A88)+SUMIFS(GAJI!$Q$5:$Q$124,GAJI!$X$5:$X$124,A88))</f>
        <v/>
      </c>
      <c r="X88" s="74" t="str">
        <f t="shared" si="15"/>
        <v/>
      </c>
      <c r="Y88" s="74" t="str">
        <f t="shared" si="16"/>
        <v/>
      </c>
      <c r="Z88" s="67" t="str">
        <f t="shared" si="17"/>
        <v/>
      </c>
    </row>
    <row r="89" spans="1:26">
      <c r="A89" s="46"/>
      <c r="B89" s="46"/>
      <c r="C89" s="6"/>
      <c r="D89" s="6"/>
      <c r="E89" s="10"/>
      <c r="F89" s="6"/>
      <c r="G89" s="72"/>
      <c r="H89" s="71" t="str">
        <f>IF(A89="","",SUMIFS(INVOICE_PIUTANG!$G$5:$G$151,INVOICE_PIUTANG!$D$5:$D$151,A89))</f>
        <v/>
      </c>
      <c r="I89" s="71" t="str">
        <f>IF(A89="","",SUMIFS(PEMASUKAN!$H$5:$H$204,PEMASUKAN!$D$5:$D$204,A89,PEMASUKAN!$M$5:$M$204,"Pendapatan Operasional"))</f>
        <v/>
      </c>
      <c r="J89" s="73" t="str">
        <f t="shared" si="12"/>
        <v/>
      </c>
      <c r="K89" s="73" t="str">
        <f>IF(A89="","",SUMIFS(SALDO_AWAL_2026!$F$33:$F$132,SALDO_AWAL_2026!$A$33:$A$132,A89)+SUMIFS(PENGELUARAN!$K$5:$K$204,PENGELUARAN!$D$5:$D$204,A89,PENGELUARAN!$L$5:$L$204,"Kantor"))</f>
        <v/>
      </c>
      <c r="L89" s="73" t="str">
        <f>IF(A89="","",SUMIFS(PENGELUARAN!$K$5:$K$204,PENGELUARAN!$D$5:$D$204,A89,PENGELUARAN!$L$5:$L$204,"Klien"))</f>
        <v/>
      </c>
      <c r="M89" s="73" t="str">
        <f>IF(A89="","",SUMIFS(PEMASUKAN!$H$5:$H$204,PEMASUKAN!$D$5:$D$204,A89,PEMASUKAN!$M$5:$M$204,"Penggantian Biaya"))</f>
        <v/>
      </c>
      <c r="N89" s="73" t="str">
        <f t="shared" si="13"/>
        <v/>
      </c>
      <c r="O89" s="69" t="str">
        <f t="shared" si="14"/>
        <v/>
      </c>
      <c r="P89" s="73" t="str">
        <f>IF(A89="","",SUMIFS(INVOICE_PIUTANG!$L$5:$L$151,INVOICE_PIUTANG!$D$5:$D$151,A89))</f>
        <v/>
      </c>
      <c r="Q89" s="10"/>
      <c r="R89" s="6"/>
      <c r="S89" s="64"/>
      <c r="T89" s="64"/>
      <c r="U89" s="64"/>
      <c r="V89" s="64"/>
      <c r="W89" s="74" t="str">
        <f>IF(A89="","",SUMIFS(SALDO_AWAL_2026!$G$33:$G$132,SALDO_AWAL_2026!$A$33:$A$132,A89)+SUMIFS(GAJI!$Q$5:$Q$124,GAJI!$X$5:$X$124,A89))</f>
        <v/>
      </c>
      <c r="X89" s="74" t="str">
        <f t="shared" si="15"/>
        <v/>
      </c>
      <c r="Y89" s="74" t="str">
        <f t="shared" si="16"/>
        <v/>
      </c>
      <c r="Z89" s="67" t="str">
        <f t="shared" si="17"/>
        <v/>
      </c>
    </row>
    <row r="90" spans="1:26">
      <c r="A90" s="46"/>
      <c r="B90" s="46"/>
      <c r="C90" s="6"/>
      <c r="D90" s="6"/>
      <c r="E90" s="10"/>
      <c r="F90" s="6"/>
      <c r="G90" s="72"/>
      <c r="H90" s="71" t="str">
        <f>IF(A90="","",SUMIFS(INVOICE_PIUTANG!$G$5:$G$151,INVOICE_PIUTANG!$D$5:$D$151,A90))</f>
        <v/>
      </c>
      <c r="I90" s="71" t="str">
        <f>IF(A90="","",SUMIFS(PEMASUKAN!$H$5:$H$204,PEMASUKAN!$D$5:$D$204,A90,PEMASUKAN!$M$5:$M$204,"Pendapatan Operasional"))</f>
        <v/>
      </c>
      <c r="J90" s="73" t="str">
        <f t="shared" si="12"/>
        <v/>
      </c>
      <c r="K90" s="73" t="str">
        <f>IF(A90="","",SUMIFS(SALDO_AWAL_2026!$F$33:$F$132,SALDO_AWAL_2026!$A$33:$A$132,A90)+SUMIFS(PENGELUARAN!$K$5:$K$204,PENGELUARAN!$D$5:$D$204,A90,PENGELUARAN!$L$5:$L$204,"Kantor"))</f>
        <v/>
      </c>
      <c r="L90" s="73" t="str">
        <f>IF(A90="","",SUMIFS(PENGELUARAN!$K$5:$K$204,PENGELUARAN!$D$5:$D$204,A90,PENGELUARAN!$L$5:$L$204,"Klien"))</f>
        <v/>
      </c>
      <c r="M90" s="73" t="str">
        <f>IF(A90="","",SUMIFS(PEMASUKAN!$H$5:$H$204,PEMASUKAN!$D$5:$D$204,A90,PEMASUKAN!$M$5:$M$204,"Penggantian Biaya"))</f>
        <v/>
      </c>
      <c r="N90" s="73" t="str">
        <f t="shared" si="13"/>
        <v/>
      </c>
      <c r="O90" s="69" t="str">
        <f t="shared" si="14"/>
        <v/>
      </c>
      <c r="P90" s="73" t="str">
        <f>IF(A90="","",SUMIFS(INVOICE_PIUTANG!$L$5:$L$151,INVOICE_PIUTANG!$D$5:$D$151,A90))</f>
        <v/>
      </c>
      <c r="Q90" s="10"/>
      <c r="R90" s="6"/>
      <c r="S90" s="64"/>
      <c r="T90" s="64"/>
      <c r="U90" s="64"/>
      <c r="V90" s="64"/>
      <c r="W90" s="74" t="str">
        <f>IF(A90="","",SUMIFS(SALDO_AWAL_2026!$G$33:$G$132,SALDO_AWAL_2026!$A$33:$A$132,A90)+SUMIFS(GAJI!$Q$5:$Q$124,GAJI!$X$5:$X$124,A90))</f>
        <v/>
      </c>
      <c r="X90" s="74" t="str">
        <f t="shared" si="15"/>
        <v/>
      </c>
      <c r="Y90" s="74" t="str">
        <f t="shared" si="16"/>
        <v/>
      </c>
      <c r="Z90" s="67" t="str">
        <f t="shared" si="17"/>
        <v/>
      </c>
    </row>
    <row r="91" spans="1:26">
      <c r="A91" s="46"/>
      <c r="B91" s="46"/>
      <c r="C91" s="6"/>
      <c r="D91" s="6"/>
      <c r="E91" s="10"/>
      <c r="F91" s="6"/>
      <c r="G91" s="72"/>
      <c r="H91" s="71" t="str">
        <f>IF(A91="","",SUMIFS(INVOICE_PIUTANG!$G$5:$G$151,INVOICE_PIUTANG!$D$5:$D$151,A91))</f>
        <v/>
      </c>
      <c r="I91" s="71" t="str">
        <f>IF(A91="","",SUMIFS(PEMASUKAN!$H$5:$H$204,PEMASUKAN!$D$5:$D$204,A91,PEMASUKAN!$M$5:$M$204,"Pendapatan Operasional"))</f>
        <v/>
      </c>
      <c r="J91" s="73" t="str">
        <f t="shared" si="12"/>
        <v/>
      </c>
      <c r="K91" s="73" t="str">
        <f>IF(A91="","",SUMIFS(SALDO_AWAL_2026!$F$33:$F$132,SALDO_AWAL_2026!$A$33:$A$132,A91)+SUMIFS(PENGELUARAN!$K$5:$K$204,PENGELUARAN!$D$5:$D$204,A91,PENGELUARAN!$L$5:$L$204,"Kantor"))</f>
        <v/>
      </c>
      <c r="L91" s="73" t="str">
        <f>IF(A91="","",SUMIFS(PENGELUARAN!$K$5:$K$204,PENGELUARAN!$D$5:$D$204,A91,PENGELUARAN!$L$5:$L$204,"Klien"))</f>
        <v/>
      </c>
      <c r="M91" s="73" t="str">
        <f>IF(A91="","",SUMIFS(PEMASUKAN!$H$5:$H$204,PEMASUKAN!$D$5:$D$204,A91,PEMASUKAN!$M$5:$M$204,"Penggantian Biaya"))</f>
        <v/>
      </c>
      <c r="N91" s="73" t="str">
        <f t="shared" si="13"/>
        <v/>
      </c>
      <c r="O91" s="69" t="str">
        <f t="shared" si="14"/>
        <v/>
      </c>
      <c r="P91" s="73" t="str">
        <f>IF(A91="","",SUMIFS(INVOICE_PIUTANG!$L$5:$L$151,INVOICE_PIUTANG!$D$5:$D$151,A91))</f>
        <v/>
      </c>
      <c r="Q91" s="10"/>
      <c r="R91" s="6"/>
      <c r="S91" s="64"/>
      <c r="T91" s="64"/>
      <c r="U91" s="64"/>
      <c r="V91" s="64"/>
      <c r="W91" s="74" t="str">
        <f>IF(A91="","",SUMIFS(SALDO_AWAL_2026!$G$33:$G$132,SALDO_AWAL_2026!$A$33:$A$132,A91)+SUMIFS(GAJI!$Q$5:$Q$124,GAJI!$X$5:$X$124,A91))</f>
        <v/>
      </c>
      <c r="X91" s="74" t="str">
        <f t="shared" si="15"/>
        <v/>
      </c>
      <c r="Y91" s="74" t="str">
        <f t="shared" si="16"/>
        <v/>
      </c>
      <c r="Z91" s="67" t="str">
        <f t="shared" si="17"/>
        <v/>
      </c>
    </row>
    <row r="92" spans="1:26">
      <c r="A92" s="46"/>
      <c r="B92" s="46"/>
      <c r="C92" s="6"/>
      <c r="D92" s="6"/>
      <c r="E92" s="10"/>
      <c r="F92" s="6"/>
      <c r="G92" s="72"/>
      <c r="H92" s="71" t="str">
        <f>IF(A92="","",SUMIFS(INVOICE_PIUTANG!$G$5:$G$151,INVOICE_PIUTANG!$D$5:$D$151,A92))</f>
        <v/>
      </c>
      <c r="I92" s="71" t="str">
        <f>IF(A92="","",SUMIFS(PEMASUKAN!$H$5:$H$204,PEMASUKAN!$D$5:$D$204,A92,PEMASUKAN!$M$5:$M$204,"Pendapatan Operasional"))</f>
        <v/>
      </c>
      <c r="J92" s="73" t="str">
        <f t="shared" si="12"/>
        <v/>
      </c>
      <c r="K92" s="73" t="str">
        <f>IF(A92="","",SUMIFS(SALDO_AWAL_2026!$F$33:$F$132,SALDO_AWAL_2026!$A$33:$A$132,A92)+SUMIFS(PENGELUARAN!$K$5:$K$204,PENGELUARAN!$D$5:$D$204,A92,PENGELUARAN!$L$5:$L$204,"Kantor"))</f>
        <v/>
      </c>
      <c r="L92" s="73" t="str">
        <f>IF(A92="","",SUMIFS(PENGELUARAN!$K$5:$K$204,PENGELUARAN!$D$5:$D$204,A92,PENGELUARAN!$L$5:$L$204,"Klien"))</f>
        <v/>
      </c>
      <c r="M92" s="73" t="str">
        <f>IF(A92="","",SUMIFS(PEMASUKAN!$H$5:$H$204,PEMASUKAN!$D$5:$D$204,A92,PEMASUKAN!$M$5:$M$204,"Penggantian Biaya"))</f>
        <v/>
      </c>
      <c r="N92" s="73" t="str">
        <f t="shared" si="13"/>
        <v/>
      </c>
      <c r="O92" s="69" t="str">
        <f t="shared" si="14"/>
        <v/>
      </c>
      <c r="P92" s="73" t="str">
        <f>IF(A92="","",SUMIFS(INVOICE_PIUTANG!$L$5:$L$151,INVOICE_PIUTANG!$D$5:$D$151,A92))</f>
        <v/>
      </c>
      <c r="Q92" s="10"/>
      <c r="R92" s="6"/>
      <c r="S92" s="64"/>
      <c r="T92" s="64"/>
      <c r="U92" s="64"/>
      <c r="V92" s="64"/>
      <c r="W92" s="74" t="str">
        <f>IF(A92="","",SUMIFS(SALDO_AWAL_2026!$G$33:$G$132,SALDO_AWAL_2026!$A$33:$A$132,A92)+SUMIFS(GAJI!$Q$5:$Q$124,GAJI!$X$5:$X$124,A92))</f>
        <v/>
      </c>
      <c r="X92" s="74" t="str">
        <f t="shared" si="15"/>
        <v/>
      </c>
      <c r="Y92" s="74" t="str">
        <f t="shared" si="16"/>
        <v/>
      </c>
      <c r="Z92" s="67" t="str">
        <f t="shared" si="17"/>
        <v/>
      </c>
    </row>
    <row r="93" spans="1:26">
      <c r="A93" s="46"/>
      <c r="B93" s="46"/>
      <c r="C93" s="6"/>
      <c r="D93" s="6"/>
      <c r="E93" s="10"/>
      <c r="F93" s="6"/>
      <c r="G93" s="72"/>
      <c r="H93" s="71" t="str">
        <f>IF(A93="","",SUMIFS(INVOICE_PIUTANG!$G$5:$G$151,INVOICE_PIUTANG!$D$5:$D$151,A93))</f>
        <v/>
      </c>
      <c r="I93" s="71" t="str">
        <f>IF(A93="","",SUMIFS(PEMASUKAN!$H$5:$H$204,PEMASUKAN!$D$5:$D$204,A93,PEMASUKAN!$M$5:$M$204,"Pendapatan Operasional"))</f>
        <v/>
      </c>
      <c r="J93" s="73" t="str">
        <f t="shared" si="12"/>
        <v/>
      </c>
      <c r="K93" s="73" t="str">
        <f>IF(A93="","",SUMIFS(SALDO_AWAL_2026!$F$33:$F$132,SALDO_AWAL_2026!$A$33:$A$132,A93)+SUMIFS(PENGELUARAN!$K$5:$K$204,PENGELUARAN!$D$5:$D$204,A93,PENGELUARAN!$L$5:$L$204,"Kantor"))</f>
        <v/>
      </c>
      <c r="L93" s="73" t="str">
        <f>IF(A93="","",SUMIFS(PENGELUARAN!$K$5:$K$204,PENGELUARAN!$D$5:$D$204,A93,PENGELUARAN!$L$5:$L$204,"Klien"))</f>
        <v/>
      </c>
      <c r="M93" s="73" t="str">
        <f>IF(A93="","",SUMIFS(PEMASUKAN!$H$5:$H$204,PEMASUKAN!$D$5:$D$204,A93,PEMASUKAN!$M$5:$M$204,"Penggantian Biaya"))</f>
        <v/>
      </c>
      <c r="N93" s="73" t="str">
        <f t="shared" si="13"/>
        <v/>
      </c>
      <c r="O93" s="69" t="str">
        <f t="shared" si="14"/>
        <v/>
      </c>
      <c r="P93" s="73" t="str">
        <f>IF(A93="","",SUMIFS(INVOICE_PIUTANG!$L$5:$L$151,INVOICE_PIUTANG!$D$5:$D$151,A93))</f>
        <v/>
      </c>
      <c r="Q93" s="10"/>
      <c r="R93" s="6"/>
      <c r="S93" s="64"/>
      <c r="T93" s="64"/>
      <c r="U93" s="64"/>
      <c r="V93" s="64"/>
      <c r="W93" s="74" t="str">
        <f>IF(A93="","",SUMIFS(SALDO_AWAL_2026!$G$33:$G$132,SALDO_AWAL_2026!$A$33:$A$132,A93)+SUMIFS(GAJI!$Q$5:$Q$124,GAJI!$X$5:$X$124,A93))</f>
        <v/>
      </c>
      <c r="X93" s="74" t="str">
        <f t="shared" si="15"/>
        <v/>
      </c>
      <c r="Y93" s="74" t="str">
        <f t="shared" si="16"/>
        <v/>
      </c>
      <c r="Z93" s="67" t="str">
        <f t="shared" si="17"/>
        <v/>
      </c>
    </row>
    <row r="94" spans="1:26">
      <c r="A94" s="46"/>
      <c r="B94" s="46"/>
      <c r="C94" s="6"/>
      <c r="D94" s="6"/>
      <c r="E94" s="10"/>
      <c r="F94" s="6"/>
      <c r="G94" s="72"/>
      <c r="H94" s="71" t="str">
        <f>IF(A94="","",SUMIFS(INVOICE_PIUTANG!$G$5:$G$151,INVOICE_PIUTANG!$D$5:$D$151,A94))</f>
        <v/>
      </c>
      <c r="I94" s="71" t="str">
        <f>IF(A94="","",SUMIFS(PEMASUKAN!$H$5:$H$204,PEMASUKAN!$D$5:$D$204,A94,PEMASUKAN!$M$5:$M$204,"Pendapatan Operasional"))</f>
        <v/>
      </c>
      <c r="J94" s="73" t="str">
        <f t="shared" si="12"/>
        <v/>
      </c>
      <c r="K94" s="73" t="str">
        <f>IF(A94="","",SUMIFS(SALDO_AWAL_2026!$F$33:$F$132,SALDO_AWAL_2026!$A$33:$A$132,A94)+SUMIFS(PENGELUARAN!$K$5:$K$204,PENGELUARAN!$D$5:$D$204,A94,PENGELUARAN!$L$5:$L$204,"Kantor"))</f>
        <v/>
      </c>
      <c r="L94" s="73" t="str">
        <f>IF(A94="","",SUMIFS(PENGELUARAN!$K$5:$K$204,PENGELUARAN!$D$5:$D$204,A94,PENGELUARAN!$L$5:$L$204,"Klien"))</f>
        <v/>
      </c>
      <c r="M94" s="73" t="str">
        <f>IF(A94="","",SUMIFS(PEMASUKAN!$H$5:$H$204,PEMASUKAN!$D$5:$D$204,A94,PEMASUKAN!$M$5:$M$204,"Penggantian Biaya"))</f>
        <v/>
      </c>
      <c r="N94" s="73" t="str">
        <f t="shared" si="13"/>
        <v/>
      </c>
      <c r="O94" s="69" t="str">
        <f t="shared" si="14"/>
        <v/>
      </c>
      <c r="P94" s="73" t="str">
        <f>IF(A94="","",SUMIFS(INVOICE_PIUTANG!$L$5:$L$151,INVOICE_PIUTANG!$D$5:$D$151,A94))</f>
        <v/>
      </c>
      <c r="Q94" s="10"/>
      <c r="R94" s="6"/>
      <c r="S94" s="64"/>
      <c r="T94" s="64"/>
      <c r="U94" s="64"/>
      <c r="V94" s="64"/>
      <c r="W94" s="74" t="str">
        <f>IF(A94="","",SUMIFS(SALDO_AWAL_2026!$G$33:$G$132,SALDO_AWAL_2026!$A$33:$A$132,A94)+SUMIFS(GAJI!$Q$5:$Q$124,GAJI!$X$5:$X$124,A94))</f>
        <v/>
      </c>
      <c r="X94" s="74" t="str">
        <f t="shared" si="15"/>
        <v/>
      </c>
      <c r="Y94" s="74" t="str">
        <f t="shared" si="16"/>
        <v/>
      </c>
      <c r="Z94" s="67" t="str">
        <f t="shared" si="17"/>
        <v/>
      </c>
    </row>
    <row r="95" spans="1:26">
      <c r="A95" s="46"/>
      <c r="B95" s="46"/>
      <c r="C95" s="6"/>
      <c r="D95" s="6"/>
      <c r="E95" s="10"/>
      <c r="F95" s="6"/>
      <c r="G95" s="72"/>
      <c r="H95" s="71" t="str">
        <f>IF(A95="","",SUMIFS(INVOICE_PIUTANG!$G$5:$G$151,INVOICE_PIUTANG!$D$5:$D$151,A95))</f>
        <v/>
      </c>
      <c r="I95" s="71" t="str">
        <f>IF(A95="","",SUMIFS(PEMASUKAN!$H$5:$H$204,PEMASUKAN!$D$5:$D$204,A95,PEMASUKAN!$M$5:$M$204,"Pendapatan Operasional"))</f>
        <v/>
      </c>
      <c r="J95" s="73" t="str">
        <f t="shared" si="12"/>
        <v/>
      </c>
      <c r="K95" s="73" t="str">
        <f>IF(A95="","",SUMIFS(SALDO_AWAL_2026!$F$33:$F$132,SALDO_AWAL_2026!$A$33:$A$132,A95)+SUMIFS(PENGELUARAN!$K$5:$K$204,PENGELUARAN!$D$5:$D$204,A95,PENGELUARAN!$L$5:$L$204,"Kantor"))</f>
        <v/>
      </c>
      <c r="L95" s="73" t="str">
        <f>IF(A95="","",SUMIFS(PENGELUARAN!$K$5:$K$204,PENGELUARAN!$D$5:$D$204,A95,PENGELUARAN!$L$5:$L$204,"Klien"))</f>
        <v/>
      </c>
      <c r="M95" s="73" t="str">
        <f>IF(A95="","",SUMIFS(PEMASUKAN!$H$5:$H$204,PEMASUKAN!$D$5:$D$204,A95,PEMASUKAN!$M$5:$M$204,"Penggantian Biaya"))</f>
        <v/>
      </c>
      <c r="N95" s="73" t="str">
        <f t="shared" si="13"/>
        <v/>
      </c>
      <c r="O95" s="69" t="str">
        <f t="shared" si="14"/>
        <v/>
      </c>
      <c r="P95" s="73" t="str">
        <f>IF(A95="","",SUMIFS(INVOICE_PIUTANG!$L$5:$L$151,INVOICE_PIUTANG!$D$5:$D$151,A95))</f>
        <v/>
      </c>
      <c r="Q95" s="10"/>
      <c r="R95" s="6"/>
      <c r="S95" s="64"/>
      <c r="T95" s="64"/>
      <c r="U95" s="64"/>
      <c r="V95" s="64"/>
      <c r="W95" s="74" t="str">
        <f>IF(A95="","",SUMIFS(SALDO_AWAL_2026!$G$33:$G$132,SALDO_AWAL_2026!$A$33:$A$132,A95)+SUMIFS(GAJI!$Q$5:$Q$124,GAJI!$X$5:$X$124,A95))</f>
        <v/>
      </c>
      <c r="X95" s="74" t="str">
        <f t="shared" si="15"/>
        <v/>
      </c>
      <c r="Y95" s="74" t="str">
        <f t="shared" si="16"/>
        <v/>
      </c>
      <c r="Z95" s="67" t="str">
        <f t="shared" si="17"/>
        <v/>
      </c>
    </row>
    <row r="96" spans="1:26">
      <c r="A96" s="46"/>
      <c r="B96" s="46"/>
      <c r="C96" s="6"/>
      <c r="D96" s="6"/>
      <c r="E96" s="10"/>
      <c r="F96" s="6"/>
      <c r="G96" s="72"/>
      <c r="H96" s="71" t="str">
        <f>IF(A96="","",SUMIFS(INVOICE_PIUTANG!$G$5:$G$151,INVOICE_PIUTANG!$D$5:$D$151,A96))</f>
        <v/>
      </c>
      <c r="I96" s="71" t="str">
        <f>IF(A96="","",SUMIFS(PEMASUKAN!$H$5:$H$204,PEMASUKAN!$D$5:$D$204,A96,PEMASUKAN!$M$5:$M$204,"Pendapatan Operasional"))</f>
        <v/>
      </c>
      <c r="J96" s="73" t="str">
        <f t="shared" si="12"/>
        <v/>
      </c>
      <c r="K96" s="73" t="str">
        <f>IF(A96="","",SUMIFS(SALDO_AWAL_2026!$F$33:$F$132,SALDO_AWAL_2026!$A$33:$A$132,A96)+SUMIFS(PENGELUARAN!$K$5:$K$204,PENGELUARAN!$D$5:$D$204,A96,PENGELUARAN!$L$5:$L$204,"Kantor"))</f>
        <v/>
      </c>
      <c r="L96" s="73" t="str">
        <f>IF(A96="","",SUMIFS(PENGELUARAN!$K$5:$K$204,PENGELUARAN!$D$5:$D$204,A96,PENGELUARAN!$L$5:$L$204,"Klien"))</f>
        <v/>
      </c>
      <c r="M96" s="73" t="str">
        <f>IF(A96="","",SUMIFS(PEMASUKAN!$H$5:$H$204,PEMASUKAN!$D$5:$D$204,A96,PEMASUKAN!$M$5:$M$204,"Penggantian Biaya"))</f>
        <v/>
      </c>
      <c r="N96" s="73" t="str">
        <f t="shared" si="13"/>
        <v/>
      </c>
      <c r="O96" s="69" t="str">
        <f t="shared" si="14"/>
        <v/>
      </c>
      <c r="P96" s="73" t="str">
        <f>IF(A96="","",SUMIFS(INVOICE_PIUTANG!$L$5:$L$151,INVOICE_PIUTANG!$D$5:$D$151,A96))</f>
        <v/>
      </c>
      <c r="Q96" s="10"/>
      <c r="R96" s="6"/>
      <c r="S96" s="64"/>
      <c r="T96" s="64"/>
      <c r="U96" s="64"/>
      <c r="V96" s="64"/>
      <c r="W96" s="74" t="str">
        <f>IF(A96="","",SUMIFS(SALDO_AWAL_2026!$G$33:$G$132,SALDO_AWAL_2026!$A$33:$A$132,A96)+SUMIFS(GAJI!$Q$5:$Q$124,GAJI!$X$5:$X$124,A96))</f>
        <v/>
      </c>
      <c r="X96" s="74" t="str">
        <f t="shared" si="15"/>
        <v/>
      </c>
      <c r="Y96" s="74" t="str">
        <f t="shared" si="16"/>
        <v/>
      </c>
      <c r="Z96" s="67" t="str">
        <f t="shared" si="17"/>
        <v/>
      </c>
    </row>
    <row r="97" spans="1:26">
      <c r="A97" s="46"/>
      <c r="B97" s="46"/>
      <c r="C97" s="6"/>
      <c r="D97" s="6"/>
      <c r="E97" s="10"/>
      <c r="F97" s="6"/>
      <c r="G97" s="72"/>
      <c r="H97" s="71" t="str">
        <f>IF(A97="","",SUMIFS(INVOICE_PIUTANG!$G$5:$G$151,INVOICE_PIUTANG!$D$5:$D$151,A97))</f>
        <v/>
      </c>
      <c r="I97" s="71" t="str">
        <f>IF(A97="","",SUMIFS(PEMASUKAN!$H$5:$H$204,PEMASUKAN!$D$5:$D$204,A97,PEMASUKAN!$M$5:$M$204,"Pendapatan Operasional"))</f>
        <v/>
      </c>
      <c r="J97" s="73" t="str">
        <f t="shared" si="12"/>
        <v/>
      </c>
      <c r="K97" s="73" t="str">
        <f>IF(A97="","",SUMIFS(SALDO_AWAL_2026!$F$33:$F$132,SALDO_AWAL_2026!$A$33:$A$132,A97)+SUMIFS(PENGELUARAN!$K$5:$K$204,PENGELUARAN!$D$5:$D$204,A97,PENGELUARAN!$L$5:$L$204,"Kantor"))</f>
        <v/>
      </c>
      <c r="L97" s="73" t="str">
        <f>IF(A97="","",SUMIFS(PENGELUARAN!$K$5:$K$204,PENGELUARAN!$D$5:$D$204,A97,PENGELUARAN!$L$5:$L$204,"Klien"))</f>
        <v/>
      </c>
      <c r="M97" s="73" t="str">
        <f>IF(A97="","",SUMIFS(PEMASUKAN!$H$5:$H$204,PEMASUKAN!$D$5:$D$204,A97,PEMASUKAN!$M$5:$M$204,"Penggantian Biaya"))</f>
        <v/>
      </c>
      <c r="N97" s="73" t="str">
        <f t="shared" si="13"/>
        <v/>
      </c>
      <c r="O97" s="69" t="str">
        <f t="shared" si="14"/>
        <v/>
      </c>
      <c r="P97" s="73" t="str">
        <f>IF(A97="","",SUMIFS(INVOICE_PIUTANG!$L$5:$L$151,INVOICE_PIUTANG!$D$5:$D$151,A97))</f>
        <v/>
      </c>
      <c r="Q97" s="10"/>
      <c r="R97" s="6"/>
      <c r="S97" s="64"/>
      <c r="T97" s="64"/>
      <c r="U97" s="64"/>
      <c r="V97" s="64"/>
      <c r="W97" s="74" t="str">
        <f>IF(A97="","",SUMIFS(SALDO_AWAL_2026!$G$33:$G$132,SALDO_AWAL_2026!$A$33:$A$132,A97)+SUMIFS(GAJI!$Q$5:$Q$124,GAJI!$X$5:$X$124,A97))</f>
        <v/>
      </c>
      <c r="X97" s="74" t="str">
        <f t="shared" si="15"/>
        <v/>
      </c>
      <c r="Y97" s="74" t="str">
        <f t="shared" si="16"/>
        <v/>
      </c>
      <c r="Z97" s="67" t="str">
        <f t="shared" si="17"/>
        <v/>
      </c>
    </row>
    <row r="98" spans="1:26">
      <c r="A98" s="46"/>
      <c r="B98" s="46"/>
      <c r="C98" s="6"/>
      <c r="D98" s="6"/>
      <c r="E98" s="10"/>
      <c r="F98" s="6"/>
      <c r="G98" s="72"/>
      <c r="H98" s="71" t="str">
        <f>IF(A98="","",SUMIFS(INVOICE_PIUTANG!$G$5:$G$151,INVOICE_PIUTANG!$D$5:$D$151,A98))</f>
        <v/>
      </c>
      <c r="I98" s="71" t="str">
        <f>IF(A98="","",SUMIFS(PEMASUKAN!$H$5:$H$204,PEMASUKAN!$D$5:$D$204,A98,PEMASUKAN!$M$5:$M$204,"Pendapatan Operasional"))</f>
        <v/>
      </c>
      <c r="J98" s="73" t="str">
        <f t="shared" si="12"/>
        <v/>
      </c>
      <c r="K98" s="73" t="str">
        <f>IF(A98="","",SUMIFS(SALDO_AWAL_2026!$F$33:$F$132,SALDO_AWAL_2026!$A$33:$A$132,A98)+SUMIFS(PENGELUARAN!$K$5:$K$204,PENGELUARAN!$D$5:$D$204,A98,PENGELUARAN!$L$5:$L$204,"Kantor"))</f>
        <v/>
      </c>
      <c r="L98" s="73" t="str">
        <f>IF(A98="","",SUMIFS(PENGELUARAN!$K$5:$K$204,PENGELUARAN!$D$5:$D$204,A98,PENGELUARAN!$L$5:$L$204,"Klien"))</f>
        <v/>
      </c>
      <c r="M98" s="73" t="str">
        <f>IF(A98="","",SUMIFS(PEMASUKAN!$H$5:$H$204,PEMASUKAN!$D$5:$D$204,A98,PEMASUKAN!$M$5:$M$204,"Penggantian Biaya"))</f>
        <v/>
      </c>
      <c r="N98" s="73" t="str">
        <f t="shared" si="13"/>
        <v/>
      </c>
      <c r="O98" s="69" t="str">
        <f t="shared" si="14"/>
        <v/>
      </c>
      <c r="P98" s="73" t="str">
        <f>IF(A98="","",SUMIFS(INVOICE_PIUTANG!$L$5:$L$151,INVOICE_PIUTANG!$D$5:$D$151,A98))</f>
        <v/>
      </c>
      <c r="Q98" s="10"/>
      <c r="R98" s="6"/>
      <c r="S98" s="64"/>
      <c r="T98" s="64"/>
      <c r="U98" s="64"/>
      <c r="V98" s="64"/>
      <c r="W98" s="74" t="str">
        <f>IF(A98="","",SUMIFS(SALDO_AWAL_2026!$G$33:$G$132,SALDO_AWAL_2026!$A$33:$A$132,A98)+SUMIFS(GAJI!$Q$5:$Q$124,GAJI!$X$5:$X$124,A98))</f>
        <v/>
      </c>
      <c r="X98" s="74" t="str">
        <f t="shared" si="15"/>
        <v/>
      </c>
      <c r="Y98" s="74" t="str">
        <f t="shared" si="16"/>
        <v/>
      </c>
      <c r="Z98" s="67" t="str">
        <f t="shared" si="17"/>
        <v/>
      </c>
    </row>
    <row r="99" spans="1:26">
      <c r="A99" s="46"/>
      <c r="B99" s="46"/>
      <c r="C99" s="6"/>
      <c r="D99" s="6"/>
      <c r="E99" s="10"/>
      <c r="F99" s="6"/>
      <c r="G99" s="72"/>
      <c r="H99" s="71" t="str">
        <f>IF(A99="","",SUMIFS(INVOICE_PIUTANG!$G$5:$G$151,INVOICE_PIUTANG!$D$5:$D$151,A99))</f>
        <v/>
      </c>
      <c r="I99" s="71" t="str">
        <f>IF(A99="","",SUMIFS(PEMASUKAN!$H$5:$H$204,PEMASUKAN!$D$5:$D$204,A99,PEMASUKAN!$M$5:$M$204,"Pendapatan Operasional"))</f>
        <v/>
      </c>
      <c r="J99" s="73" t="str">
        <f t="shared" si="12"/>
        <v/>
      </c>
      <c r="K99" s="73" t="str">
        <f>IF(A99="","",SUMIFS(SALDO_AWAL_2026!$F$33:$F$132,SALDO_AWAL_2026!$A$33:$A$132,A99)+SUMIFS(PENGELUARAN!$K$5:$K$204,PENGELUARAN!$D$5:$D$204,A99,PENGELUARAN!$L$5:$L$204,"Kantor"))</f>
        <v/>
      </c>
      <c r="L99" s="73" t="str">
        <f>IF(A99="","",SUMIFS(PENGELUARAN!$K$5:$K$204,PENGELUARAN!$D$5:$D$204,A99,PENGELUARAN!$L$5:$L$204,"Klien"))</f>
        <v/>
      </c>
      <c r="M99" s="73" t="str">
        <f>IF(A99="","",SUMIFS(PEMASUKAN!$H$5:$H$204,PEMASUKAN!$D$5:$D$204,A99,PEMASUKAN!$M$5:$M$204,"Penggantian Biaya"))</f>
        <v/>
      </c>
      <c r="N99" s="73" t="str">
        <f t="shared" si="13"/>
        <v/>
      </c>
      <c r="O99" s="69" t="str">
        <f t="shared" si="14"/>
        <v/>
      </c>
      <c r="P99" s="73" t="str">
        <f>IF(A99="","",SUMIFS(INVOICE_PIUTANG!$L$5:$L$151,INVOICE_PIUTANG!$D$5:$D$151,A99))</f>
        <v/>
      </c>
      <c r="Q99" s="10"/>
      <c r="R99" s="6"/>
      <c r="S99" s="64"/>
      <c r="T99" s="64"/>
      <c r="U99" s="64"/>
      <c r="V99" s="64"/>
      <c r="W99" s="74" t="str">
        <f>IF(A99="","",SUMIFS(SALDO_AWAL_2026!$G$33:$G$132,SALDO_AWAL_2026!$A$33:$A$132,A99)+SUMIFS(GAJI!$Q$5:$Q$124,GAJI!$X$5:$X$124,A99))</f>
        <v/>
      </c>
      <c r="X99" s="74" t="str">
        <f t="shared" si="15"/>
        <v/>
      </c>
      <c r="Y99" s="74" t="str">
        <f t="shared" si="16"/>
        <v/>
      </c>
      <c r="Z99" s="67" t="str">
        <f t="shared" si="17"/>
        <v/>
      </c>
    </row>
    <row r="100" spans="1:26">
      <c r="A100" s="46"/>
      <c r="B100" s="46"/>
      <c r="C100" s="6"/>
      <c r="D100" s="6"/>
      <c r="E100" s="10"/>
      <c r="F100" s="6"/>
      <c r="G100" s="72"/>
      <c r="H100" s="71" t="str">
        <f>IF(A100="","",SUMIFS(INVOICE_PIUTANG!$G$5:$G$151,INVOICE_PIUTANG!$D$5:$D$151,A100))</f>
        <v/>
      </c>
      <c r="I100" s="71" t="str">
        <f>IF(A100="","",SUMIFS(PEMASUKAN!$H$5:$H$204,PEMASUKAN!$D$5:$D$204,A100,PEMASUKAN!$M$5:$M$204,"Pendapatan Operasional"))</f>
        <v/>
      </c>
      <c r="J100" s="73" t="str">
        <f t="shared" si="12"/>
        <v/>
      </c>
      <c r="K100" s="73" t="str">
        <f>IF(A100="","",SUMIFS(SALDO_AWAL_2026!$F$33:$F$132,SALDO_AWAL_2026!$A$33:$A$132,A100)+SUMIFS(PENGELUARAN!$K$5:$K$204,PENGELUARAN!$D$5:$D$204,A100,PENGELUARAN!$L$5:$L$204,"Kantor"))</f>
        <v/>
      </c>
      <c r="L100" s="73" t="str">
        <f>IF(A100="","",SUMIFS(PENGELUARAN!$K$5:$K$204,PENGELUARAN!$D$5:$D$204,A100,PENGELUARAN!$L$5:$L$204,"Klien"))</f>
        <v/>
      </c>
      <c r="M100" s="73" t="str">
        <f>IF(A100="","",SUMIFS(PEMASUKAN!$H$5:$H$204,PEMASUKAN!$D$5:$D$204,A100,PEMASUKAN!$M$5:$M$204,"Penggantian Biaya"))</f>
        <v/>
      </c>
      <c r="N100" s="73" t="str">
        <f t="shared" si="13"/>
        <v/>
      </c>
      <c r="O100" s="69" t="str">
        <f t="shared" si="14"/>
        <v/>
      </c>
      <c r="P100" s="73" t="str">
        <f>IF(A100="","",SUMIFS(INVOICE_PIUTANG!$L$5:$L$151,INVOICE_PIUTANG!$D$5:$D$151,A100))</f>
        <v/>
      </c>
      <c r="Q100" s="10"/>
      <c r="R100" s="6"/>
      <c r="S100" s="64"/>
      <c r="T100" s="64"/>
      <c r="U100" s="64"/>
      <c r="V100" s="64"/>
      <c r="W100" s="74" t="str">
        <f>IF(A100="","",SUMIFS(SALDO_AWAL_2026!$G$33:$G$132,SALDO_AWAL_2026!$A$33:$A$132,A100)+SUMIFS(GAJI!$Q$5:$Q$124,GAJI!$X$5:$X$124,A100))</f>
        <v/>
      </c>
      <c r="X100" s="74" t="str">
        <f t="shared" si="15"/>
        <v/>
      </c>
      <c r="Y100" s="74" t="str">
        <f t="shared" si="16"/>
        <v/>
      </c>
      <c r="Z100" s="67" t="str">
        <f t="shared" si="17"/>
        <v/>
      </c>
    </row>
    <row r="101" spans="1:26">
      <c r="A101" s="46"/>
      <c r="B101" s="46"/>
      <c r="C101" s="6"/>
      <c r="D101" s="6"/>
      <c r="E101" s="10"/>
      <c r="F101" s="6"/>
      <c r="G101" s="72"/>
      <c r="H101" s="71" t="str">
        <f>IF(A101="","",SUMIFS(INVOICE_PIUTANG!$G$5:$G$151,INVOICE_PIUTANG!$D$5:$D$151,A101))</f>
        <v/>
      </c>
      <c r="I101" s="71" t="str">
        <f>IF(A101="","",SUMIFS(PEMASUKAN!$H$5:$H$204,PEMASUKAN!$D$5:$D$204,A101,PEMASUKAN!$M$5:$M$204,"Pendapatan Operasional"))</f>
        <v/>
      </c>
      <c r="J101" s="73" t="str">
        <f t="shared" ref="J101:J104" si="18">IF(A101="","",MAX(G101-I101,0))</f>
        <v/>
      </c>
      <c r="K101" s="73" t="str">
        <f>IF(A101="","",SUMIFS(SALDO_AWAL_2026!$F$33:$F$132,SALDO_AWAL_2026!$A$33:$A$132,A101)+SUMIFS(PENGELUARAN!$K$5:$K$204,PENGELUARAN!$D$5:$D$204,A101,PENGELUARAN!$L$5:$L$204,"Kantor"))</f>
        <v/>
      </c>
      <c r="L101" s="73" t="str">
        <f>IF(A101="","",SUMIFS(PENGELUARAN!$K$5:$K$204,PENGELUARAN!$D$5:$D$204,A101,PENGELUARAN!$L$5:$L$204,"Klien"))</f>
        <v/>
      </c>
      <c r="M101" s="73" t="str">
        <f>IF(A101="","",SUMIFS(PEMASUKAN!$H$5:$H$204,PEMASUKAN!$D$5:$D$204,A101,PEMASUKAN!$M$5:$M$204,"Penggantian Biaya"))</f>
        <v/>
      </c>
      <c r="N101" s="73" t="str">
        <f t="shared" si="13"/>
        <v/>
      </c>
      <c r="O101" s="69" t="str">
        <f t="shared" ref="O101:O104" si="19">IF(A101="","",IF(I101=0,0,N101/I101))</f>
        <v/>
      </c>
      <c r="P101" s="73" t="str">
        <f>IF(A101="","",SUMIFS(INVOICE_PIUTANG!$L$5:$L$151,INVOICE_PIUTANG!$D$5:$D$151,A101))</f>
        <v/>
      </c>
      <c r="Q101" s="10"/>
      <c r="R101" s="6"/>
      <c r="S101" s="64"/>
      <c r="T101" s="64"/>
      <c r="U101" s="64"/>
      <c r="V101" s="64"/>
      <c r="W101" s="74" t="str">
        <f>IF(A101="","",SUMIFS(SALDO_AWAL_2026!$G$33:$G$132,SALDO_AWAL_2026!$A$33:$A$132,A101)+SUMIFS(GAJI!$Q$5:$Q$124,GAJI!$X$5:$X$124,A101))</f>
        <v/>
      </c>
      <c r="X101" s="74" t="str">
        <f t="shared" ref="X101:X104" si="20">IF(A101="","",N101-W101)</f>
        <v/>
      </c>
      <c r="Y101" s="74" t="str">
        <f t="shared" si="16"/>
        <v/>
      </c>
      <c r="Z101" s="67" t="str">
        <f t="shared" si="17"/>
        <v/>
      </c>
    </row>
    <row r="102" spans="1:26">
      <c r="A102" s="46"/>
      <c r="B102" s="46"/>
      <c r="C102" s="6"/>
      <c r="D102" s="6"/>
      <c r="E102" s="10"/>
      <c r="F102" s="6"/>
      <c r="G102" s="72"/>
      <c r="H102" s="71" t="str">
        <f>IF(A102="","",SUMIFS(INVOICE_PIUTANG!$G$5:$G$151,INVOICE_PIUTANG!$D$5:$D$151,A102))</f>
        <v/>
      </c>
      <c r="I102" s="71" t="str">
        <f>IF(A102="","",SUMIFS(PEMASUKAN!$H$5:$H$204,PEMASUKAN!$D$5:$D$204,A102,PEMASUKAN!$M$5:$M$204,"Pendapatan Operasional"))</f>
        <v/>
      </c>
      <c r="J102" s="73" t="str">
        <f t="shared" si="18"/>
        <v/>
      </c>
      <c r="K102" s="73" t="str">
        <f>IF(A102="","",SUMIFS(SALDO_AWAL_2026!$F$33:$F$132,SALDO_AWAL_2026!$A$33:$A$132,A102)+SUMIFS(PENGELUARAN!$K$5:$K$204,PENGELUARAN!$D$5:$D$204,A102,PENGELUARAN!$L$5:$L$204,"Kantor"))</f>
        <v/>
      </c>
      <c r="L102" s="73" t="str">
        <f>IF(A102="","",SUMIFS(PENGELUARAN!$K$5:$K$204,PENGELUARAN!$D$5:$D$204,A102,PENGELUARAN!$L$5:$L$204,"Klien"))</f>
        <v/>
      </c>
      <c r="M102" s="73" t="str">
        <f>IF(A102="","",SUMIFS(PEMASUKAN!$H$5:$H$204,PEMASUKAN!$D$5:$D$204,A102,PEMASUKAN!$M$5:$M$204,"Penggantian Biaya"))</f>
        <v/>
      </c>
      <c r="N102" s="73" t="str">
        <f t="shared" si="13"/>
        <v/>
      </c>
      <c r="O102" s="69" t="str">
        <f t="shared" si="19"/>
        <v/>
      </c>
      <c r="P102" s="73" t="str">
        <f>IF(A102="","",SUMIFS(INVOICE_PIUTANG!$L$5:$L$151,INVOICE_PIUTANG!$D$5:$D$151,A102))</f>
        <v/>
      </c>
      <c r="Q102" s="10"/>
      <c r="R102" s="6"/>
      <c r="S102" s="64"/>
      <c r="T102" s="64"/>
      <c r="U102" s="64"/>
      <c r="V102" s="64"/>
      <c r="W102" s="74" t="str">
        <f>IF(A102="","",SUMIFS(SALDO_AWAL_2026!$G$33:$G$132,SALDO_AWAL_2026!$A$33:$A$132,A102)+SUMIFS(GAJI!$Q$5:$Q$124,GAJI!$X$5:$X$124,A102))</f>
        <v/>
      </c>
      <c r="X102" s="74" t="str">
        <f t="shared" si="20"/>
        <v/>
      </c>
      <c r="Y102" s="74" t="str">
        <f t="shared" si="16"/>
        <v/>
      </c>
      <c r="Z102" s="67" t="str">
        <f t="shared" si="17"/>
        <v/>
      </c>
    </row>
    <row r="103" spans="1:26">
      <c r="A103" s="46"/>
      <c r="B103" s="46"/>
      <c r="C103" s="6"/>
      <c r="D103" s="6"/>
      <c r="E103" s="10"/>
      <c r="F103" s="6"/>
      <c r="G103" s="72"/>
      <c r="H103" s="71" t="str">
        <f>IF(A103="","",SUMIFS(INVOICE_PIUTANG!$G$5:$G$151,INVOICE_PIUTANG!$D$5:$D$151,A103))</f>
        <v/>
      </c>
      <c r="I103" s="71" t="str">
        <f>IF(A103="","",SUMIFS(PEMASUKAN!$H$5:$H$204,PEMASUKAN!$D$5:$D$204,A103,PEMASUKAN!$M$5:$M$204,"Pendapatan Operasional"))</f>
        <v/>
      </c>
      <c r="J103" s="73" t="str">
        <f t="shared" si="18"/>
        <v/>
      </c>
      <c r="K103" s="73" t="str">
        <f>IF(A103="","",SUMIFS(SALDO_AWAL_2026!$F$33:$F$132,SALDO_AWAL_2026!$A$33:$A$132,A103)+SUMIFS(PENGELUARAN!$K$5:$K$204,PENGELUARAN!$D$5:$D$204,A103,PENGELUARAN!$L$5:$L$204,"Kantor"))</f>
        <v/>
      </c>
      <c r="L103" s="73" t="str">
        <f>IF(A103="","",SUMIFS(PENGELUARAN!$K$5:$K$204,PENGELUARAN!$D$5:$D$204,A103,PENGELUARAN!$L$5:$L$204,"Klien"))</f>
        <v/>
      </c>
      <c r="M103" s="73" t="str">
        <f>IF(A103="","",SUMIFS(PEMASUKAN!$H$5:$H$204,PEMASUKAN!$D$5:$D$204,A103,PEMASUKAN!$M$5:$M$204,"Penggantian Biaya"))</f>
        <v/>
      </c>
      <c r="N103" s="73" t="str">
        <f t="shared" si="13"/>
        <v/>
      </c>
      <c r="O103" s="69" t="str">
        <f t="shared" si="19"/>
        <v/>
      </c>
      <c r="P103" s="73" t="str">
        <f>IF(A103="","",SUMIFS(INVOICE_PIUTANG!$L$5:$L$151,INVOICE_PIUTANG!$D$5:$D$151,A103))</f>
        <v/>
      </c>
      <c r="Q103" s="10"/>
      <c r="R103" s="6"/>
      <c r="S103" s="64"/>
      <c r="T103" s="64"/>
      <c r="U103" s="64"/>
      <c r="V103" s="64"/>
      <c r="W103" s="74" t="str">
        <f>IF(A103="","",SUMIFS(SALDO_AWAL_2026!$G$33:$G$132,SALDO_AWAL_2026!$A$33:$A$132,A103)+SUMIFS(GAJI!$Q$5:$Q$124,GAJI!$X$5:$X$124,A103))</f>
        <v/>
      </c>
      <c r="X103" s="74" t="str">
        <f t="shared" si="20"/>
        <v/>
      </c>
      <c r="Y103" s="74" t="str">
        <f t="shared" si="16"/>
        <v/>
      </c>
      <c r="Z103" s="67" t="str">
        <f t="shared" si="17"/>
        <v/>
      </c>
    </row>
    <row r="104" spans="1:26">
      <c r="A104" s="46"/>
      <c r="B104" s="46"/>
      <c r="C104" s="6"/>
      <c r="D104" s="6"/>
      <c r="E104" s="10"/>
      <c r="F104" s="6"/>
      <c r="G104" s="72"/>
      <c r="H104" s="71" t="str">
        <f>IF(A104="","",SUMIFS(INVOICE_PIUTANG!$G$5:$G$151,INVOICE_PIUTANG!$D$5:$D$151,A104))</f>
        <v/>
      </c>
      <c r="I104" s="71" t="str">
        <f>IF(A104="","",SUMIFS(PEMASUKAN!$H$5:$H$204,PEMASUKAN!$D$5:$D$204,A104,PEMASUKAN!$M$5:$M$204,"Pendapatan Operasional"))</f>
        <v/>
      </c>
      <c r="J104" s="73" t="str">
        <f t="shared" si="18"/>
        <v/>
      </c>
      <c r="K104" s="73" t="str">
        <f>IF(A104="","",SUMIFS(SALDO_AWAL_2026!$F$33:$F$132,SALDO_AWAL_2026!$A$33:$A$132,A104)+SUMIFS(PENGELUARAN!$K$5:$K$204,PENGELUARAN!$D$5:$D$204,A104,PENGELUARAN!$L$5:$L$204,"Kantor"))</f>
        <v/>
      </c>
      <c r="L104" s="73" t="str">
        <f>IF(A104="","",SUMIFS(PENGELUARAN!$K$5:$K$204,PENGELUARAN!$D$5:$D$204,A104,PENGELUARAN!$L$5:$L$204,"Klien"))</f>
        <v/>
      </c>
      <c r="M104" s="73" t="str">
        <f>IF(A104="","",SUMIFS(PEMASUKAN!$H$5:$H$204,PEMASUKAN!$D$5:$D$204,A104,PEMASUKAN!$M$5:$M$204,"Penggantian Biaya"))</f>
        <v/>
      </c>
      <c r="N104" s="73" t="str">
        <f t="shared" si="13"/>
        <v/>
      </c>
      <c r="O104" s="69" t="str">
        <f t="shared" si="19"/>
        <v/>
      </c>
      <c r="P104" s="73" t="str">
        <f>IF(A104="","",SUMIFS(INVOICE_PIUTANG!$L$5:$L$151,INVOICE_PIUTANG!$D$5:$D$151,A104))</f>
        <v/>
      </c>
      <c r="Q104" s="10"/>
      <c r="R104" s="6"/>
      <c r="S104" s="64"/>
      <c r="T104" s="64"/>
      <c r="U104" s="64"/>
      <c r="V104" s="64"/>
      <c r="W104" s="74" t="str">
        <f>IF(A104="","",SUMIFS(SALDO_AWAL_2026!$G$33:$G$132,SALDO_AWAL_2026!$A$33:$A$132,A104)+SUMIFS(GAJI!$Q$5:$Q$124,GAJI!$X$5:$X$124,A104))</f>
        <v/>
      </c>
      <c r="X104" s="74" t="str">
        <f t="shared" si="20"/>
        <v/>
      </c>
      <c r="Y104" s="74" t="str">
        <f t="shared" si="16"/>
        <v/>
      </c>
      <c r="Z104" s="67" t="str">
        <f t="shared" si="17"/>
        <v/>
      </c>
    </row>
  </sheetData>
  <mergeCells count="2">
    <mergeCell ref="A3:R3"/>
    <mergeCell ref="A1:R2"/>
  </mergeCells>
  <conditionalFormatting sqref="A5:A104">
    <cfRule type="expression" dxfId="42" priority="1">
      <formula>AND($A5&lt;&gt;"",COUNTIF($A$5:$A$104,$A5)&gt;1)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200-000000000000}">
          <x14:formula1>
            <xm:f>MASTER!$A$5:$A$7</xm:f>
          </x14:formula1>
          <xm:sqref>D5:D104</xm:sqref>
        </x14:dataValidation>
        <x14:dataValidation type="list" xr:uid="{00000000-0002-0000-0200-000001000000}">
          <x14:formula1>
            <xm:f>MASTER!$AC$5:$AC$9</xm:f>
          </x14:formula1>
          <xm:sqref>F5:F104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04"/>
  <sheetViews>
    <sheetView showGridLines="0" workbookViewId="0">
      <selection activeCell="G5" sqref="G5"/>
    </sheetView>
  </sheetViews>
  <sheetFormatPr defaultRowHeight="13.8"/>
  <cols>
    <col min="1" max="1" width="20" customWidth="1"/>
    <col min="2" max="2" width="15" customWidth="1"/>
    <col min="3" max="3" width="12" customWidth="1"/>
    <col min="4" max="4" width="18" customWidth="1"/>
    <col min="5" max="5" width="26" customWidth="1"/>
    <col min="6" max="6" width="25" customWidth="1"/>
    <col min="7" max="7" width="20" customWidth="1"/>
    <col min="8" max="9" width="19" customWidth="1"/>
    <col min="10" max="10" width="21" customWidth="1"/>
    <col min="11" max="11" width="20" customWidth="1"/>
    <col min="12" max="12" width="17" customWidth="1"/>
    <col min="13" max="13" width="25" customWidth="1"/>
    <col min="14" max="14" width="27" customWidth="1"/>
    <col min="15" max="15" width="18" customWidth="1"/>
    <col min="16" max="16" width="21" customWidth="1"/>
    <col min="17" max="17" width="34" customWidth="1"/>
    <col min="19" max="22" width="21" customWidth="1"/>
  </cols>
  <sheetData>
    <row r="1" spans="1:22" ht="25.05" customHeight="1">
      <c r="A1" s="282" t="s">
        <v>80</v>
      </c>
      <c r="B1" s="282" t="s">
        <v>80</v>
      </c>
      <c r="C1" s="282" t="s">
        <v>80</v>
      </c>
      <c r="D1" s="282" t="s">
        <v>80</v>
      </c>
      <c r="E1" s="282" t="s">
        <v>80</v>
      </c>
      <c r="F1" s="282" t="s">
        <v>80</v>
      </c>
      <c r="G1" s="282" t="s">
        <v>80</v>
      </c>
      <c r="H1" s="282" t="s">
        <v>80</v>
      </c>
      <c r="I1" s="282" t="s">
        <v>80</v>
      </c>
      <c r="J1" s="282" t="s">
        <v>80</v>
      </c>
      <c r="K1" s="282" t="s">
        <v>80</v>
      </c>
      <c r="L1" s="282" t="s">
        <v>80</v>
      </c>
      <c r="M1" s="282" t="s">
        <v>80</v>
      </c>
      <c r="N1" s="282" t="s">
        <v>80</v>
      </c>
      <c r="O1" s="282" t="s">
        <v>80</v>
      </c>
      <c r="P1" s="282" t="s">
        <v>80</v>
      </c>
      <c r="Q1" s="282" t="s">
        <v>80</v>
      </c>
      <c r="R1" s="283"/>
      <c r="S1" s="283"/>
      <c r="T1" s="283"/>
      <c r="U1" s="283"/>
      <c r="V1" s="283"/>
    </row>
    <row r="2" spans="1:22" ht="25.05" customHeight="1">
      <c r="A2" s="282" t="s">
        <v>80</v>
      </c>
      <c r="B2" s="282" t="s">
        <v>80</v>
      </c>
      <c r="C2" s="282" t="s">
        <v>80</v>
      </c>
      <c r="D2" s="282" t="s">
        <v>80</v>
      </c>
      <c r="E2" s="282" t="s">
        <v>80</v>
      </c>
      <c r="F2" s="282" t="s">
        <v>80</v>
      </c>
      <c r="G2" s="282" t="s">
        <v>80</v>
      </c>
      <c r="H2" s="282" t="s">
        <v>80</v>
      </c>
      <c r="I2" s="282" t="s">
        <v>80</v>
      </c>
      <c r="J2" s="282" t="s">
        <v>80</v>
      </c>
      <c r="K2" s="282" t="s">
        <v>80</v>
      </c>
      <c r="L2" s="282" t="s">
        <v>80</v>
      </c>
      <c r="M2" s="282" t="s">
        <v>80</v>
      </c>
      <c r="N2" s="282" t="s">
        <v>80</v>
      </c>
      <c r="O2" s="282" t="s">
        <v>80</v>
      </c>
      <c r="P2" s="282" t="s">
        <v>80</v>
      </c>
      <c r="Q2" s="282" t="s">
        <v>80</v>
      </c>
      <c r="R2" s="283"/>
      <c r="S2" s="283"/>
      <c r="T2" s="283"/>
      <c r="U2" s="283"/>
      <c r="V2" s="283"/>
    </row>
    <row r="3" spans="1:22" ht="30" customHeight="1">
      <c r="A3" s="284" t="s">
        <v>579</v>
      </c>
      <c r="B3" s="284" t="s">
        <v>81</v>
      </c>
      <c r="C3" s="284" t="s">
        <v>81</v>
      </c>
      <c r="D3" s="284" t="s">
        <v>81</v>
      </c>
      <c r="E3" s="284" t="s">
        <v>81</v>
      </c>
      <c r="F3" s="284" t="s">
        <v>81</v>
      </c>
      <c r="G3" s="284" t="s">
        <v>81</v>
      </c>
      <c r="H3" s="284" t="s">
        <v>81</v>
      </c>
      <c r="I3" s="284" t="s">
        <v>81</v>
      </c>
      <c r="J3" s="284" t="s">
        <v>81</v>
      </c>
      <c r="K3" s="284" t="s">
        <v>81</v>
      </c>
      <c r="L3" s="284" t="s">
        <v>81</v>
      </c>
      <c r="M3" s="284" t="s">
        <v>81</v>
      </c>
      <c r="N3" s="284" t="s">
        <v>81</v>
      </c>
      <c r="O3" s="284" t="s">
        <v>81</v>
      </c>
      <c r="P3" s="284" t="s">
        <v>81</v>
      </c>
      <c r="Q3" s="284" t="s">
        <v>81</v>
      </c>
      <c r="R3" s="285"/>
      <c r="S3" s="285"/>
      <c r="T3" s="285"/>
      <c r="U3" s="285"/>
      <c r="V3" s="285"/>
    </row>
    <row r="4" spans="1:22" ht="34.950000000000003" customHeight="1">
      <c r="A4" s="7" t="s">
        <v>82</v>
      </c>
      <c r="B4" s="7" t="s">
        <v>83</v>
      </c>
      <c r="C4" s="7" t="s">
        <v>84</v>
      </c>
      <c r="D4" s="7" t="s">
        <v>62</v>
      </c>
      <c r="E4" s="7" t="s">
        <v>85</v>
      </c>
      <c r="F4" s="7" t="s">
        <v>86</v>
      </c>
      <c r="G4" s="7" t="s">
        <v>87</v>
      </c>
      <c r="H4" s="7" t="s">
        <v>88</v>
      </c>
      <c r="I4" s="7" t="s">
        <v>89</v>
      </c>
      <c r="J4" s="7" t="s">
        <v>90</v>
      </c>
      <c r="K4" s="7" t="s">
        <v>91</v>
      </c>
      <c r="L4" s="7" t="s">
        <v>92</v>
      </c>
      <c r="M4" s="7" t="s">
        <v>93</v>
      </c>
      <c r="N4" s="7" t="s">
        <v>94</v>
      </c>
      <c r="O4" s="7" t="s">
        <v>95</v>
      </c>
      <c r="P4" s="100" t="s">
        <v>580</v>
      </c>
      <c r="Q4" s="7" t="s">
        <v>79</v>
      </c>
      <c r="R4" s="66" t="s">
        <v>581</v>
      </c>
      <c r="S4" s="101" t="s">
        <v>582</v>
      </c>
      <c r="T4" s="101" t="s">
        <v>583</v>
      </c>
      <c r="U4" s="101" t="s">
        <v>584</v>
      </c>
      <c r="V4" s="101" t="s">
        <v>585</v>
      </c>
    </row>
    <row r="5" spans="1:22" s="185" customFormat="1">
      <c r="A5" s="179" t="str">
        <f t="shared" ref="A5:A36" si="0">IF(B5="","",IFERROR("INC-"&amp;TEXT(B5,"yyyymmdd")&amp;"-"&amp;TEXT(ROW()-4,"000"),"TANGGAL TIDAK VALID"))</f>
        <v>INC-20260729-001</v>
      </c>
      <c r="B5" s="180">
        <v>46232</v>
      </c>
      <c r="C5" s="179" t="str">
        <f t="shared" ref="C5:C36" si="1">IF(B5="","",IFERROR(TEXT(B5,"yyyy-mm"),"TANGGAL TIDAK VALID"))</f>
        <v>2026-07</v>
      </c>
      <c r="D5" s="181" t="s">
        <v>576</v>
      </c>
      <c r="E5" s="182" t="str">
        <f>IF(D5="","",IFERROR(INDEX(PERKARA!$B$5:$B$104,MATCH(D5,PERKARA!$A$5:$A$104,0)),"ID TIDAK TERDAFTAR"))</f>
        <v>PT KKG</v>
      </c>
      <c r="F5" s="183" t="s">
        <v>280</v>
      </c>
      <c r="G5" s="183" t="s">
        <v>1018</v>
      </c>
      <c r="H5" s="203">
        <v>16000000</v>
      </c>
      <c r="I5" s="203">
        <v>0</v>
      </c>
      <c r="J5" s="204">
        <f t="shared" ref="J5:J36" si="2">IF(B5="","",MAX(H5-I5,0))</f>
        <v>16000000</v>
      </c>
      <c r="K5" s="183" t="s">
        <v>182</v>
      </c>
      <c r="L5" s="183" t="s">
        <v>789</v>
      </c>
      <c r="M5" s="179" t="str">
        <f t="shared" ref="M5:M36" si="3">IF(F5="","",IF(F5="Reimburse dari Klien","Penggantian Biaya",IF(F5="Dana Titipan Klien","Dana Klien",IF(F5="Setoran Modal Partner","Modal Partner",IF(F5="Pinjaman","Pinjaman","Pendapatan Operasional")))))</f>
        <v>Pendapatan Operasional</v>
      </c>
      <c r="N5" s="183"/>
      <c r="O5" s="183" t="s">
        <v>778</v>
      </c>
      <c r="P5" s="184" t="s">
        <v>577</v>
      </c>
      <c r="Q5" s="183"/>
      <c r="R5" s="205" t="str">
        <f>IF(B5="","",IF(AND(G5&lt;&gt;"",COUNTIF(INVOICE_PIUTANG!$A$5:$A$151,G5)=0),"INVOICE BELUM TERDAFTAR",IF(AND(D5&lt;&gt;"",E5="ID TIDAK TERDAFTAR"),"PERKARA TIDAK VALID",IF(K5="","AKUN BELUM DIISI",IF(AND(G5&lt;&gt;"",D5&lt;&gt;IFERROR(INDEX(INVOICE_PIUTANG!$D$5:$D$151,MATCH(G5,INVOICE_PIUTANG!$A$5:$A$151,0)),"")),"PERKARA TIDAK SESUAI INVOICE",IF(V5&lt;&gt;"LENGKAP","PENERIMAAN BELUM DIKONFIRMASI","OK"))))))</f>
        <v>OK</v>
      </c>
      <c r="S5" s="206" t="s">
        <v>996</v>
      </c>
      <c r="T5" s="207">
        <v>46231</v>
      </c>
      <c r="U5" s="206"/>
      <c r="V5" s="208" t="str">
        <f t="shared" ref="V5:V36" si="4">IF(B5="","",IF(S5="Ditolak","DITOLAK",IF(AND(S5="Dikonfirmasi",P5&lt;&gt;""),"LENGKAP",IF(S5="Dikonfirmasi","NAMA PENYETUJU BELUM DIISI","MENUNGGU KONFIRMASI MANUAL"))))</f>
        <v>LENGKAP</v>
      </c>
    </row>
    <row r="6" spans="1:22" s="185" customFormat="1">
      <c r="A6" s="179" t="str">
        <f t="shared" si="0"/>
        <v/>
      </c>
      <c r="B6" s="180"/>
      <c r="C6" s="179" t="str">
        <f t="shared" si="1"/>
        <v/>
      </c>
      <c r="D6" s="181" t="str">
        <f>IF(G6="","",IFERROR(INDEX(INVOICE_PIUTANG!$D$5:$D$151,MATCH(G6,INVOICE_PIUTANG!$A$5:$A$151,0)),""))</f>
        <v/>
      </c>
      <c r="E6" s="182" t="str">
        <f>IF(D6="","",IFERROR(INDEX(PERKARA!$B$5:$B$104,MATCH(D6,PERKARA!$A$5:$A$104,0)),"ID TIDAK TERDAFTAR"))</f>
        <v/>
      </c>
      <c r="F6" s="183"/>
      <c r="G6" s="183"/>
      <c r="H6" s="203"/>
      <c r="I6" s="203"/>
      <c r="J6" s="204" t="str">
        <f t="shared" si="2"/>
        <v/>
      </c>
      <c r="K6" s="183"/>
      <c r="L6" s="183"/>
      <c r="M6" s="179" t="str">
        <f t="shared" si="3"/>
        <v/>
      </c>
      <c r="N6" s="183"/>
      <c r="O6" s="183"/>
      <c r="P6" s="184"/>
      <c r="Q6" s="183"/>
      <c r="R6" s="205" t="str">
        <f>IF(B6="","",IF(AND(G6&lt;&gt;"",COUNTIF(INVOICE_PIUTANG!$A$5:$A$151,G6)=0),"INVOICE BELUM TERDAFTAR",IF(AND(D6&lt;&gt;"",E6="ID TIDAK TERDAFTAR"),"PERKARA TIDAK VALID",IF(K6="","AKUN BELUM DIISI",IF(AND(G6&lt;&gt;"",D6&lt;&gt;IFERROR(INDEX(INVOICE_PIUTANG!$D$5:$D$151,MATCH(G6,INVOICE_PIUTANG!$A$5:$A$151,0)),"")),"PERKARA TIDAK SESUAI INVOICE",IF(V6&lt;&gt;"LENGKAP","PENERIMAAN BELUM DIKONFIRMASI","OK"))))))</f>
        <v/>
      </c>
      <c r="S6" s="206"/>
      <c r="T6" s="207"/>
      <c r="U6" s="206"/>
      <c r="V6" s="208" t="str">
        <f t="shared" si="4"/>
        <v/>
      </c>
    </row>
    <row r="7" spans="1:22" s="185" customFormat="1">
      <c r="A7" s="179" t="str">
        <f t="shared" si="0"/>
        <v/>
      </c>
      <c r="B7" s="180"/>
      <c r="C7" s="179" t="str">
        <f t="shared" si="1"/>
        <v/>
      </c>
      <c r="D7" s="181" t="str">
        <f>IF(G7="","",IFERROR(INDEX(INVOICE_PIUTANG!$D$5:$D$151,MATCH(G7,INVOICE_PIUTANG!$A$5:$A$151,0)),""))</f>
        <v/>
      </c>
      <c r="E7" s="182" t="str">
        <f>IF(D7="","",IFERROR(INDEX(PERKARA!$B$5:$B$104,MATCH(D7,PERKARA!$A$5:$A$104,0)),"ID TIDAK TERDAFTAR"))</f>
        <v/>
      </c>
      <c r="F7" s="183"/>
      <c r="G7" s="183"/>
      <c r="H7" s="203"/>
      <c r="I7" s="203"/>
      <c r="J7" s="204" t="str">
        <f t="shared" si="2"/>
        <v/>
      </c>
      <c r="K7" s="183"/>
      <c r="L7" s="183"/>
      <c r="M7" s="179" t="str">
        <f t="shared" si="3"/>
        <v/>
      </c>
      <c r="N7" s="183"/>
      <c r="O7" s="183"/>
      <c r="P7" s="184"/>
      <c r="Q7" s="183"/>
      <c r="R7" s="205" t="str">
        <f>IF(B7="","",IF(AND(G7&lt;&gt;"",COUNTIF(INVOICE_PIUTANG!$A$5:$A$151,G7)=0),"INVOICE BELUM TERDAFTAR",IF(AND(D7&lt;&gt;"",E7="ID TIDAK TERDAFTAR"),"PERKARA TIDAK VALID",IF(K7="","AKUN BELUM DIISI",IF(AND(G7&lt;&gt;"",D7&lt;&gt;IFERROR(INDEX(INVOICE_PIUTANG!$D$5:$D$151,MATCH(G7,INVOICE_PIUTANG!$A$5:$A$151,0)),"")),"PERKARA TIDAK SESUAI INVOICE",IF(V7&lt;&gt;"LENGKAP","PENERIMAAN BELUM DIKONFIRMASI","OK"))))))</f>
        <v/>
      </c>
      <c r="S7" s="206"/>
      <c r="T7" s="207"/>
      <c r="U7" s="206"/>
      <c r="V7" s="208" t="str">
        <f t="shared" si="4"/>
        <v/>
      </c>
    </row>
    <row r="8" spans="1:22" s="185" customFormat="1">
      <c r="A8" s="179" t="str">
        <f t="shared" si="0"/>
        <v/>
      </c>
      <c r="B8" s="180"/>
      <c r="C8" s="179" t="str">
        <f t="shared" si="1"/>
        <v/>
      </c>
      <c r="D8" s="181" t="str">
        <f>IF(G8="","",IFERROR(INDEX(INVOICE_PIUTANG!$D$5:$D$151,MATCH(G8,INVOICE_PIUTANG!$A$5:$A$151,0)),""))</f>
        <v/>
      </c>
      <c r="E8" s="182" t="str">
        <f>IF(D8="","",IFERROR(INDEX(PERKARA!$B$5:$B$104,MATCH(D8,PERKARA!$A$5:$A$104,0)),"ID TIDAK TERDAFTAR"))</f>
        <v/>
      </c>
      <c r="F8" s="183"/>
      <c r="G8" s="183"/>
      <c r="H8" s="203"/>
      <c r="I8" s="203"/>
      <c r="J8" s="204" t="str">
        <f t="shared" si="2"/>
        <v/>
      </c>
      <c r="K8" s="183"/>
      <c r="L8" s="183"/>
      <c r="M8" s="179" t="str">
        <f t="shared" si="3"/>
        <v/>
      </c>
      <c r="N8" s="183"/>
      <c r="O8" s="183"/>
      <c r="P8" s="184"/>
      <c r="Q8" s="183"/>
      <c r="R8" s="205" t="str">
        <f>IF(B8="","",IF(AND(G8&lt;&gt;"",COUNTIF(INVOICE_PIUTANG!$A$5:$A$151,G8)=0),"INVOICE BELUM TERDAFTAR",IF(AND(D8&lt;&gt;"",E8="ID TIDAK TERDAFTAR"),"PERKARA TIDAK VALID",IF(K8="","AKUN BELUM DIISI",IF(AND(G8&lt;&gt;"",D8&lt;&gt;IFERROR(INDEX(INVOICE_PIUTANG!$D$5:$D$151,MATCH(G8,INVOICE_PIUTANG!$A$5:$A$151,0)),"")),"PERKARA TIDAK SESUAI INVOICE",IF(V8&lt;&gt;"LENGKAP","PENERIMAAN BELUM DIKONFIRMASI","OK"))))))</f>
        <v/>
      </c>
      <c r="S8" s="206"/>
      <c r="T8" s="207"/>
      <c r="U8" s="206"/>
      <c r="V8" s="208" t="str">
        <f t="shared" si="4"/>
        <v/>
      </c>
    </row>
    <row r="9" spans="1:22" s="185" customFormat="1">
      <c r="A9" s="179" t="str">
        <f t="shared" si="0"/>
        <v/>
      </c>
      <c r="B9" s="180"/>
      <c r="C9" s="179" t="str">
        <f t="shared" si="1"/>
        <v/>
      </c>
      <c r="D9" s="181" t="str">
        <f>IF(G9="","",IFERROR(INDEX(INVOICE_PIUTANG!$D$5:$D$151,MATCH(G9,INVOICE_PIUTANG!$A$5:$A$151,0)),""))</f>
        <v/>
      </c>
      <c r="E9" s="182" t="str">
        <f>IF(D9="","",IFERROR(INDEX(PERKARA!$B$5:$B$104,MATCH(D9,PERKARA!$A$5:$A$104,0)),"ID TIDAK TERDAFTAR"))</f>
        <v/>
      </c>
      <c r="F9" s="183"/>
      <c r="G9" s="183"/>
      <c r="H9" s="203"/>
      <c r="I9" s="203"/>
      <c r="J9" s="204" t="str">
        <f t="shared" si="2"/>
        <v/>
      </c>
      <c r="K9" s="183"/>
      <c r="L9" s="183"/>
      <c r="M9" s="179" t="str">
        <f t="shared" si="3"/>
        <v/>
      </c>
      <c r="N9" s="183"/>
      <c r="O9" s="183"/>
      <c r="P9" s="184"/>
      <c r="Q9" s="183"/>
      <c r="R9" s="205" t="str">
        <f>IF(B9="","",IF(AND(G9&lt;&gt;"",COUNTIF(INVOICE_PIUTANG!$A$5:$A$151,G9)=0),"INVOICE BELUM TERDAFTAR",IF(AND(D9&lt;&gt;"",E9="ID TIDAK TERDAFTAR"),"PERKARA TIDAK VALID",IF(K9="","AKUN BELUM DIISI",IF(AND(G9&lt;&gt;"",D9&lt;&gt;IFERROR(INDEX(INVOICE_PIUTANG!$D$5:$D$151,MATCH(G9,INVOICE_PIUTANG!$A$5:$A$151,0)),"")),"PERKARA TIDAK SESUAI INVOICE",IF(V9&lt;&gt;"LENGKAP","PENERIMAAN BELUM DIKONFIRMASI","OK"))))))</f>
        <v/>
      </c>
      <c r="S9" s="206"/>
      <c r="T9" s="207"/>
      <c r="U9" s="206"/>
      <c r="V9" s="208" t="str">
        <f t="shared" si="4"/>
        <v/>
      </c>
    </row>
    <row r="10" spans="1:22" s="185" customFormat="1">
      <c r="A10" s="179" t="str">
        <f t="shared" si="0"/>
        <v/>
      </c>
      <c r="B10" s="180"/>
      <c r="C10" s="179" t="str">
        <f t="shared" si="1"/>
        <v/>
      </c>
      <c r="D10" s="181" t="str">
        <f>IF(G10="","",IFERROR(INDEX(INVOICE_PIUTANG!$D$5:$D$151,MATCH(G10,INVOICE_PIUTANG!$A$5:$A$151,0)),""))</f>
        <v/>
      </c>
      <c r="E10" s="182" t="str">
        <f>IF(D10="","",IFERROR(INDEX(PERKARA!$B$5:$B$104,MATCH(D10,PERKARA!$A$5:$A$104,0)),"ID TIDAK TERDAFTAR"))</f>
        <v/>
      </c>
      <c r="F10" s="183"/>
      <c r="G10" s="183"/>
      <c r="H10" s="203"/>
      <c r="I10" s="203"/>
      <c r="J10" s="204" t="str">
        <f t="shared" si="2"/>
        <v/>
      </c>
      <c r="K10" s="183"/>
      <c r="L10" s="183"/>
      <c r="M10" s="179" t="str">
        <f t="shared" si="3"/>
        <v/>
      </c>
      <c r="N10" s="183"/>
      <c r="O10" s="183"/>
      <c r="P10" s="184"/>
      <c r="Q10" s="183"/>
      <c r="R10" s="205" t="str">
        <f>IF(B10="","",IF(AND(G10&lt;&gt;"",COUNTIF(INVOICE_PIUTANG!$A$5:$A$151,G10)=0),"INVOICE BELUM TERDAFTAR",IF(AND(D10&lt;&gt;"",E10="ID TIDAK TERDAFTAR"),"PERKARA TIDAK VALID",IF(K10="","AKUN BELUM DIISI",IF(AND(G10&lt;&gt;"",D10&lt;&gt;IFERROR(INDEX(INVOICE_PIUTANG!$D$5:$D$151,MATCH(G10,INVOICE_PIUTANG!$A$5:$A$151,0)),"")),"PERKARA TIDAK SESUAI INVOICE",IF(V10&lt;&gt;"LENGKAP","PENERIMAAN BELUM DIKONFIRMASI","OK"))))))</f>
        <v/>
      </c>
      <c r="S10" s="206"/>
      <c r="T10" s="207"/>
      <c r="U10" s="206"/>
      <c r="V10" s="208" t="str">
        <f t="shared" si="4"/>
        <v/>
      </c>
    </row>
    <row r="11" spans="1:22" s="185" customFormat="1">
      <c r="A11" s="179" t="str">
        <f t="shared" si="0"/>
        <v/>
      </c>
      <c r="B11" s="180"/>
      <c r="C11" s="179" t="str">
        <f t="shared" si="1"/>
        <v/>
      </c>
      <c r="D11" s="181" t="str">
        <f>IF(G11="","",IFERROR(INDEX(INVOICE_PIUTANG!$D$5:$D$151,MATCH(G11,INVOICE_PIUTANG!$A$5:$A$151,0)),""))</f>
        <v/>
      </c>
      <c r="E11" s="182" t="str">
        <f>IF(D11="","",IFERROR(INDEX(PERKARA!$B$5:$B$104,MATCH(D11,PERKARA!$A$5:$A$104,0)),"ID TIDAK TERDAFTAR"))</f>
        <v/>
      </c>
      <c r="F11" s="183"/>
      <c r="G11" s="183"/>
      <c r="H11" s="203"/>
      <c r="I11" s="203"/>
      <c r="J11" s="204" t="str">
        <f t="shared" si="2"/>
        <v/>
      </c>
      <c r="K11" s="183"/>
      <c r="L11" s="183"/>
      <c r="M11" s="179" t="str">
        <f t="shared" si="3"/>
        <v/>
      </c>
      <c r="N11" s="183"/>
      <c r="O11" s="183"/>
      <c r="P11" s="184"/>
      <c r="Q11" s="183"/>
      <c r="R11" s="205" t="str">
        <f>IF(B11="","",IF(AND(G11&lt;&gt;"",COUNTIF(INVOICE_PIUTANG!$A$5:$A$151,G11)=0),"INVOICE BELUM TERDAFTAR",IF(AND(D11&lt;&gt;"",E11="ID TIDAK TERDAFTAR"),"PERKARA TIDAK VALID",IF(K11="","AKUN BELUM DIISI",IF(AND(G11&lt;&gt;"",D11&lt;&gt;IFERROR(INDEX(INVOICE_PIUTANG!$D$5:$D$151,MATCH(G11,INVOICE_PIUTANG!$A$5:$A$151,0)),"")),"PERKARA TIDAK SESUAI INVOICE",IF(V11&lt;&gt;"LENGKAP","PENERIMAAN BELUM DIKONFIRMASI","OK"))))))</f>
        <v/>
      </c>
      <c r="S11" s="206"/>
      <c r="T11" s="207"/>
      <c r="U11" s="206"/>
      <c r="V11" s="208" t="str">
        <f t="shared" si="4"/>
        <v/>
      </c>
    </row>
    <row r="12" spans="1:22" s="185" customFormat="1">
      <c r="A12" s="179" t="str">
        <f t="shared" si="0"/>
        <v/>
      </c>
      <c r="B12" s="180"/>
      <c r="C12" s="179" t="str">
        <f t="shared" si="1"/>
        <v/>
      </c>
      <c r="D12" s="181" t="str">
        <f>IF(G12="","",IFERROR(INDEX(INVOICE_PIUTANG!$D$5:$D$151,MATCH(G12,INVOICE_PIUTANG!$A$5:$A$151,0)),""))</f>
        <v/>
      </c>
      <c r="E12" s="182" t="str">
        <f>IF(D12="","",IFERROR(INDEX(PERKARA!$B$5:$B$104,MATCH(D12,PERKARA!$A$5:$A$104,0)),"ID TIDAK TERDAFTAR"))</f>
        <v/>
      </c>
      <c r="F12" s="183"/>
      <c r="G12" s="183"/>
      <c r="H12" s="203"/>
      <c r="I12" s="203"/>
      <c r="J12" s="204" t="str">
        <f t="shared" si="2"/>
        <v/>
      </c>
      <c r="K12" s="183"/>
      <c r="L12" s="183"/>
      <c r="M12" s="179" t="str">
        <f t="shared" si="3"/>
        <v/>
      </c>
      <c r="N12" s="183"/>
      <c r="O12" s="183"/>
      <c r="P12" s="184"/>
      <c r="Q12" s="183"/>
      <c r="R12" s="205" t="str">
        <f>IF(B12="","",IF(AND(G12&lt;&gt;"",COUNTIF(INVOICE_PIUTANG!$A$5:$A$151,G12)=0),"INVOICE BELUM TERDAFTAR",IF(AND(D12&lt;&gt;"",E12="ID TIDAK TERDAFTAR"),"PERKARA TIDAK VALID",IF(K12="","AKUN BELUM DIISI",IF(AND(G12&lt;&gt;"",D12&lt;&gt;IFERROR(INDEX(INVOICE_PIUTANG!$D$5:$D$151,MATCH(G12,INVOICE_PIUTANG!$A$5:$A$151,0)),"")),"PERKARA TIDAK SESUAI INVOICE",IF(V12&lt;&gt;"LENGKAP","PENERIMAAN BELUM DIKONFIRMASI","OK"))))))</f>
        <v/>
      </c>
      <c r="S12" s="206"/>
      <c r="T12" s="207"/>
      <c r="U12" s="206"/>
      <c r="V12" s="208" t="str">
        <f t="shared" si="4"/>
        <v/>
      </c>
    </row>
    <row r="13" spans="1:22" s="185" customFormat="1">
      <c r="A13" s="179" t="str">
        <f t="shared" si="0"/>
        <v/>
      </c>
      <c r="B13" s="180"/>
      <c r="C13" s="179" t="str">
        <f t="shared" si="1"/>
        <v/>
      </c>
      <c r="D13" s="181" t="str">
        <f>IF(G13="","",IFERROR(INDEX(INVOICE_PIUTANG!$D$5:$D$151,MATCH(G13,INVOICE_PIUTANG!$A$5:$A$151,0)),""))</f>
        <v/>
      </c>
      <c r="E13" s="182" t="str">
        <f>IF(D13="","",IFERROR(INDEX(PERKARA!$B$5:$B$104,MATCH(D13,PERKARA!$A$5:$A$104,0)),"ID TIDAK TERDAFTAR"))</f>
        <v/>
      </c>
      <c r="F13" s="183"/>
      <c r="G13" s="183"/>
      <c r="H13" s="203"/>
      <c r="I13" s="203"/>
      <c r="J13" s="204" t="str">
        <f t="shared" si="2"/>
        <v/>
      </c>
      <c r="K13" s="183"/>
      <c r="L13" s="183"/>
      <c r="M13" s="179" t="str">
        <f t="shared" si="3"/>
        <v/>
      </c>
      <c r="N13" s="183"/>
      <c r="O13" s="183"/>
      <c r="P13" s="184"/>
      <c r="Q13" s="183"/>
      <c r="R13" s="205" t="str">
        <f>IF(B13="","",IF(AND(G13&lt;&gt;"",COUNTIF(INVOICE_PIUTANG!$A$5:$A$151,G13)=0),"INVOICE BELUM TERDAFTAR",IF(AND(D13&lt;&gt;"",E13="ID TIDAK TERDAFTAR"),"PERKARA TIDAK VALID",IF(K13="","AKUN BELUM DIISI",IF(AND(G13&lt;&gt;"",D13&lt;&gt;IFERROR(INDEX(INVOICE_PIUTANG!$D$5:$D$151,MATCH(G13,INVOICE_PIUTANG!$A$5:$A$151,0)),"")),"PERKARA TIDAK SESUAI INVOICE",IF(V13&lt;&gt;"LENGKAP","PENERIMAAN BELUM DIKONFIRMASI","OK"))))))</f>
        <v/>
      </c>
      <c r="S13" s="206"/>
      <c r="T13" s="207"/>
      <c r="U13" s="206"/>
      <c r="V13" s="208" t="str">
        <f t="shared" si="4"/>
        <v/>
      </c>
    </row>
    <row r="14" spans="1:22" s="185" customFormat="1">
      <c r="A14" s="179" t="str">
        <f t="shared" si="0"/>
        <v/>
      </c>
      <c r="B14" s="180"/>
      <c r="C14" s="179" t="str">
        <f t="shared" si="1"/>
        <v/>
      </c>
      <c r="D14" s="181" t="str">
        <f>IF(G14="","",IFERROR(INDEX(INVOICE_PIUTANG!$D$5:$D$151,MATCH(G14,INVOICE_PIUTANG!$A$5:$A$151,0)),""))</f>
        <v/>
      </c>
      <c r="E14" s="182" t="str">
        <f>IF(D14="","",IFERROR(INDEX(PERKARA!$B$5:$B$104,MATCH(D14,PERKARA!$A$5:$A$104,0)),"ID TIDAK TERDAFTAR"))</f>
        <v/>
      </c>
      <c r="F14" s="183"/>
      <c r="G14" s="183"/>
      <c r="H14" s="203"/>
      <c r="I14" s="203"/>
      <c r="J14" s="204" t="str">
        <f t="shared" si="2"/>
        <v/>
      </c>
      <c r="K14" s="183"/>
      <c r="L14" s="183"/>
      <c r="M14" s="179" t="str">
        <f t="shared" si="3"/>
        <v/>
      </c>
      <c r="N14" s="183"/>
      <c r="O14" s="183"/>
      <c r="P14" s="184"/>
      <c r="Q14" s="183"/>
      <c r="R14" s="205" t="str">
        <f>IF(B14="","",IF(AND(G14&lt;&gt;"",COUNTIF(INVOICE_PIUTANG!$A$5:$A$151,G14)=0),"INVOICE BELUM TERDAFTAR",IF(AND(D14&lt;&gt;"",E14="ID TIDAK TERDAFTAR"),"PERKARA TIDAK VALID",IF(K14="","AKUN BELUM DIISI",IF(AND(G14&lt;&gt;"",D14&lt;&gt;IFERROR(INDEX(INVOICE_PIUTANG!$D$5:$D$151,MATCH(G14,INVOICE_PIUTANG!$A$5:$A$151,0)),"")),"PERKARA TIDAK SESUAI INVOICE",IF(V14&lt;&gt;"LENGKAP","PENERIMAAN BELUM DIKONFIRMASI","OK"))))))</f>
        <v/>
      </c>
      <c r="S14" s="206"/>
      <c r="T14" s="207"/>
      <c r="U14" s="206"/>
      <c r="V14" s="208" t="str">
        <f t="shared" si="4"/>
        <v/>
      </c>
    </row>
    <row r="15" spans="1:22" s="185" customFormat="1">
      <c r="A15" s="179" t="str">
        <f t="shared" si="0"/>
        <v/>
      </c>
      <c r="B15" s="180"/>
      <c r="C15" s="179" t="str">
        <f t="shared" si="1"/>
        <v/>
      </c>
      <c r="D15" s="181" t="str">
        <f>IF(G15="","",IFERROR(INDEX(INVOICE_PIUTANG!$D$5:$D$151,MATCH(G15,INVOICE_PIUTANG!$A$5:$A$151,0)),""))</f>
        <v/>
      </c>
      <c r="E15" s="182" t="str">
        <f>IF(D15="","",IFERROR(INDEX(PERKARA!$B$5:$B$104,MATCH(D15,PERKARA!$A$5:$A$104,0)),"ID TIDAK TERDAFTAR"))</f>
        <v/>
      </c>
      <c r="F15" s="183"/>
      <c r="G15" s="183"/>
      <c r="H15" s="203"/>
      <c r="I15" s="203"/>
      <c r="J15" s="204" t="str">
        <f t="shared" si="2"/>
        <v/>
      </c>
      <c r="K15" s="183"/>
      <c r="L15" s="183"/>
      <c r="M15" s="179" t="str">
        <f t="shared" si="3"/>
        <v/>
      </c>
      <c r="N15" s="183"/>
      <c r="O15" s="183"/>
      <c r="P15" s="184"/>
      <c r="Q15" s="183"/>
      <c r="R15" s="205" t="str">
        <f>IF(B15="","",IF(AND(G15&lt;&gt;"",COUNTIF(INVOICE_PIUTANG!$A$5:$A$151,G15)=0),"INVOICE BELUM TERDAFTAR",IF(AND(D15&lt;&gt;"",E15="ID TIDAK TERDAFTAR"),"PERKARA TIDAK VALID",IF(K15="","AKUN BELUM DIISI",IF(AND(G15&lt;&gt;"",D15&lt;&gt;IFERROR(INDEX(INVOICE_PIUTANG!$D$5:$D$151,MATCH(G15,INVOICE_PIUTANG!$A$5:$A$151,0)),"")),"PERKARA TIDAK SESUAI INVOICE",IF(V15&lt;&gt;"LENGKAP","PENERIMAAN BELUM DIKONFIRMASI","OK"))))))</f>
        <v/>
      </c>
      <c r="S15" s="206"/>
      <c r="T15" s="207"/>
      <c r="U15" s="206"/>
      <c r="V15" s="208" t="str">
        <f t="shared" si="4"/>
        <v/>
      </c>
    </row>
    <row r="16" spans="1:22" s="185" customFormat="1">
      <c r="A16" s="179" t="str">
        <f t="shared" si="0"/>
        <v/>
      </c>
      <c r="B16" s="180"/>
      <c r="C16" s="179" t="str">
        <f t="shared" si="1"/>
        <v/>
      </c>
      <c r="D16" s="181" t="str">
        <f>IF(G16="","",IFERROR(INDEX(INVOICE_PIUTANG!$D$5:$D$151,MATCH(G16,INVOICE_PIUTANG!$A$5:$A$151,0)),""))</f>
        <v/>
      </c>
      <c r="E16" s="182" t="str">
        <f>IF(D16="","",IFERROR(INDEX(PERKARA!$B$5:$B$104,MATCH(D16,PERKARA!$A$5:$A$104,0)),"ID TIDAK TERDAFTAR"))</f>
        <v/>
      </c>
      <c r="F16" s="183"/>
      <c r="G16" s="183"/>
      <c r="H16" s="203"/>
      <c r="I16" s="203"/>
      <c r="J16" s="204" t="str">
        <f t="shared" si="2"/>
        <v/>
      </c>
      <c r="K16" s="183"/>
      <c r="L16" s="183"/>
      <c r="M16" s="179" t="str">
        <f t="shared" si="3"/>
        <v/>
      </c>
      <c r="N16" s="183"/>
      <c r="O16" s="183"/>
      <c r="P16" s="184"/>
      <c r="Q16" s="183"/>
      <c r="R16" s="205" t="str">
        <f>IF(B16="","",IF(AND(G16&lt;&gt;"",COUNTIF(INVOICE_PIUTANG!$A$5:$A$151,G16)=0),"INVOICE BELUM TERDAFTAR",IF(AND(D16&lt;&gt;"",E16="ID TIDAK TERDAFTAR"),"PERKARA TIDAK VALID",IF(K16="","AKUN BELUM DIISI",IF(AND(G16&lt;&gt;"",D16&lt;&gt;IFERROR(INDEX(INVOICE_PIUTANG!$D$5:$D$151,MATCH(G16,INVOICE_PIUTANG!$A$5:$A$151,0)),"")),"PERKARA TIDAK SESUAI INVOICE",IF(V16&lt;&gt;"LENGKAP","PENERIMAAN BELUM DIKONFIRMASI","OK"))))))</f>
        <v/>
      </c>
      <c r="S16" s="206"/>
      <c r="T16" s="207"/>
      <c r="U16" s="206"/>
      <c r="V16" s="208" t="str">
        <f t="shared" si="4"/>
        <v/>
      </c>
    </row>
    <row r="17" spans="1:22" s="185" customFormat="1">
      <c r="A17" s="179" t="str">
        <f t="shared" si="0"/>
        <v/>
      </c>
      <c r="B17" s="180"/>
      <c r="C17" s="179" t="str">
        <f t="shared" si="1"/>
        <v/>
      </c>
      <c r="D17" s="181" t="str">
        <f>IF(G17="","",IFERROR(INDEX(INVOICE_PIUTANG!$D$5:$D$151,MATCH(G17,INVOICE_PIUTANG!$A$5:$A$151,0)),""))</f>
        <v/>
      </c>
      <c r="E17" s="182" t="str">
        <f>IF(D17="","",IFERROR(INDEX(PERKARA!$B$5:$B$104,MATCH(D17,PERKARA!$A$5:$A$104,0)),"ID TIDAK TERDAFTAR"))</f>
        <v/>
      </c>
      <c r="F17" s="183"/>
      <c r="G17" s="183"/>
      <c r="H17" s="203"/>
      <c r="I17" s="203"/>
      <c r="J17" s="204" t="str">
        <f t="shared" si="2"/>
        <v/>
      </c>
      <c r="K17" s="183"/>
      <c r="L17" s="183"/>
      <c r="M17" s="179" t="str">
        <f t="shared" si="3"/>
        <v/>
      </c>
      <c r="N17" s="183"/>
      <c r="O17" s="183"/>
      <c r="P17" s="184"/>
      <c r="Q17" s="183"/>
      <c r="R17" s="205" t="str">
        <f>IF(B17="","",IF(AND(G17&lt;&gt;"",COUNTIF(INVOICE_PIUTANG!$A$5:$A$151,G17)=0),"INVOICE BELUM TERDAFTAR",IF(AND(D17&lt;&gt;"",E17="ID TIDAK TERDAFTAR"),"PERKARA TIDAK VALID",IF(K17="","AKUN BELUM DIISI",IF(AND(G17&lt;&gt;"",D17&lt;&gt;IFERROR(INDEX(INVOICE_PIUTANG!$D$5:$D$151,MATCH(G17,INVOICE_PIUTANG!$A$5:$A$151,0)),"")),"PERKARA TIDAK SESUAI INVOICE",IF(V17&lt;&gt;"LENGKAP","PENERIMAAN BELUM DIKONFIRMASI","OK"))))))</f>
        <v/>
      </c>
      <c r="S17" s="206"/>
      <c r="T17" s="207"/>
      <c r="U17" s="206"/>
      <c r="V17" s="208" t="str">
        <f t="shared" si="4"/>
        <v/>
      </c>
    </row>
    <row r="18" spans="1:22" s="185" customFormat="1">
      <c r="A18" s="179" t="str">
        <f t="shared" si="0"/>
        <v/>
      </c>
      <c r="B18" s="180"/>
      <c r="C18" s="179" t="str">
        <f t="shared" si="1"/>
        <v/>
      </c>
      <c r="D18" s="181" t="str">
        <f>IF(G18="","",IFERROR(INDEX(INVOICE_PIUTANG!$D$5:$D$151,MATCH(G18,INVOICE_PIUTANG!$A$5:$A$151,0)),""))</f>
        <v/>
      </c>
      <c r="E18" s="182" t="str">
        <f>IF(D18="","",IFERROR(INDEX(PERKARA!$B$5:$B$104,MATCH(D18,PERKARA!$A$5:$A$104,0)),"ID TIDAK TERDAFTAR"))</f>
        <v/>
      </c>
      <c r="F18" s="183"/>
      <c r="G18" s="183"/>
      <c r="H18" s="203"/>
      <c r="I18" s="203"/>
      <c r="J18" s="204" t="str">
        <f t="shared" si="2"/>
        <v/>
      </c>
      <c r="K18" s="183"/>
      <c r="L18" s="183"/>
      <c r="M18" s="179" t="str">
        <f t="shared" si="3"/>
        <v/>
      </c>
      <c r="N18" s="183"/>
      <c r="O18" s="183"/>
      <c r="P18" s="184"/>
      <c r="Q18" s="183"/>
      <c r="R18" s="205" t="str">
        <f>IF(B18="","",IF(AND(G18&lt;&gt;"",COUNTIF(INVOICE_PIUTANG!$A$5:$A$151,G18)=0),"INVOICE BELUM TERDAFTAR",IF(AND(D18&lt;&gt;"",E18="ID TIDAK TERDAFTAR"),"PERKARA TIDAK VALID",IF(K18="","AKUN BELUM DIISI",IF(AND(G18&lt;&gt;"",D18&lt;&gt;IFERROR(INDEX(INVOICE_PIUTANG!$D$5:$D$151,MATCH(G18,INVOICE_PIUTANG!$A$5:$A$151,0)),"")),"PERKARA TIDAK SESUAI INVOICE",IF(V18&lt;&gt;"LENGKAP","PENERIMAAN BELUM DIKONFIRMASI","OK"))))))</f>
        <v/>
      </c>
      <c r="S18" s="206"/>
      <c r="T18" s="207"/>
      <c r="U18" s="206"/>
      <c r="V18" s="208" t="str">
        <f t="shared" si="4"/>
        <v/>
      </c>
    </row>
    <row r="19" spans="1:22" s="185" customFormat="1">
      <c r="A19" s="179" t="str">
        <f t="shared" si="0"/>
        <v/>
      </c>
      <c r="B19" s="180"/>
      <c r="C19" s="179" t="str">
        <f t="shared" si="1"/>
        <v/>
      </c>
      <c r="D19" s="181" t="str">
        <f>IF(G19="","",IFERROR(INDEX(INVOICE_PIUTANG!$D$5:$D$151,MATCH(G19,INVOICE_PIUTANG!$A$5:$A$151,0)),""))</f>
        <v/>
      </c>
      <c r="E19" s="182" t="str">
        <f>IF(D19="","",IFERROR(INDEX(PERKARA!$B$5:$B$104,MATCH(D19,PERKARA!$A$5:$A$104,0)),"ID TIDAK TERDAFTAR"))</f>
        <v/>
      </c>
      <c r="F19" s="183"/>
      <c r="G19" s="183"/>
      <c r="H19" s="203"/>
      <c r="I19" s="203"/>
      <c r="J19" s="204" t="str">
        <f t="shared" si="2"/>
        <v/>
      </c>
      <c r="K19" s="183"/>
      <c r="L19" s="183"/>
      <c r="M19" s="179" t="str">
        <f t="shared" si="3"/>
        <v/>
      </c>
      <c r="N19" s="183"/>
      <c r="O19" s="183"/>
      <c r="P19" s="184"/>
      <c r="Q19" s="183"/>
      <c r="R19" s="205" t="str">
        <f>IF(B19="","",IF(AND(G19&lt;&gt;"",COUNTIF(INVOICE_PIUTANG!$A$5:$A$151,G19)=0),"INVOICE BELUM TERDAFTAR",IF(AND(D19&lt;&gt;"",E19="ID TIDAK TERDAFTAR"),"PERKARA TIDAK VALID",IF(K19="","AKUN BELUM DIISI",IF(AND(G19&lt;&gt;"",D19&lt;&gt;IFERROR(INDEX(INVOICE_PIUTANG!$D$5:$D$151,MATCH(G19,INVOICE_PIUTANG!$A$5:$A$151,0)),"")),"PERKARA TIDAK SESUAI INVOICE",IF(V19&lt;&gt;"LENGKAP","PENERIMAAN BELUM DIKONFIRMASI","OK"))))))</f>
        <v/>
      </c>
      <c r="S19" s="206"/>
      <c r="T19" s="207"/>
      <c r="U19" s="206"/>
      <c r="V19" s="208" t="str">
        <f t="shared" si="4"/>
        <v/>
      </c>
    </row>
    <row r="20" spans="1:22" s="185" customFormat="1">
      <c r="A20" s="179" t="str">
        <f t="shared" si="0"/>
        <v/>
      </c>
      <c r="B20" s="180"/>
      <c r="C20" s="179" t="str">
        <f t="shared" si="1"/>
        <v/>
      </c>
      <c r="D20" s="181" t="str">
        <f>IF(G20="","",IFERROR(INDEX(INVOICE_PIUTANG!$D$5:$D$151,MATCH(G20,INVOICE_PIUTANG!$A$5:$A$151,0)),""))</f>
        <v/>
      </c>
      <c r="E20" s="182" t="str">
        <f>IF(D20="","",IFERROR(INDEX(PERKARA!$B$5:$B$104,MATCH(D20,PERKARA!$A$5:$A$104,0)),"ID TIDAK TERDAFTAR"))</f>
        <v/>
      </c>
      <c r="F20" s="183"/>
      <c r="G20" s="183"/>
      <c r="H20" s="203"/>
      <c r="I20" s="203"/>
      <c r="J20" s="204" t="str">
        <f t="shared" si="2"/>
        <v/>
      </c>
      <c r="K20" s="183"/>
      <c r="L20" s="183"/>
      <c r="M20" s="179" t="str">
        <f t="shared" si="3"/>
        <v/>
      </c>
      <c r="N20" s="183"/>
      <c r="O20" s="183"/>
      <c r="P20" s="184"/>
      <c r="Q20" s="183"/>
      <c r="R20" s="205" t="str">
        <f>IF(B20="","",IF(AND(G20&lt;&gt;"",COUNTIF(INVOICE_PIUTANG!$A$5:$A$151,G20)=0),"INVOICE BELUM TERDAFTAR",IF(AND(D20&lt;&gt;"",E20="ID TIDAK TERDAFTAR"),"PERKARA TIDAK VALID",IF(K20="","AKUN BELUM DIISI",IF(AND(G20&lt;&gt;"",D20&lt;&gt;IFERROR(INDEX(INVOICE_PIUTANG!$D$5:$D$151,MATCH(G20,INVOICE_PIUTANG!$A$5:$A$151,0)),"")),"PERKARA TIDAK SESUAI INVOICE",IF(V20&lt;&gt;"LENGKAP","PENERIMAAN BELUM DIKONFIRMASI","OK"))))))</f>
        <v/>
      </c>
      <c r="S20" s="206"/>
      <c r="T20" s="207"/>
      <c r="U20" s="206"/>
      <c r="V20" s="208" t="str">
        <f t="shared" si="4"/>
        <v/>
      </c>
    </row>
    <row r="21" spans="1:22" s="185" customFormat="1">
      <c r="A21" s="179" t="str">
        <f t="shared" si="0"/>
        <v/>
      </c>
      <c r="B21" s="180"/>
      <c r="C21" s="179" t="str">
        <f t="shared" si="1"/>
        <v/>
      </c>
      <c r="D21" s="181" t="str">
        <f>IF(G21="","",IFERROR(INDEX(INVOICE_PIUTANG!$D$5:$D$151,MATCH(G21,INVOICE_PIUTANG!$A$5:$A$151,0)),""))</f>
        <v/>
      </c>
      <c r="E21" s="182" t="str">
        <f>IF(D21="","",IFERROR(INDEX(PERKARA!$B$5:$B$104,MATCH(D21,PERKARA!$A$5:$A$104,0)),"ID TIDAK TERDAFTAR"))</f>
        <v/>
      </c>
      <c r="F21" s="183"/>
      <c r="G21" s="183"/>
      <c r="H21" s="203"/>
      <c r="I21" s="203"/>
      <c r="J21" s="204" t="str">
        <f t="shared" si="2"/>
        <v/>
      </c>
      <c r="K21" s="183"/>
      <c r="L21" s="183"/>
      <c r="M21" s="179" t="str">
        <f t="shared" si="3"/>
        <v/>
      </c>
      <c r="N21" s="183"/>
      <c r="O21" s="183"/>
      <c r="P21" s="184"/>
      <c r="Q21" s="183"/>
      <c r="R21" s="205" t="str">
        <f>IF(B21="","",IF(AND(G21&lt;&gt;"",COUNTIF(INVOICE_PIUTANG!$A$5:$A$151,G21)=0),"INVOICE BELUM TERDAFTAR",IF(AND(D21&lt;&gt;"",E21="ID TIDAK TERDAFTAR"),"PERKARA TIDAK VALID",IF(K21="","AKUN BELUM DIISI",IF(AND(G21&lt;&gt;"",D21&lt;&gt;IFERROR(INDEX(INVOICE_PIUTANG!$D$5:$D$151,MATCH(G21,INVOICE_PIUTANG!$A$5:$A$151,0)),"")),"PERKARA TIDAK SESUAI INVOICE",IF(V21&lt;&gt;"LENGKAP","PENERIMAAN BELUM DIKONFIRMASI","OK"))))))</f>
        <v/>
      </c>
      <c r="S21" s="206"/>
      <c r="T21" s="207"/>
      <c r="U21" s="206"/>
      <c r="V21" s="208" t="str">
        <f t="shared" si="4"/>
        <v/>
      </c>
    </row>
    <row r="22" spans="1:22" s="185" customFormat="1">
      <c r="A22" s="179" t="str">
        <f t="shared" si="0"/>
        <v/>
      </c>
      <c r="B22" s="180"/>
      <c r="C22" s="179" t="str">
        <f t="shared" si="1"/>
        <v/>
      </c>
      <c r="D22" s="181" t="str">
        <f>IF(G22="","",IFERROR(INDEX(INVOICE_PIUTANG!$D$5:$D$151,MATCH(G22,INVOICE_PIUTANG!$A$5:$A$151,0)),""))</f>
        <v/>
      </c>
      <c r="E22" s="182" t="str">
        <f>IF(D22="","",IFERROR(INDEX(PERKARA!$B$5:$B$104,MATCH(D22,PERKARA!$A$5:$A$104,0)),"ID TIDAK TERDAFTAR"))</f>
        <v/>
      </c>
      <c r="F22" s="183"/>
      <c r="G22" s="183"/>
      <c r="H22" s="203"/>
      <c r="I22" s="203"/>
      <c r="J22" s="204" t="str">
        <f t="shared" si="2"/>
        <v/>
      </c>
      <c r="K22" s="183"/>
      <c r="L22" s="183"/>
      <c r="M22" s="179" t="str">
        <f t="shared" si="3"/>
        <v/>
      </c>
      <c r="N22" s="183"/>
      <c r="O22" s="183"/>
      <c r="P22" s="184"/>
      <c r="Q22" s="183"/>
      <c r="R22" s="205" t="str">
        <f>IF(B22="","",IF(AND(G22&lt;&gt;"",COUNTIF(INVOICE_PIUTANG!$A$5:$A$151,G22)=0),"INVOICE BELUM TERDAFTAR",IF(AND(D22&lt;&gt;"",E22="ID TIDAK TERDAFTAR"),"PERKARA TIDAK VALID",IF(K22="","AKUN BELUM DIISI",IF(AND(G22&lt;&gt;"",D22&lt;&gt;IFERROR(INDEX(INVOICE_PIUTANG!$D$5:$D$151,MATCH(G22,INVOICE_PIUTANG!$A$5:$A$151,0)),"")),"PERKARA TIDAK SESUAI INVOICE",IF(V22&lt;&gt;"LENGKAP","PENERIMAAN BELUM DIKONFIRMASI","OK"))))))</f>
        <v/>
      </c>
      <c r="S22" s="206"/>
      <c r="T22" s="207"/>
      <c r="U22" s="206"/>
      <c r="V22" s="208" t="str">
        <f t="shared" si="4"/>
        <v/>
      </c>
    </row>
    <row r="23" spans="1:22" s="185" customFormat="1">
      <c r="A23" s="179" t="str">
        <f t="shared" si="0"/>
        <v/>
      </c>
      <c r="B23" s="180"/>
      <c r="C23" s="179" t="str">
        <f t="shared" si="1"/>
        <v/>
      </c>
      <c r="D23" s="181" t="str">
        <f>IF(G23="","",IFERROR(INDEX(INVOICE_PIUTANG!$D$5:$D$151,MATCH(G23,INVOICE_PIUTANG!$A$5:$A$151,0)),""))</f>
        <v/>
      </c>
      <c r="E23" s="182" t="str">
        <f>IF(D23="","",IFERROR(INDEX(PERKARA!$B$5:$B$104,MATCH(D23,PERKARA!$A$5:$A$104,0)),"ID TIDAK TERDAFTAR"))</f>
        <v/>
      </c>
      <c r="F23" s="183"/>
      <c r="G23" s="183"/>
      <c r="H23" s="203"/>
      <c r="I23" s="203"/>
      <c r="J23" s="204" t="str">
        <f t="shared" si="2"/>
        <v/>
      </c>
      <c r="K23" s="183"/>
      <c r="L23" s="183"/>
      <c r="M23" s="179" t="str">
        <f t="shared" si="3"/>
        <v/>
      </c>
      <c r="N23" s="183"/>
      <c r="O23" s="183"/>
      <c r="P23" s="184"/>
      <c r="Q23" s="183"/>
      <c r="R23" s="205" t="str">
        <f>IF(B23="","",IF(AND(G23&lt;&gt;"",COUNTIF(INVOICE_PIUTANG!$A$5:$A$151,G23)=0),"INVOICE BELUM TERDAFTAR",IF(AND(D23&lt;&gt;"",E23="ID TIDAK TERDAFTAR"),"PERKARA TIDAK VALID",IF(K23="","AKUN BELUM DIISI",IF(AND(G23&lt;&gt;"",D23&lt;&gt;IFERROR(INDEX(INVOICE_PIUTANG!$D$5:$D$151,MATCH(G23,INVOICE_PIUTANG!$A$5:$A$151,0)),"")),"PERKARA TIDAK SESUAI INVOICE",IF(V23&lt;&gt;"LENGKAP","PENERIMAAN BELUM DIKONFIRMASI","OK"))))))</f>
        <v/>
      </c>
      <c r="S23" s="206"/>
      <c r="T23" s="207"/>
      <c r="U23" s="206"/>
      <c r="V23" s="208" t="str">
        <f t="shared" si="4"/>
        <v/>
      </c>
    </row>
    <row r="24" spans="1:22" s="185" customFormat="1">
      <c r="A24" s="179" t="str">
        <f t="shared" si="0"/>
        <v/>
      </c>
      <c r="B24" s="180"/>
      <c r="C24" s="179" t="str">
        <f t="shared" si="1"/>
        <v/>
      </c>
      <c r="D24" s="181" t="str">
        <f>IF(G24="","",IFERROR(INDEX(INVOICE_PIUTANG!$D$5:$D$151,MATCH(G24,INVOICE_PIUTANG!$A$5:$A$151,0)),""))</f>
        <v/>
      </c>
      <c r="E24" s="182" t="str">
        <f>IF(D24="","",IFERROR(INDEX(PERKARA!$B$5:$B$104,MATCH(D24,PERKARA!$A$5:$A$104,0)),"ID TIDAK TERDAFTAR"))</f>
        <v/>
      </c>
      <c r="F24" s="183"/>
      <c r="G24" s="183"/>
      <c r="H24" s="203"/>
      <c r="I24" s="203"/>
      <c r="J24" s="204" t="str">
        <f t="shared" si="2"/>
        <v/>
      </c>
      <c r="K24" s="183"/>
      <c r="L24" s="183"/>
      <c r="M24" s="179" t="str">
        <f t="shared" si="3"/>
        <v/>
      </c>
      <c r="N24" s="183"/>
      <c r="O24" s="183"/>
      <c r="P24" s="184"/>
      <c r="Q24" s="183"/>
      <c r="R24" s="205" t="str">
        <f>IF(B24="","",IF(AND(G24&lt;&gt;"",COUNTIF(INVOICE_PIUTANG!$A$5:$A$151,G24)=0),"INVOICE BELUM TERDAFTAR",IF(AND(D24&lt;&gt;"",E24="ID TIDAK TERDAFTAR"),"PERKARA TIDAK VALID",IF(K24="","AKUN BELUM DIISI",IF(AND(G24&lt;&gt;"",D24&lt;&gt;IFERROR(INDEX(INVOICE_PIUTANG!$D$5:$D$151,MATCH(G24,INVOICE_PIUTANG!$A$5:$A$151,0)),"")),"PERKARA TIDAK SESUAI INVOICE",IF(V24&lt;&gt;"LENGKAP","PENERIMAAN BELUM DIKONFIRMASI","OK"))))))</f>
        <v/>
      </c>
      <c r="S24" s="206"/>
      <c r="T24" s="207"/>
      <c r="U24" s="206"/>
      <c r="V24" s="208" t="str">
        <f t="shared" si="4"/>
        <v/>
      </c>
    </row>
    <row r="25" spans="1:22">
      <c r="A25" s="9" t="str">
        <f t="shared" si="0"/>
        <v/>
      </c>
      <c r="B25" s="80"/>
      <c r="C25" s="9" t="str">
        <f t="shared" si="1"/>
        <v/>
      </c>
      <c r="D25" s="46" t="str">
        <f>IF(G25="","",IFERROR(INDEX(INVOICE_PIUTANG!$D$5:$D$151,MATCH(G25,INVOICE_PIUTANG!$A$5:$A$151,0)),""))</f>
        <v/>
      </c>
      <c r="E25" s="47" t="str">
        <f>IF(D25="","",IFERROR(INDEX(PERKARA!$B$5:$B$104,MATCH(D25,PERKARA!$A$5:$A$104,0)),"ID TIDAK TERDAFTAR"))</f>
        <v/>
      </c>
      <c r="F25" s="6"/>
      <c r="G25" s="6"/>
      <c r="H25" s="72"/>
      <c r="I25" s="72"/>
      <c r="J25" s="73" t="str">
        <f t="shared" si="2"/>
        <v/>
      </c>
      <c r="K25" s="6"/>
      <c r="L25" s="6"/>
      <c r="M25" s="9" t="str">
        <f t="shared" si="3"/>
        <v/>
      </c>
      <c r="N25" s="6"/>
      <c r="O25" s="6"/>
      <c r="P25" s="103"/>
      <c r="Q25" s="6"/>
      <c r="R25" s="67" t="str">
        <f>IF(B25="","",IF(AND(G25&lt;&gt;"",COUNTIF(INVOICE_PIUTANG!$A$5:$A$151,G25)=0),"INVOICE BELUM TERDAFTAR",IF(AND(D25&lt;&gt;"",E25="ID TIDAK TERDAFTAR"),"PERKARA TIDAK VALID",IF(K25="","AKUN BELUM DIISI",IF(AND(G25&lt;&gt;"",D25&lt;&gt;IFERROR(INDEX(INVOICE_PIUTANG!$D$5:$D$151,MATCH(G25,INVOICE_PIUTANG!$A$5:$A$151,0)),"")),"PERKARA TIDAK SESUAI INVOICE",IF(V25&lt;&gt;"LENGKAP","PENERIMAAN BELUM DIKONFIRMASI","OK"))))))</f>
        <v/>
      </c>
      <c r="S25" s="98"/>
      <c r="T25" s="105"/>
      <c r="U25" s="98"/>
      <c r="V25" s="104" t="str">
        <f t="shared" si="4"/>
        <v/>
      </c>
    </row>
    <row r="26" spans="1:22">
      <c r="A26" s="9" t="str">
        <f t="shared" si="0"/>
        <v/>
      </c>
      <c r="B26" s="80"/>
      <c r="C26" s="9" t="str">
        <f t="shared" si="1"/>
        <v/>
      </c>
      <c r="D26" s="46" t="str">
        <f>IF(G26="","",IFERROR(INDEX(INVOICE_PIUTANG!$D$5:$D$151,MATCH(G26,INVOICE_PIUTANG!$A$5:$A$151,0)),""))</f>
        <v/>
      </c>
      <c r="E26" s="47" t="str">
        <f>IF(D26="","",IFERROR(INDEX(PERKARA!$B$5:$B$104,MATCH(D26,PERKARA!$A$5:$A$104,0)),"ID TIDAK TERDAFTAR"))</f>
        <v/>
      </c>
      <c r="F26" s="6"/>
      <c r="G26" s="6"/>
      <c r="H26" s="72"/>
      <c r="I26" s="72"/>
      <c r="J26" s="73" t="str">
        <f t="shared" si="2"/>
        <v/>
      </c>
      <c r="K26" s="6"/>
      <c r="L26" s="6"/>
      <c r="M26" s="9" t="str">
        <f t="shared" si="3"/>
        <v/>
      </c>
      <c r="N26" s="6"/>
      <c r="O26" s="6"/>
      <c r="P26" s="103"/>
      <c r="Q26" s="6"/>
      <c r="R26" s="67" t="str">
        <f>IF(B26="","",IF(AND(G26&lt;&gt;"",COUNTIF(INVOICE_PIUTANG!$A$5:$A$151,G26)=0),"INVOICE BELUM TERDAFTAR",IF(AND(D26&lt;&gt;"",E26="ID TIDAK TERDAFTAR"),"PERKARA TIDAK VALID",IF(K26="","AKUN BELUM DIISI",IF(AND(G26&lt;&gt;"",D26&lt;&gt;IFERROR(INDEX(INVOICE_PIUTANG!$D$5:$D$151,MATCH(G26,INVOICE_PIUTANG!$A$5:$A$151,0)),"")),"PERKARA TIDAK SESUAI INVOICE",IF(V26&lt;&gt;"LENGKAP","PENERIMAAN BELUM DIKONFIRMASI","OK"))))))</f>
        <v/>
      </c>
      <c r="S26" s="98"/>
      <c r="T26" s="105"/>
      <c r="U26" s="98"/>
      <c r="V26" s="104" t="str">
        <f t="shared" si="4"/>
        <v/>
      </c>
    </row>
    <row r="27" spans="1:22">
      <c r="A27" s="9" t="str">
        <f t="shared" si="0"/>
        <v/>
      </c>
      <c r="B27" s="80"/>
      <c r="C27" s="9" t="str">
        <f t="shared" si="1"/>
        <v/>
      </c>
      <c r="D27" s="46" t="str">
        <f>IF(G27="","",IFERROR(INDEX(INVOICE_PIUTANG!$D$5:$D$151,MATCH(G27,INVOICE_PIUTANG!$A$5:$A$151,0)),""))</f>
        <v/>
      </c>
      <c r="E27" s="47" t="str">
        <f>IF(D27="","",IFERROR(INDEX(PERKARA!$B$5:$B$104,MATCH(D27,PERKARA!$A$5:$A$104,0)),"ID TIDAK TERDAFTAR"))</f>
        <v/>
      </c>
      <c r="F27" s="6"/>
      <c r="G27" s="6"/>
      <c r="H27" s="72"/>
      <c r="I27" s="72"/>
      <c r="J27" s="73" t="str">
        <f t="shared" si="2"/>
        <v/>
      </c>
      <c r="K27" s="6"/>
      <c r="L27" s="6"/>
      <c r="M27" s="9" t="str">
        <f t="shared" si="3"/>
        <v/>
      </c>
      <c r="N27" s="6"/>
      <c r="O27" s="6"/>
      <c r="P27" s="103"/>
      <c r="Q27" s="6"/>
      <c r="R27" s="67" t="str">
        <f>IF(B27="","",IF(AND(G27&lt;&gt;"",COUNTIF(INVOICE_PIUTANG!$A$5:$A$151,G27)=0),"INVOICE BELUM TERDAFTAR",IF(AND(D27&lt;&gt;"",E27="ID TIDAK TERDAFTAR"),"PERKARA TIDAK VALID",IF(K27="","AKUN BELUM DIISI",IF(AND(G27&lt;&gt;"",D27&lt;&gt;IFERROR(INDEX(INVOICE_PIUTANG!$D$5:$D$151,MATCH(G27,INVOICE_PIUTANG!$A$5:$A$151,0)),"")),"PERKARA TIDAK SESUAI INVOICE",IF(V27&lt;&gt;"LENGKAP","PENERIMAAN BELUM DIKONFIRMASI","OK"))))))</f>
        <v/>
      </c>
      <c r="S27" s="98"/>
      <c r="T27" s="105"/>
      <c r="U27" s="98"/>
      <c r="V27" s="104" t="str">
        <f t="shared" si="4"/>
        <v/>
      </c>
    </row>
    <row r="28" spans="1:22">
      <c r="A28" s="9" t="str">
        <f t="shared" si="0"/>
        <v/>
      </c>
      <c r="B28" s="80"/>
      <c r="C28" s="9" t="str">
        <f t="shared" si="1"/>
        <v/>
      </c>
      <c r="D28" s="46" t="str">
        <f>IF(G28="","",IFERROR(INDEX(INVOICE_PIUTANG!$D$5:$D$151,MATCH(G28,INVOICE_PIUTANG!$A$5:$A$151,0)),""))</f>
        <v/>
      </c>
      <c r="E28" s="47" t="str">
        <f>IF(D28="","",IFERROR(INDEX(PERKARA!$B$5:$B$104,MATCH(D28,PERKARA!$A$5:$A$104,0)),"ID TIDAK TERDAFTAR"))</f>
        <v/>
      </c>
      <c r="F28" s="6"/>
      <c r="G28" s="6"/>
      <c r="H28" s="72"/>
      <c r="I28" s="72"/>
      <c r="J28" s="73" t="str">
        <f t="shared" si="2"/>
        <v/>
      </c>
      <c r="K28" s="6"/>
      <c r="L28" s="6"/>
      <c r="M28" s="9" t="str">
        <f t="shared" si="3"/>
        <v/>
      </c>
      <c r="N28" s="6"/>
      <c r="O28" s="6"/>
      <c r="P28" s="103"/>
      <c r="Q28" s="6"/>
      <c r="R28" s="67" t="str">
        <f>IF(B28="","",IF(AND(G28&lt;&gt;"",COUNTIF(INVOICE_PIUTANG!$A$5:$A$151,G28)=0),"INVOICE BELUM TERDAFTAR",IF(AND(D28&lt;&gt;"",E28="ID TIDAK TERDAFTAR"),"PERKARA TIDAK VALID",IF(K28="","AKUN BELUM DIISI",IF(AND(G28&lt;&gt;"",D28&lt;&gt;IFERROR(INDEX(INVOICE_PIUTANG!$D$5:$D$151,MATCH(G28,INVOICE_PIUTANG!$A$5:$A$151,0)),"")),"PERKARA TIDAK SESUAI INVOICE",IF(V28&lt;&gt;"LENGKAP","PENERIMAAN BELUM DIKONFIRMASI","OK"))))))</f>
        <v/>
      </c>
      <c r="S28" s="98"/>
      <c r="T28" s="105"/>
      <c r="U28" s="98"/>
      <c r="V28" s="104" t="str">
        <f t="shared" si="4"/>
        <v/>
      </c>
    </row>
    <row r="29" spans="1:22">
      <c r="A29" s="9" t="str">
        <f t="shared" si="0"/>
        <v/>
      </c>
      <c r="B29" s="80"/>
      <c r="C29" s="9" t="str">
        <f t="shared" si="1"/>
        <v/>
      </c>
      <c r="D29" s="46" t="str">
        <f>IF(G29="","",IFERROR(INDEX(INVOICE_PIUTANG!$D$5:$D$151,MATCH(G29,INVOICE_PIUTANG!$A$5:$A$151,0)),""))</f>
        <v/>
      </c>
      <c r="E29" s="47" t="str">
        <f>IF(D29="","",IFERROR(INDEX(PERKARA!$B$5:$B$104,MATCH(D29,PERKARA!$A$5:$A$104,0)),"ID TIDAK TERDAFTAR"))</f>
        <v/>
      </c>
      <c r="F29" s="6"/>
      <c r="G29" s="6"/>
      <c r="H29" s="72"/>
      <c r="I29" s="72"/>
      <c r="J29" s="73" t="str">
        <f t="shared" si="2"/>
        <v/>
      </c>
      <c r="K29" s="6"/>
      <c r="L29" s="6"/>
      <c r="M29" s="9" t="str">
        <f t="shared" si="3"/>
        <v/>
      </c>
      <c r="N29" s="6"/>
      <c r="O29" s="6"/>
      <c r="P29" s="103"/>
      <c r="Q29" s="6"/>
      <c r="R29" s="67" t="str">
        <f>IF(B29="","",IF(AND(G29&lt;&gt;"",COUNTIF(INVOICE_PIUTANG!$A$5:$A$151,G29)=0),"INVOICE BELUM TERDAFTAR",IF(AND(D29&lt;&gt;"",E29="ID TIDAK TERDAFTAR"),"PERKARA TIDAK VALID",IF(K29="","AKUN BELUM DIISI",IF(AND(G29&lt;&gt;"",D29&lt;&gt;IFERROR(INDEX(INVOICE_PIUTANG!$D$5:$D$151,MATCH(G29,INVOICE_PIUTANG!$A$5:$A$151,0)),"")),"PERKARA TIDAK SESUAI INVOICE",IF(V29&lt;&gt;"LENGKAP","PENERIMAAN BELUM DIKONFIRMASI","OK"))))))</f>
        <v/>
      </c>
      <c r="S29" s="98"/>
      <c r="T29" s="105"/>
      <c r="U29" s="98"/>
      <c r="V29" s="104" t="str">
        <f t="shared" si="4"/>
        <v/>
      </c>
    </row>
    <row r="30" spans="1:22">
      <c r="A30" s="9" t="str">
        <f t="shared" si="0"/>
        <v/>
      </c>
      <c r="B30" s="80"/>
      <c r="C30" s="9" t="str">
        <f t="shared" si="1"/>
        <v/>
      </c>
      <c r="D30" s="46" t="str">
        <f>IF(G30="","",IFERROR(INDEX(INVOICE_PIUTANG!$D$5:$D$151,MATCH(G30,INVOICE_PIUTANG!$A$5:$A$151,0)),""))</f>
        <v/>
      </c>
      <c r="E30" s="47" t="str">
        <f>IF(D30="","",IFERROR(INDEX(PERKARA!$B$5:$B$104,MATCH(D30,PERKARA!$A$5:$A$104,0)),"ID TIDAK TERDAFTAR"))</f>
        <v/>
      </c>
      <c r="F30" s="6"/>
      <c r="G30" s="6"/>
      <c r="H30" s="72"/>
      <c r="I30" s="72"/>
      <c r="J30" s="73" t="str">
        <f t="shared" si="2"/>
        <v/>
      </c>
      <c r="K30" s="6"/>
      <c r="L30" s="6"/>
      <c r="M30" s="9" t="str">
        <f t="shared" si="3"/>
        <v/>
      </c>
      <c r="N30" s="6"/>
      <c r="O30" s="6"/>
      <c r="P30" s="103"/>
      <c r="Q30" s="6"/>
      <c r="R30" s="67" t="str">
        <f>IF(B30="","",IF(AND(G30&lt;&gt;"",COUNTIF(INVOICE_PIUTANG!$A$5:$A$151,G30)=0),"INVOICE BELUM TERDAFTAR",IF(AND(D30&lt;&gt;"",E30="ID TIDAK TERDAFTAR"),"PERKARA TIDAK VALID",IF(K30="","AKUN BELUM DIISI",IF(AND(G30&lt;&gt;"",D30&lt;&gt;IFERROR(INDEX(INVOICE_PIUTANG!$D$5:$D$151,MATCH(G30,INVOICE_PIUTANG!$A$5:$A$151,0)),"")),"PERKARA TIDAK SESUAI INVOICE",IF(V30&lt;&gt;"LENGKAP","PENERIMAAN BELUM DIKONFIRMASI","OK"))))))</f>
        <v/>
      </c>
      <c r="S30" s="98"/>
      <c r="T30" s="105"/>
      <c r="U30" s="98"/>
      <c r="V30" s="104" t="str">
        <f t="shared" si="4"/>
        <v/>
      </c>
    </row>
    <row r="31" spans="1:22">
      <c r="A31" s="9" t="str">
        <f t="shared" si="0"/>
        <v/>
      </c>
      <c r="B31" s="80"/>
      <c r="C31" s="9" t="str">
        <f t="shared" si="1"/>
        <v/>
      </c>
      <c r="D31" s="46" t="str">
        <f>IF(G31="","",IFERROR(INDEX(INVOICE_PIUTANG!$D$5:$D$151,MATCH(G31,INVOICE_PIUTANG!$A$5:$A$151,0)),""))</f>
        <v/>
      </c>
      <c r="E31" s="47" t="str">
        <f>IF(D31="","",IFERROR(INDEX(PERKARA!$B$5:$B$104,MATCH(D31,PERKARA!$A$5:$A$104,0)),"ID TIDAK TERDAFTAR"))</f>
        <v/>
      </c>
      <c r="F31" s="6"/>
      <c r="G31" s="6"/>
      <c r="H31" s="72"/>
      <c r="I31" s="72"/>
      <c r="J31" s="73" t="str">
        <f t="shared" si="2"/>
        <v/>
      </c>
      <c r="K31" s="6"/>
      <c r="L31" s="6"/>
      <c r="M31" s="9" t="str">
        <f t="shared" si="3"/>
        <v/>
      </c>
      <c r="N31" s="6"/>
      <c r="O31" s="6"/>
      <c r="P31" s="103"/>
      <c r="Q31" s="6"/>
      <c r="R31" s="67" t="str">
        <f>IF(B31="","",IF(AND(G31&lt;&gt;"",COUNTIF(INVOICE_PIUTANG!$A$5:$A$151,G31)=0),"INVOICE BELUM TERDAFTAR",IF(AND(D31&lt;&gt;"",E31="ID TIDAK TERDAFTAR"),"PERKARA TIDAK VALID",IF(K31="","AKUN BELUM DIISI",IF(AND(G31&lt;&gt;"",D31&lt;&gt;IFERROR(INDEX(INVOICE_PIUTANG!$D$5:$D$151,MATCH(G31,INVOICE_PIUTANG!$A$5:$A$151,0)),"")),"PERKARA TIDAK SESUAI INVOICE",IF(V31&lt;&gt;"LENGKAP","PENERIMAAN BELUM DIKONFIRMASI","OK"))))))</f>
        <v/>
      </c>
      <c r="S31" s="98"/>
      <c r="T31" s="105"/>
      <c r="U31" s="98"/>
      <c r="V31" s="104" t="str">
        <f t="shared" si="4"/>
        <v/>
      </c>
    </row>
    <row r="32" spans="1:22">
      <c r="A32" s="9" t="str">
        <f t="shared" si="0"/>
        <v/>
      </c>
      <c r="B32" s="80"/>
      <c r="C32" s="9" t="str">
        <f t="shared" si="1"/>
        <v/>
      </c>
      <c r="D32" s="46" t="str">
        <f>IF(G32="","",IFERROR(INDEX(INVOICE_PIUTANG!$D$5:$D$151,MATCH(G32,INVOICE_PIUTANG!$A$5:$A$151,0)),""))</f>
        <v/>
      </c>
      <c r="E32" s="47" t="str">
        <f>IF(D32="","",IFERROR(INDEX(PERKARA!$B$5:$B$104,MATCH(D32,PERKARA!$A$5:$A$104,0)),"ID TIDAK TERDAFTAR"))</f>
        <v/>
      </c>
      <c r="F32" s="6"/>
      <c r="G32" s="6"/>
      <c r="H32" s="72"/>
      <c r="I32" s="72"/>
      <c r="J32" s="73" t="str">
        <f t="shared" si="2"/>
        <v/>
      </c>
      <c r="K32" s="6"/>
      <c r="L32" s="6"/>
      <c r="M32" s="9" t="str">
        <f t="shared" si="3"/>
        <v/>
      </c>
      <c r="N32" s="6"/>
      <c r="O32" s="6"/>
      <c r="P32" s="103"/>
      <c r="Q32" s="6"/>
      <c r="R32" s="67" t="str">
        <f>IF(B32="","",IF(AND(G32&lt;&gt;"",COUNTIF(INVOICE_PIUTANG!$A$5:$A$151,G32)=0),"INVOICE BELUM TERDAFTAR",IF(AND(D32&lt;&gt;"",E32="ID TIDAK TERDAFTAR"),"PERKARA TIDAK VALID",IF(K32="","AKUN BELUM DIISI",IF(AND(G32&lt;&gt;"",D32&lt;&gt;IFERROR(INDEX(INVOICE_PIUTANG!$D$5:$D$151,MATCH(G32,INVOICE_PIUTANG!$A$5:$A$151,0)),"")),"PERKARA TIDAK SESUAI INVOICE",IF(V32&lt;&gt;"LENGKAP","PENERIMAAN BELUM DIKONFIRMASI","OK"))))))</f>
        <v/>
      </c>
      <c r="S32" s="98"/>
      <c r="T32" s="105"/>
      <c r="U32" s="98"/>
      <c r="V32" s="104" t="str">
        <f t="shared" si="4"/>
        <v/>
      </c>
    </row>
    <row r="33" spans="1:22">
      <c r="A33" s="9" t="str">
        <f t="shared" si="0"/>
        <v/>
      </c>
      <c r="B33" s="80"/>
      <c r="C33" s="9" t="str">
        <f t="shared" si="1"/>
        <v/>
      </c>
      <c r="D33" s="46" t="str">
        <f>IF(G33="","",IFERROR(INDEX(INVOICE_PIUTANG!$D$5:$D$151,MATCH(G33,INVOICE_PIUTANG!$A$5:$A$151,0)),""))</f>
        <v/>
      </c>
      <c r="E33" s="47" t="str">
        <f>IF(D33="","",IFERROR(INDEX(PERKARA!$B$5:$B$104,MATCH(D33,PERKARA!$A$5:$A$104,0)),"ID TIDAK TERDAFTAR"))</f>
        <v/>
      </c>
      <c r="F33" s="6"/>
      <c r="G33" s="6"/>
      <c r="H33" s="72"/>
      <c r="I33" s="72"/>
      <c r="J33" s="73" t="str">
        <f t="shared" si="2"/>
        <v/>
      </c>
      <c r="K33" s="6"/>
      <c r="L33" s="6"/>
      <c r="M33" s="9" t="str">
        <f t="shared" si="3"/>
        <v/>
      </c>
      <c r="N33" s="6"/>
      <c r="O33" s="6"/>
      <c r="P33" s="103"/>
      <c r="Q33" s="6"/>
      <c r="R33" s="67" t="str">
        <f>IF(B33="","",IF(AND(G33&lt;&gt;"",COUNTIF(INVOICE_PIUTANG!$A$5:$A$151,G33)=0),"INVOICE BELUM TERDAFTAR",IF(AND(D33&lt;&gt;"",E33="ID TIDAK TERDAFTAR"),"PERKARA TIDAK VALID",IF(K33="","AKUN BELUM DIISI",IF(AND(G33&lt;&gt;"",D33&lt;&gt;IFERROR(INDEX(INVOICE_PIUTANG!$D$5:$D$151,MATCH(G33,INVOICE_PIUTANG!$A$5:$A$151,0)),"")),"PERKARA TIDAK SESUAI INVOICE",IF(V33&lt;&gt;"LENGKAP","PENERIMAAN BELUM DIKONFIRMASI","OK"))))))</f>
        <v/>
      </c>
      <c r="S33" s="98"/>
      <c r="T33" s="105"/>
      <c r="U33" s="98"/>
      <c r="V33" s="104" t="str">
        <f t="shared" si="4"/>
        <v/>
      </c>
    </row>
    <row r="34" spans="1:22">
      <c r="A34" s="9" t="str">
        <f t="shared" si="0"/>
        <v/>
      </c>
      <c r="B34" s="80"/>
      <c r="C34" s="9" t="str">
        <f t="shared" si="1"/>
        <v/>
      </c>
      <c r="D34" s="46" t="str">
        <f>IF(G34="","",IFERROR(INDEX(INVOICE_PIUTANG!$D$5:$D$151,MATCH(G34,INVOICE_PIUTANG!$A$5:$A$151,0)),""))</f>
        <v/>
      </c>
      <c r="E34" s="47" t="str">
        <f>IF(D34="","",IFERROR(INDEX(PERKARA!$B$5:$B$104,MATCH(D34,PERKARA!$A$5:$A$104,0)),"ID TIDAK TERDAFTAR"))</f>
        <v/>
      </c>
      <c r="F34" s="6"/>
      <c r="G34" s="6"/>
      <c r="H34" s="72"/>
      <c r="I34" s="72"/>
      <c r="J34" s="73" t="str">
        <f t="shared" si="2"/>
        <v/>
      </c>
      <c r="K34" s="6"/>
      <c r="L34" s="6"/>
      <c r="M34" s="9" t="str">
        <f t="shared" si="3"/>
        <v/>
      </c>
      <c r="N34" s="6"/>
      <c r="O34" s="6"/>
      <c r="P34" s="103"/>
      <c r="Q34" s="6"/>
      <c r="R34" s="67" t="str">
        <f>IF(B34="","",IF(AND(G34&lt;&gt;"",COUNTIF(INVOICE_PIUTANG!$A$5:$A$151,G34)=0),"INVOICE BELUM TERDAFTAR",IF(AND(D34&lt;&gt;"",E34="ID TIDAK TERDAFTAR"),"PERKARA TIDAK VALID",IF(K34="","AKUN BELUM DIISI",IF(AND(G34&lt;&gt;"",D34&lt;&gt;IFERROR(INDEX(INVOICE_PIUTANG!$D$5:$D$151,MATCH(G34,INVOICE_PIUTANG!$A$5:$A$151,0)),"")),"PERKARA TIDAK SESUAI INVOICE",IF(V34&lt;&gt;"LENGKAP","PENERIMAAN BELUM DIKONFIRMASI","OK"))))))</f>
        <v/>
      </c>
      <c r="S34" s="98"/>
      <c r="T34" s="105"/>
      <c r="U34" s="98"/>
      <c r="V34" s="104" t="str">
        <f t="shared" si="4"/>
        <v/>
      </c>
    </row>
    <row r="35" spans="1:22">
      <c r="A35" s="9" t="str">
        <f t="shared" si="0"/>
        <v/>
      </c>
      <c r="B35" s="80"/>
      <c r="C35" s="9" t="str">
        <f t="shared" si="1"/>
        <v/>
      </c>
      <c r="D35" s="46" t="str">
        <f>IF(G35="","",IFERROR(INDEX(INVOICE_PIUTANG!$D$5:$D$151,MATCH(G35,INVOICE_PIUTANG!$A$5:$A$151,0)),""))</f>
        <v/>
      </c>
      <c r="E35" s="47" t="str">
        <f>IF(D35="","",IFERROR(INDEX(PERKARA!$B$5:$B$104,MATCH(D35,PERKARA!$A$5:$A$104,0)),"ID TIDAK TERDAFTAR"))</f>
        <v/>
      </c>
      <c r="F35" s="6"/>
      <c r="G35" s="6"/>
      <c r="H35" s="72"/>
      <c r="I35" s="72"/>
      <c r="J35" s="73" t="str">
        <f t="shared" si="2"/>
        <v/>
      </c>
      <c r="K35" s="6"/>
      <c r="L35" s="6"/>
      <c r="M35" s="9" t="str">
        <f t="shared" si="3"/>
        <v/>
      </c>
      <c r="N35" s="6"/>
      <c r="O35" s="6"/>
      <c r="P35" s="103"/>
      <c r="Q35" s="6"/>
      <c r="R35" s="67" t="str">
        <f>IF(B35="","",IF(AND(G35&lt;&gt;"",COUNTIF(INVOICE_PIUTANG!$A$5:$A$151,G35)=0),"INVOICE BELUM TERDAFTAR",IF(AND(D35&lt;&gt;"",E35="ID TIDAK TERDAFTAR"),"PERKARA TIDAK VALID",IF(K35="","AKUN BELUM DIISI",IF(AND(G35&lt;&gt;"",D35&lt;&gt;IFERROR(INDEX(INVOICE_PIUTANG!$D$5:$D$151,MATCH(G35,INVOICE_PIUTANG!$A$5:$A$151,0)),"")),"PERKARA TIDAK SESUAI INVOICE",IF(V35&lt;&gt;"LENGKAP","PENERIMAAN BELUM DIKONFIRMASI","OK"))))))</f>
        <v/>
      </c>
      <c r="S35" s="98"/>
      <c r="T35" s="105"/>
      <c r="U35" s="98"/>
      <c r="V35" s="104" t="str">
        <f t="shared" si="4"/>
        <v/>
      </c>
    </row>
    <row r="36" spans="1:22">
      <c r="A36" s="9" t="str">
        <f t="shared" si="0"/>
        <v/>
      </c>
      <c r="B36" s="80"/>
      <c r="C36" s="9" t="str">
        <f t="shared" si="1"/>
        <v/>
      </c>
      <c r="D36" s="46" t="str">
        <f>IF(G36="","",IFERROR(INDEX(INVOICE_PIUTANG!$D$5:$D$151,MATCH(G36,INVOICE_PIUTANG!$A$5:$A$151,0)),""))</f>
        <v/>
      </c>
      <c r="E36" s="47" t="str">
        <f>IF(D36="","",IFERROR(INDEX(PERKARA!$B$5:$B$104,MATCH(D36,PERKARA!$A$5:$A$104,0)),"ID TIDAK TERDAFTAR"))</f>
        <v/>
      </c>
      <c r="F36" s="6"/>
      <c r="G36" s="6"/>
      <c r="H36" s="72"/>
      <c r="I36" s="72"/>
      <c r="J36" s="73" t="str">
        <f t="shared" si="2"/>
        <v/>
      </c>
      <c r="K36" s="6"/>
      <c r="L36" s="6"/>
      <c r="M36" s="9" t="str">
        <f t="shared" si="3"/>
        <v/>
      </c>
      <c r="N36" s="6"/>
      <c r="O36" s="6"/>
      <c r="P36" s="103"/>
      <c r="Q36" s="6"/>
      <c r="R36" s="67" t="str">
        <f>IF(B36="","",IF(AND(G36&lt;&gt;"",COUNTIF(INVOICE_PIUTANG!$A$5:$A$151,G36)=0),"INVOICE BELUM TERDAFTAR",IF(AND(D36&lt;&gt;"",E36="ID TIDAK TERDAFTAR"),"PERKARA TIDAK VALID",IF(K36="","AKUN BELUM DIISI",IF(AND(G36&lt;&gt;"",D36&lt;&gt;IFERROR(INDEX(INVOICE_PIUTANG!$D$5:$D$151,MATCH(G36,INVOICE_PIUTANG!$A$5:$A$151,0)),"")),"PERKARA TIDAK SESUAI INVOICE",IF(V36&lt;&gt;"LENGKAP","PENERIMAAN BELUM DIKONFIRMASI","OK"))))))</f>
        <v/>
      </c>
      <c r="S36" s="98"/>
      <c r="T36" s="105"/>
      <c r="U36" s="98"/>
      <c r="V36" s="104" t="str">
        <f t="shared" si="4"/>
        <v/>
      </c>
    </row>
    <row r="37" spans="1:22">
      <c r="A37" s="9" t="str">
        <f t="shared" ref="A37:A68" si="5">IF(B37="","",IFERROR("INC-"&amp;TEXT(B37,"yyyymmdd")&amp;"-"&amp;TEXT(ROW()-4,"000"),"TANGGAL TIDAK VALID"))</f>
        <v/>
      </c>
      <c r="B37" s="80"/>
      <c r="C37" s="9" t="str">
        <f t="shared" ref="C37:C68" si="6">IF(B37="","",IFERROR(TEXT(B37,"yyyy-mm"),"TANGGAL TIDAK VALID"))</f>
        <v/>
      </c>
      <c r="D37" s="46" t="str">
        <f>IF(G37="","",IFERROR(INDEX(INVOICE_PIUTANG!$D$5:$D$151,MATCH(G37,INVOICE_PIUTANG!$A$5:$A$151,0)),""))</f>
        <v/>
      </c>
      <c r="E37" s="47" t="str">
        <f>IF(D37="","",IFERROR(INDEX(PERKARA!$B$5:$B$104,MATCH(D37,PERKARA!$A$5:$A$104,0)),"ID TIDAK TERDAFTAR"))</f>
        <v/>
      </c>
      <c r="F37" s="6"/>
      <c r="G37" s="6"/>
      <c r="H37" s="72"/>
      <c r="I37" s="72"/>
      <c r="J37" s="73" t="str">
        <f t="shared" ref="J37:J68" si="7">IF(B37="","",MAX(H37-I37,0))</f>
        <v/>
      </c>
      <c r="K37" s="6"/>
      <c r="L37" s="6"/>
      <c r="M37" s="9" t="str">
        <f t="shared" ref="M37:M68" si="8">IF(F37="","",IF(F37="Reimburse dari Klien","Penggantian Biaya",IF(F37="Dana Titipan Klien","Dana Klien",IF(F37="Setoran Modal Partner","Modal Partner",IF(F37="Pinjaman","Pinjaman","Pendapatan Operasional")))))</f>
        <v/>
      </c>
      <c r="N37" s="6"/>
      <c r="O37" s="6"/>
      <c r="P37" s="103"/>
      <c r="Q37" s="6"/>
      <c r="R37" s="67" t="str">
        <f>IF(B37="","",IF(AND(G37&lt;&gt;"",COUNTIF(INVOICE_PIUTANG!$A$5:$A$151,G37)=0),"INVOICE BELUM TERDAFTAR",IF(AND(D37&lt;&gt;"",E37="ID TIDAK TERDAFTAR"),"PERKARA TIDAK VALID",IF(K37="","AKUN BELUM DIISI",IF(AND(G37&lt;&gt;"",D37&lt;&gt;IFERROR(INDEX(INVOICE_PIUTANG!$D$5:$D$151,MATCH(G37,INVOICE_PIUTANG!$A$5:$A$151,0)),"")),"PERKARA TIDAK SESUAI INVOICE",IF(V37&lt;&gt;"LENGKAP","PENERIMAAN BELUM DIKONFIRMASI","OK"))))))</f>
        <v/>
      </c>
      <c r="S37" s="98"/>
      <c r="T37" s="105"/>
      <c r="U37" s="98"/>
      <c r="V37" s="104" t="str">
        <f t="shared" ref="V37:V68" si="9">IF(B37="","",IF(S37="Ditolak","DITOLAK",IF(AND(S37="Dikonfirmasi",P37&lt;&gt;""),"LENGKAP",IF(S37="Dikonfirmasi","NAMA PENYETUJU BELUM DIISI","MENUNGGU KONFIRMASI MANUAL"))))</f>
        <v/>
      </c>
    </row>
    <row r="38" spans="1:22">
      <c r="A38" s="9" t="str">
        <f t="shared" si="5"/>
        <v/>
      </c>
      <c r="B38" s="80"/>
      <c r="C38" s="9" t="str">
        <f t="shared" si="6"/>
        <v/>
      </c>
      <c r="D38" s="46" t="str">
        <f>IF(G38="","",IFERROR(INDEX(INVOICE_PIUTANG!$D$5:$D$151,MATCH(G38,INVOICE_PIUTANG!$A$5:$A$151,0)),""))</f>
        <v/>
      </c>
      <c r="E38" s="47" t="str">
        <f>IF(D38="","",IFERROR(INDEX(PERKARA!$B$5:$B$104,MATCH(D38,PERKARA!$A$5:$A$104,0)),"ID TIDAK TERDAFTAR"))</f>
        <v/>
      </c>
      <c r="F38" s="6"/>
      <c r="G38" s="6"/>
      <c r="H38" s="72"/>
      <c r="I38" s="72"/>
      <c r="J38" s="73" t="str">
        <f t="shared" si="7"/>
        <v/>
      </c>
      <c r="K38" s="6"/>
      <c r="L38" s="6"/>
      <c r="M38" s="9" t="str">
        <f t="shared" si="8"/>
        <v/>
      </c>
      <c r="N38" s="6"/>
      <c r="O38" s="6"/>
      <c r="P38" s="103"/>
      <c r="Q38" s="6"/>
      <c r="R38" s="67" t="str">
        <f>IF(B38="","",IF(AND(G38&lt;&gt;"",COUNTIF(INVOICE_PIUTANG!$A$5:$A$151,G38)=0),"INVOICE BELUM TERDAFTAR",IF(AND(D38&lt;&gt;"",E38="ID TIDAK TERDAFTAR"),"PERKARA TIDAK VALID",IF(K38="","AKUN BELUM DIISI",IF(AND(G38&lt;&gt;"",D38&lt;&gt;IFERROR(INDEX(INVOICE_PIUTANG!$D$5:$D$151,MATCH(G38,INVOICE_PIUTANG!$A$5:$A$151,0)),"")),"PERKARA TIDAK SESUAI INVOICE",IF(V38&lt;&gt;"LENGKAP","PENERIMAAN BELUM DIKONFIRMASI","OK"))))))</f>
        <v/>
      </c>
      <c r="S38" s="98"/>
      <c r="T38" s="105"/>
      <c r="U38" s="98"/>
      <c r="V38" s="104" t="str">
        <f t="shared" si="9"/>
        <v/>
      </c>
    </row>
    <row r="39" spans="1:22">
      <c r="A39" s="9" t="str">
        <f t="shared" si="5"/>
        <v/>
      </c>
      <c r="B39" s="80"/>
      <c r="C39" s="9" t="str">
        <f t="shared" si="6"/>
        <v/>
      </c>
      <c r="D39" s="46" t="str">
        <f>IF(G39="","",IFERROR(INDEX(INVOICE_PIUTANG!$D$5:$D$151,MATCH(G39,INVOICE_PIUTANG!$A$5:$A$151,0)),""))</f>
        <v/>
      </c>
      <c r="E39" s="47" t="str">
        <f>IF(D39="","",IFERROR(INDEX(PERKARA!$B$5:$B$104,MATCH(D39,PERKARA!$A$5:$A$104,0)),"ID TIDAK TERDAFTAR"))</f>
        <v/>
      </c>
      <c r="F39" s="6"/>
      <c r="G39" s="6"/>
      <c r="H39" s="72"/>
      <c r="I39" s="72"/>
      <c r="J39" s="73" t="str">
        <f t="shared" si="7"/>
        <v/>
      </c>
      <c r="K39" s="6"/>
      <c r="L39" s="6"/>
      <c r="M39" s="9" t="str">
        <f t="shared" si="8"/>
        <v/>
      </c>
      <c r="N39" s="6"/>
      <c r="O39" s="6"/>
      <c r="P39" s="103"/>
      <c r="Q39" s="6"/>
      <c r="R39" s="67" t="str">
        <f>IF(B39="","",IF(AND(G39&lt;&gt;"",COUNTIF(INVOICE_PIUTANG!$A$5:$A$151,G39)=0),"INVOICE BELUM TERDAFTAR",IF(AND(D39&lt;&gt;"",E39="ID TIDAK TERDAFTAR"),"PERKARA TIDAK VALID",IF(K39="","AKUN BELUM DIISI",IF(AND(G39&lt;&gt;"",D39&lt;&gt;IFERROR(INDEX(INVOICE_PIUTANG!$D$5:$D$151,MATCH(G39,INVOICE_PIUTANG!$A$5:$A$151,0)),"")),"PERKARA TIDAK SESUAI INVOICE",IF(V39&lt;&gt;"LENGKAP","PENERIMAAN BELUM DIKONFIRMASI","OK"))))))</f>
        <v/>
      </c>
      <c r="S39" s="98"/>
      <c r="T39" s="105"/>
      <c r="U39" s="98"/>
      <c r="V39" s="104" t="str">
        <f t="shared" si="9"/>
        <v/>
      </c>
    </row>
    <row r="40" spans="1:22">
      <c r="A40" s="9" t="str">
        <f t="shared" si="5"/>
        <v/>
      </c>
      <c r="B40" s="80"/>
      <c r="C40" s="9" t="str">
        <f t="shared" si="6"/>
        <v/>
      </c>
      <c r="D40" s="46" t="str">
        <f>IF(G40="","",IFERROR(INDEX(INVOICE_PIUTANG!$D$5:$D$151,MATCH(G40,INVOICE_PIUTANG!$A$5:$A$151,0)),""))</f>
        <v/>
      </c>
      <c r="E40" s="47" t="str">
        <f>IF(D40="","",IFERROR(INDEX(PERKARA!$B$5:$B$104,MATCH(D40,PERKARA!$A$5:$A$104,0)),"ID TIDAK TERDAFTAR"))</f>
        <v/>
      </c>
      <c r="F40" s="6"/>
      <c r="G40" s="6"/>
      <c r="H40" s="72"/>
      <c r="I40" s="72"/>
      <c r="J40" s="73" t="str">
        <f t="shared" si="7"/>
        <v/>
      </c>
      <c r="K40" s="6"/>
      <c r="L40" s="6"/>
      <c r="M40" s="9" t="str">
        <f t="shared" si="8"/>
        <v/>
      </c>
      <c r="N40" s="6"/>
      <c r="O40" s="6"/>
      <c r="P40" s="103"/>
      <c r="Q40" s="6"/>
      <c r="R40" s="67" t="str">
        <f>IF(B40="","",IF(AND(G40&lt;&gt;"",COUNTIF(INVOICE_PIUTANG!$A$5:$A$151,G40)=0),"INVOICE BELUM TERDAFTAR",IF(AND(D40&lt;&gt;"",E40="ID TIDAK TERDAFTAR"),"PERKARA TIDAK VALID",IF(K40="","AKUN BELUM DIISI",IF(AND(G40&lt;&gt;"",D40&lt;&gt;IFERROR(INDEX(INVOICE_PIUTANG!$D$5:$D$151,MATCH(G40,INVOICE_PIUTANG!$A$5:$A$151,0)),"")),"PERKARA TIDAK SESUAI INVOICE",IF(V40&lt;&gt;"LENGKAP","PENERIMAAN BELUM DIKONFIRMASI","OK"))))))</f>
        <v/>
      </c>
      <c r="S40" s="98"/>
      <c r="T40" s="105"/>
      <c r="U40" s="98"/>
      <c r="V40" s="104" t="str">
        <f t="shared" si="9"/>
        <v/>
      </c>
    </row>
    <row r="41" spans="1:22">
      <c r="A41" s="9" t="str">
        <f t="shared" si="5"/>
        <v/>
      </c>
      <c r="B41" s="80"/>
      <c r="C41" s="9" t="str">
        <f t="shared" si="6"/>
        <v/>
      </c>
      <c r="D41" s="46" t="str">
        <f>IF(G41="","",IFERROR(INDEX(INVOICE_PIUTANG!$D$5:$D$151,MATCH(G41,INVOICE_PIUTANG!$A$5:$A$151,0)),""))</f>
        <v/>
      </c>
      <c r="E41" s="47" t="str">
        <f>IF(D41="","",IFERROR(INDEX(PERKARA!$B$5:$B$104,MATCH(D41,PERKARA!$A$5:$A$104,0)),"ID TIDAK TERDAFTAR"))</f>
        <v/>
      </c>
      <c r="F41" s="6"/>
      <c r="G41" s="6"/>
      <c r="H41" s="72"/>
      <c r="I41" s="72"/>
      <c r="J41" s="73" t="str">
        <f t="shared" si="7"/>
        <v/>
      </c>
      <c r="K41" s="6"/>
      <c r="L41" s="6"/>
      <c r="M41" s="9" t="str">
        <f t="shared" si="8"/>
        <v/>
      </c>
      <c r="N41" s="6"/>
      <c r="O41" s="6"/>
      <c r="P41" s="103"/>
      <c r="Q41" s="6"/>
      <c r="R41" s="67" t="str">
        <f>IF(B41="","",IF(AND(G41&lt;&gt;"",COUNTIF(INVOICE_PIUTANG!$A$5:$A$151,G41)=0),"INVOICE BELUM TERDAFTAR",IF(AND(D41&lt;&gt;"",E41="ID TIDAK TERDAFTAR"),"PERKARA TIDAK VALID",IF(K41="","AKUN BELUM DIISI",IF(AND(G41&lt;&gt;"",D41&lt;&gt;IFERROR(INDEX(INVOICE_PIUTANG!$D$5:$D$151,MATCH(G41,INVOICE_PIUTANG!$A$5:$A$151,0)),"")),"PERKARA TIDAK SESUAI INVOICE",IF(V41&lt;&gt;"LENGKAP","PENERIMAAN BELUM DIKONFIRMASI","OK"))))))</f>
        <v/>
      </c>
      <c r="S41" s="98"/>
      <c r="T41" s="105"/>
      <c r="U41" s="98"/>
      <c r="V41" s="104" t="str">
        <f t="shared" si="9"/>
        <v/>
      </c>
    </row>
    <row r="42" spans="1:22">
      <c r="A42" s="9" t="str">
        <f t="shared" si="5"/>
        <v/>
      </c>
      <c r="B42" s="80"/>
      <c r="C42" s="9" t="str">
        <f t="shared" si="6"/>
        <v/>
      </c>
      <c r="D42" s="46" t="str">
        <f>IF(G42="","",IFERROR(INDEX(INVOICE_PIUTANG!$D$5:$D$151,MATCH(G42,INVOICE_PIUTANG!$A$5:$A$151,0)),""))</f>
        <v/>
      </c>
      <c r="E42" s="47" t="str">
        <f>IF(D42="","",IFERROR(INDEX(PERKARA!$B$5:$B$104,MATCH(D42,PERKARA!$A$5:$A$104,0)),"ID TIDAK TERDAFTAR"))</f>
        <v/>
      </c>
      <c r="F42" s="6"/>
      <c r="G42" s="6"/>
      <c r="H42" s="72"/>
      <c r="I42" s="72"/>
      <c r="J42" s="73" t="str">
        <f t="shared" si="7"/>
        <v/>
      </c>
      <c r="K42" s="6"/>
      <c r="L42" s="6"/>
      <c r="M42" s="9" t="str">
        <f t="shared" si="8"/>
        <v/>
      </c>
      <c r="N42" s="6"/>
      <c r="O42" s="6"/>
      <c r="P42" s="103"/>
      <c r="Q42" s="6"/>
      <c r="R42" s="67" t="str">
        <f>IF(B42="","",IF(AND(G42&lt;&gt;"",COUNTIF(INVOICE_PIUTANG!$A$5:$A$151,G42)=0),"INVOICE BELUM TERDAFTAR",IF(AND(D42&lt;&gt;"",E42="ID TIDAK TERDAFTAR"),"PERKARA TIDAK VALID",IF(K42="","AKUN BELUM DIISI",IF(AND(G42&lt;&gt;"",D42&lt;&gt;IFERROR(INDEX(INVOICE_PIUTANG!$D$5:$D$151,MATCH(G42,INVOICE_PIUTANG!$A$5:$A$151,0)),"")),"PERKARA TIDAK SESUAI INVOICE",IF(V42&lt;&gt;"LENGKAP","PENERIMAAN BELUM DIKONFIRMASI","OK"))))))</f>
        <v/>
      </c>
      <c r="S42" s="98"/>
      <c r="T42" s="105"/>
      <c r="U42" s="98"/>
      <c r="V42" s="104" t="str">
        <f t="shared" si="9"/>
        <v/>
      </c>
    </row>
    <row r="43" spans="1:22">
      <c r="A43" s="9" t="str">
        <f t="shared" si="5"/>
        <v/>
      </c>
      <c r="B43" s="80"/>
      <c r="C43" s="9" t="str">
        <f t="shared" si="6"/>
        <v/>
      </c>
      <c r="D43" s="46" t="str">
        <f>IF(G43="","",IFERROR(INDEX(INVOICE_PIUTANG!$D$5:$D$151,MATCH(G43,INVOICE_PIUTANG!$A$5:$A$151,0)),""))</f>
        <v/>
      </c>
      <c r="E43" s="47" t="str">
        <f>IF(D43="","",IFERROR(INDEX(PERKARA!$B$5:$B$104,MATCH(D43,PERKARA!$A$5:$A$104,0)),"ID TIDAK TERDAFTAR"))</f>
        <v/>
      </c>
      <c r="F43" s="6"/>
      <c r="G43" s="6"/>
      <c r="H43" s="72"/>
      <c r="I43" s="72"/>
      <c r="J43" s="73" t="str">
        <f t="shared" si="7"/>
        <v/>
      </c>
      <c r="K43" s="6"/>
      <c r="L43" s="6"/>
      <c r="M43" s="9" t="str">
        <f t="shared" si="8"/>
        <v/>
      </c>
      <c r="N43" s="6"/>
      <c r="O43" s="6"/>
      <c r="P43" s="103"/>
      <c r="Q43" s="6"/>
      <c r="R43" s="67" t="str">
        <f>IF(B43="","",IF(AND(G43&lt;&gt;"",COUNTIF(INVOICE_PIUTANG!$A$5:$A$151,G43)=0),"INVOICE BELUM TERDAFTAR",IF(AND(D43&lt;&gt;"",E43="ID TIDAK TERDAFTAR"),"PERKARA TIDAK VALID",IF(K43="","AKUN BELUM DIISI",IF(AND(G43&lt;&gt;"",D43&lt;&gt;IFERROR(INDEX(INVOICE_PIUTANG!$D$5:$D$151,MATCH(G43,INVOICE_PIUTANG!$A$5:$A$151,0)),"")),"PERKARA TIDAK SESUAI INVOICE",IF(V43&lt;&gt;"LENGKAP","PENERIMAAN BELUM DIKONFIRMASI","OK"))))))</f>
        <v/>
      </c>
      <c r="S43" s="98"/>
      <c r="T43" s="105"/>
      <c r="U43" s="98"/>
      <c r="V43" s="104" t="str">
        <f t="shared" si="9"/>
        <v/>
      </c>
    </row>
    <row r="44" spans="1:22">
      <c r="A44" s="9" t="str">
        <f t="shared" si="5"/>
        <v/>
      </c>
      <c r="B44" s="80"/>
      <c r="C44" s="9" t="str">
        <f t="shared" si="6"/>
        <v/>
      </c>
      <c r="D44" s="46" t="str">
        <f>IF(G44="","",IFERROR(INDEX(INVOICE_PIUTANG!$D$5:$D$151,MATCH(G44,INVOICE_PIUTANG!$A$5:$A$151,0)),""))</f>
        <v/>
      </c>
      <c r="E44" s="47" t="str">
        <f>IF(D44="","",IFERROR(INDEX(PERKARA!$B$5:$B$104,MATCH(D44,PERKARA!$A$5:$A$104,0)),"ID TIDAK TERDAFTAR"))</f>
        <v/>
      </c>
      <c r="F44" s="6"/>
      <c r="G44" s="6"/>
      <c r="H44" s="72"/>
      <c r="I44" s="72"/>
      <c r="J44" s="73" t="str">
        <f t="shared" si="7"/>
        <v/>
      </c>
      <c r="K44" s="6"/>
      <c r="L44" s="6"/>
      <c r="M44" s="9" t="str">
        <f t="shared" si="8"/>
        <v/>
      </c>
      <c r="N44" s="6"/>
      <c r="O44" s="6"/>
      <c r="P44" s="103"/>
      <c r="Q44" s="6"/>
      <c r="R44" s="67" t="str">
        <f>IF(B44="","",IF(AND(G44&lt;&gt;"",COUNTIF(INVOICE_PIUTANG!$A$5:$A$151,G44)=0),"INVOICE BELUM TERDAFTAR",IF(AND(D44&lt;&gt;"",E44="ID TIDAK TERDAFTAR"),"PERKARA TIDAK VALID",IF(K44="","AKUN BELUM DIISI",IF(AND(G44&lt;&gt;"",D44&lt;&gt;IFERROR(INDEX(INVOICE_PIUTANG!$D$5:$D$151,MATCH(G44,INVOICE_PIUTANG!$A$5:$A$151,0)),"")),"PERKARA TIDAK SESUAI INVOICE",IF(V44&lt;&gt;"LENGKAP","PENERIMAAN BELUM DIKONFIRMASI","OK"))))))</f>
        <v/>
      </c>
      <c r="S44" s="98"/>
      <c r="T44" s="105"/>
      <c r="U44" s="98"/>
      <c r="V44" s="104" t="str">
        <f t="shared" si="9"/>
        <v/>
      </c>
    </row>
    <row r="45" spans="1:22">
      <c r="A45" s="9" t="str">
        <f t="shared" si="5"/>
        <v/>
      </c>
      <c r="B45" s="80"/>
      <c r="C45" s="9" t="str">
        <f t="shared" si="6"/>
        <v/>
      </c>
      <c r="D45" s="46" t="str">
        <f>IF(G45="","",IFERROR(INDEX(INVOICE_PIUTANG!$D$5:$D$151,MATCH(G45,INVOICE_PIUTANG!$A$5:$A$151,0)),""))</f>
        <v/>
      </c>
      <c r="E45" s="47" t="str">
        <f>IF(D45="","",IFERROR(INDEX(PERKARA!$B$5:$B$104,MATCH(D45,PERKARA!$A$5:$A$104,0)),"ID TIDAK TERDAFTAR"))</f>
        <v/>
      </c>
      <c r="F45" s="6"/>
      <c r="G45" s="6"/>
      <c r="H45" s="72"/>
      <c r="I45" s="72"/>
      <c r="J45" s="73" t="str">
        <f t="shared" si="7"/>
        <v/>
      </c>
      <c r="K45" s="6"/>
      <c r="L45" s="6"/>
      <c r="M45" s="9" t="str">
        <f t="shared" si="8"/>
        <v/>
      </c>
      <c r="N45" s="6"/>
      <c r="O45" s="6"/>
      <c r="P45" s="103"/>
      <c r="Q45" s="6"/>
      <c r="R45" s="67" t="str">
        <f>IF(B45="","",IF(AND(G45&lt;&gt;"",COUNTIF(INVOICE_PIUTANG!$A$5:$A$151,G45)=0),"INVOICE BELUM TERDAFTAR",IF(AND(D45&lt;&gt;"",E45="ID TIDAK TERDAFTAR"),"PERKARA TIDAK VALID",IF(K45="","AKUN BELUM DIISI",IF(AND(G45&lt;&gt;"",D45&lt;&gt;IFERROR(INDEX(INVOICE_PIUTANG!$D$5:$D$151,MATCH(G45,INVOICE_PIUTANG!$A$5:$A$151,0)),"")),"PERKARA TIDAK SESUAI INVOICE",IF(V45&lt;&gt;"LENGKAP","PENERIMAAN BELUM DIKONFIRMASI","OK"))))))</f>
        <v/>
      </c>
      <c r="S45" s="98"/>
      <c r="T45" s="105"/>
      <c r="U45" s="98"/>
      <c r="V45" s="104" t="str">
        <f t="shared" si="9"/>
        <v/>
      </c>
    </row>
    <row r="46" spans="1:22">
      <c r="A46" s="9" t="str">
        <f t="shared" si="5"/>
        <v/>
      </c>
      <c r="B46" s="80"/>
      <c r="C46" s="9" t="str">
        <f t="shared" si="6"/>
        <v/>
      </c>
      <c r="D46" s="46" t="str">
        <f>IF(G46="","",IFERROR(INDEX(INVOICE_PIUTANG!$D$5:$D$151,MATCH(G46,INVOICE_PIUTANG!$A$5:$A$151,0)),""))</f>
        <v/>
      </c>
      <c r="E46" s="47" t="str">
        <f>IF(D46="","",IFERROR(INDEX(PERKARA!$B$5:$B$104,MATCH(D46,PERKARA!$A$5:$A$104,0)),"ID TIDAK TERDAFTAR"))</f>
        <v/>
      </c>
      <c r="F46" s="6"/>
      <c r="G46" s="6"/>
      <c r="H46" s="72"/>
      <c r="I46" s="72"/>
      <c r="J46" s="73" t="str">
        <f t="shared" si="7"/>
        <v/>
      </c>
      <c r="K46" s="6"/>
      <c r="L46" s="6"/>
      <c r="M46" s="9" t="str">
        <f t="shared" si="8"/>
        <v/>
      </c>
      <c r="N46" s="6"/>
      <c r="O46" s="6"/>
      <c r="P46" s="103"/>
      <c r="Q46" s="6"/>
      <c r="R46" s="67" t="str">
        <f>IF(B46="","",IF(AND(G46&lt;&gt;"",COUNTIF(INVOICE_PIUTANG!$A$5:$A$151,G46)=0),"INVOICE BELUM TERDAFTAR",IF(AND(D46&lt;&gt;"",E46="ID TIDAK TERDAFTAR"),"PERKARA TIDAK VALID",IF(K46="","AKUN BELUM DIISI",IF(AND(G46&lt;&gt;"",D46&lt;&gt;IFERROR(INDEX(INVOICE_PIUTANG!$D$5:$D$151,MATCH(G46,INVOICE_PIUTANG!$A$5:$A$151,0)),"")),"PERKARA TIDAK SESUAI INVOICE",IF(V46&lt;&gt;"LENGKAP","PENERIMAAN BELUM DIKONFIRMASI","OK"))))))</f>
        <v/>
      </c>
      <c r="S46" s="98"/>
      <c r="T46" s="105"/>
      <c r="U46" s="98"/>
      <c r="V46" s="104" t="str">
        <f t="shared" si="9"/>
        <v/>
      </c>
    </row>
    <row r="47" spans="1:22">
      <c r="A47" s="9" t="str">
        <f t="shared" si="5"/>
        <v/>
      </c>
      <c r="B47" s="80"/>
      <c r="C47" s="9" t="str">
        <f t="shared" si="6"/>
        <v/>
      </c>
      <c r="D47" s="46" t="str">
        <f>IF(G47="","",IFERROR(INDEX(INVOICE_PIUTANG!$D$5:$D$151,MATCH(G47,INVOICE_PIUTANG!$A$5:$A$151,0)),""))</f>
        <v/>
      </c>
      <c r="E47" s="47" t="str">
        <f>IF(D47="","",IFERROR(INDEX(PERKARA!$B$5:$B$104,MATCH(D47,PERKARA!$A$5:$A$104,0)),"ID TIDAK TERDAFTAR"))</f>
        <v/>
      </c>
      <c r="F47" s="6"/>
      <c r="G47" s="6"/>
      <c r="H47" s="72"/>
      <c r="I47" s="72"/>
      <c r="J47" s="73" t="str">
        <f t="shared" si="7"/>
        <v/>
      </c>
      <c r="K47" s="6"/>
      <c r="L47" s="6"/>
      <c r="M47" s="9" t="str">
        <f t="shared" si="8"/>
        <v/>
      </c>
      <c r="N47" s="6"/>
      <c r="O47" s="6"/>
      <c r="P47" s="103"/>
      <c r="Q47" s="6"/>
      <c r="R47" s="67" t="str">
        <f>IF(B47="","",IF(AND(G47&lt;&gt;"",COUNTIF(INVOICE_PIUTANG!$A$5:$A$151,G47)=0),"INVOICE BELUM TERDAFTAR",IF(AND(D47&lt;&gt;"",E47="ID TIDAK TERDAFTAR"),"PERKARA TIDAK VALID",IF(K47="","AKUN BELUM DIISI",IF(AND(G47&lt;&gt;"",D47&lt;&gt;IFERROR(INDEX(INVOICE_PIUTANG!$D$5:$D$151,MATCH(G47,INVOICE_PIUTANG!$A$5:$A$151,0)),"")),"PERKARA TIDAK SESUAI INVOICE",IF(V47&lt;&gt;"LENGKAP","PENERIMAAN BELUM DIKONFIRMASI","OK"))))))</f>
        <v/>
      </c>
      <c r="S47" s="98"/>
      <c r="T47" s="105"/>
      <c r="U47" s="98"/>
      <c r="V47" s="104" t="str">
        <f t="shared" si="9"/>
        <v/>
      </c>
    </row>
    <row r="48" spans="1:22">
      <c r="A48" s="9" t="str">
        <f t="shared" si="5"/>
        <v/>
      </c>
      <c r="B48" s="80"/>
      <c r="C48" s="9" t="str">
        <f t="shared" si="6"/>
        <v/>
      </c>
      <c r="D48" s="46" t="str">
        <f>IF(G48="","",IFERROR(INDEX(INVOICE_PIUTANG!$D$5:$D$151,MATCH(G48,INVOICE_PIUTANG!$A$5:$A$151,0)),""))</f>
        <v/>
      </c>
      <c r="E48" s="47" t="str">
        <f>IF(D48="","",IFERROR(INDEX(PERKARA!$B$5:$B$104,MATCH(D48,PERKARA!$A$5:$A$104,0)),"ID TIDAK TERDAFTAR"))</f>
        <v/>
      </c>
      <c r="F48" s="6"/>
      <c r="G48" s="6"/>
      <c r="H48" s="72"/>
      <c r="I48" s="72"/>
      <c r="J48" s="73" t="str">
        <f t="shared" si="7"/>
        <v/>
      </c>
      <c r="K48" s="6"/>
      <c r="L48" s="6"/>
      <c r="M48" s="9" t="str">
        <f t="shared" si="8"/>
        <v/>
      </c>
      <c r="N48" s="6"/>
      <c r="O48" s="6"/>
      <c r="P48" s="103"/>
      <c r="Q48" s="6"/>
      <c r="R48" s="67" t="str">
        <f>IF(B48="","",IF(AND(G48&lt;&gt;"",COUNTIF(INVOICE_PIUTANG!$A$5:$A$151,G48)=0),"INVOICE BELUM TERDAFTAR",IF(AND(D48&lt;&gt;"",E48="ID TIDAK TERDAFTAR"),"PERKARA TIDAK VALID",IF(K48="","AKUN BELUM DIISI",IF(AND(G48&lt;&gt;"",D48&lt;&gt;IFERROR(INDEX(INVOICE_PIUTANG!$D$5:$D$151,MATCH(G48,INVOICE_PIUTANG!$A$5:$A$151,0)),"")),"PERKARA TIDAK SESUAI INVOICE",IF(V48&lt;&gt;"LENGKAP","PENERIMAAN BELUM DIKONFIRMASI","OK"))))))</f>
        <v/>
      </c>
      <c r="S48" s="98"/>
      <c r="T48" s="105"/>
      <c r="U48" s="98"/>
      <c r="V48" s="104" t="str">
        <f t="shared" si="9"/>
        <v/>
      </c>
    </row>
    <row r="49" spans="1:22">
      <c r="A49" s="9" t="str">
        <f t="shared" si="5"/>
        <v/>
      </c>
      <c r="B49" s="80"/>
      <c r="C49" s="9" t="str">
        <f t="shared" si="6"/>
        <v/>
      </c>
      <c r="D49" s="46" t="str">
        <f>IF(G49="","",IFERROR(INDEX(INVOICE_PIUTANG!$D$5:$D$151,MATCH(G49,INVOICE_PIUTANG!$A$5:$A$151,0)),""))</f>
        <v/>
      </c>
      <c r="E49" s="47" t="str">
        <f>IF(D49="","",IFERROR(INDEX(PERKARA!$B$5:$B$104,MATCH(D49,PERKARA!$A$5:$A$104,0)),"ID TIDAK TERDAFTAR"))</f>
        <v/>
      </c>
      <c r="F49" s="6"/>
      <c r="G49" s="6"/>
      <c r="H49" s="72"/>
      <c r="I49" s="72"/>
      <c r="J49" s="73" t="str">
        <f t="shared" si="7"/>
        <v/>
      </c>
      <c r="K49" s="6"/>
      <c r="L49" s="6"/>
      <c r="M49" s="9" t="str">
        <f t="shared" si="8"/>
        <v/>
      </c>
      <c r="N49" s="6"/>
      <c r="O49" s="6"/>
      <c r="P49" s="103"/>
      <c r="Q49" s="6"/>
      <c r="R49" s="67" t="str">
        <f>IF(B49="","",IF(AND(G49&lt;&gt;"",COUNTIF(INVOICE_PIUTANG!$A$5:$A$151,G49)=0),"INVOICE BELUM TERDAFTAR",IF(AND(D49&lt;&gt;"",E49="ID TIDAK TERDAFTAR"),"PERKARA TIDAK VALID",IF(K49="","AKUN BELUM DIISI",IF(AND(G49&lt;&gt;"",D49&lt;&gt;IFERROR(INDEX(INVOICE_PIUTANG!$D$5:$D$151,MATCH(G49,INVOICE_PIUTANG!$A$5:$A$151,0)),"")),"PERKARA TIDAK SESUAI INVOICE",IF(V49&lt;&gt;"LENGKAP","PENERIMAAN BELUM DIKONFIRMASI","OK"))))))</f>
        <v/>
      </c>
      <c r="S49" s="98"/>
      <c r="T49" s="105"/>
      <c r="U49" s="98"/>
      <c r="V49" s="104" t="str">
        <f t="shared" si="9"/>
        <v/>
      </c>
    </row>
    <row r="50" spans="1:22">
      <c r="A50" s="9" t="str">
        <f t="shared" si="5"/>
        <v/>
      </c>
      <c r="B50" s="80"/>
      <c r="C50" s="9" t="str">
        <f t="shared" si="6"/>
        <v/>
      </c>
      <c r="D50" s="46" t="str">
        <f>IF(G50="","",IFERROR(INDEX(INVOICE_PIUTANG!$D$5:$D$151,MATCH(G50,INVOICE_PIUTANG!$A$5:$A$151,0)),""))</f>
        <v/>
      </c>
      <c r="E50" s="47" t="str">
        <f>IF(D50="","",IFERROR(INDEX(PERKARA!$B$5:$B$104,MATCH(D50,PERKARA!$A$5:$A$104,0)),"ID TIDAK TERDAFTAR"))</f>
        <v/>
      </c>
      <c r="F50" s="6"/>
      <c r="G50" s="6"/>
      <c r="H50" s="72"/>
      <c r="I50" s="72"/>
      <c r="J50" s="73" t="str">
        <f t="shared" si="7"/>
        <v/>
      </c>
      <c r="K50" s="6"/>
      <c r="L50" s="6"/>
      <c r="M50" s="9" t="str">
        <f t="shared" si="8"/>
        <v/>
      </c>
      <c r="N50" s="6"/>
      <c r="O50" s="6"/>
      <c r="P50" s="103"/>
      <c r="Q50" s="6"/>
      <c r="R50" s="67" t="str">
        <f>IF(B50="","",IF(AND(G50&lt;&gt;"",COUNTIF(INVOICE_PIUTANG!$A$5:$A$151,G50)=0),"INVOICE BELUM TERDAFTAR",IF(AND(D50&lt;&gt;"",E50="ID TIDAK TERDAFTAR"),"PERKARA TIDAK VALID",IF(K50="","AKUN BELUM DIISI",IF(AND(G50&lt;&gt;"",D50&lt;&gt;IFERROR(INDEX(INVOICE_PIUTANG!$D$5:$D$151,MATCH(G50,INVOICE_PIUTANG!$A$5:$A$151,0)),"")),"PERKARA TIDAK SESUAI INVOICE",IF(V50&lt;&gt;"LENGKAP","PENERIMAAN BELUM DIKONFIRMASI","OK"))))))</f>
        <v/>
      </c>
      <c r="S50" s="98"/>
      <c r="T50" s="105"/>
      <c r="U50" s="98"/>
      <c r="V50" s="104" t="str">
        <f t="shared" si="9"/>
        <v/>
      </c>
    </row>
    <row r="51" spans="1:22">
      <c r="A51" s="9" t="str">
        <f t="shared" si="5"/>
        <v/>
      </c>
      <c r="B51" s="80"/>
      <c r="C51" s="9" t="str">
        <f t="shared" si="6"/>
        <v/>
      </c>
      <c r="D51" s="46" t="str">
        <f>IF(G51="","",IFERROR(INDEX(INVOICE_PIUTANG!$D$5:$D$151,MATCH(G51,INVOICE_PIUTANG!$A$5:$A$151,0)),""))</f>
        <v/>
      </c>
      <c r="E51" s="47" t="str">
        <f>IF(D51="","",IFERROR(INDEX(PERKARA!$B$5:$B$104,MATCH(D51,PERKARA!$A$5:$A$104,0)),"ID TIDAK TERDAFTAR"))</f>
        <v/>
      </c>
      <c r="F51" s="6"/>
      <c r="G51" s="6"/>
      <c r="H51" s="72"/>
      <c r="I51" s="72"/>
      <c r="J51" s="73" t="str">
        <f t="shared" si="7"/>
        <v/>
      </c>
      <c r="K51" s="6"/>
      <c r="L51" s="6"/>
      <c r="M51" s="9" t="str">
        <f t="shared" si="8"/>
        <v/>
      </c>
      <c r="N51" s="6"/>
      <c r="O51" s="6"/>
      <c r="P51" s="103"/>
      <c r="Q51" s="6"/>
      <c r="R51" s="67" t="str">
        <f>IF(B51="","",IF(AND(G51&lt;&gt;"",COUNTIF(INVOICE_PIUTANG!$A$5:$A$151,G51)=0),"INVOICE BELUM TERDAFTAR",IF(AND(D51&lt;&gt;"",E51="ID TIDAK TERDAFTAR"),"PERKARA TIDAK VALID",IF(K51="","AKUN BELUM DIISI",IF(AND(G51&lt;&gt;"",D51&lt;&gt;IFERROR(INDEX(INVOICE_PIUTANG!$D$5:$D$151,MATCH(G51,INVOICE_PIUTANG!$A$5:$A$151,0)),"")),"PERKARA TIDAK SESUAI INVOICE",IF(V51&lt;&gt;"LENGKAP","PENERIMAAN BELUM DIKONFIRMASI","OK"))))))</f>
        <v/>
      </c>
      <c r="S51" s="98"/>
      <c r="T51" s="105"/>
      <c r="U51" s="98"/>
      <c r="V51" s="104" t="str">
        <f t="shared" si="9"/>
        <v/>
      </c>
    </row>
    <row r="52" spans="1:22">
      <c r="A52" s="9" t="str">
        <f t="shared" si="5"/>
        <v/>
      </c>
      <c r="B52" s="80"/>
      <c r="C52" s="9" t="str">
        <f t="shared" si="6"/>
        <v/>
      </c>
      <c r="D52" s="46" t="str">
        <f>IF(G52="","",IFERROR(INDEX(INVOICE_PIUTANG!$D$5:$D$151,MATCH(G52,INVOICE_PIUTANG!$A$5:$A$151,0)),""))</f>
        <v/>
      </c>
      <c r="E52" s="47" t="str">
        <f>IF(D52="","",IFERROR(INDEX(PERKARA!$B$5:$B$104,MATCH(D52,PERKARA!$A$5:$A$104,0)),"ID TIDAK TERDAFTAR"))</f>
        <v/>
      </c>
      <c r="F52" s="6"/>
      <c r="G52" s="6"/>
      <c r="H52" s="72"/>
      <c r="I52" s="72"/>
      <c r="J52" s="73" t="str">
        <f t="shared" si="7"/>
        <v/>
      </c>
      <c r="K52" s="6"/>
      <c r="L52" s="6"/>
      <c r="M52" s="9" t="str">
        <f t="shared" si="8"/>
        <v/>
      </c>
      <c r="N52" s="6"/>
      <c r="O52" s="6"/>
      <c r="P52" s="103"/>
      <c r="Q52" s="6"/>
      <c r="R52" s="67" t="str">
        <f>IF(B52="","",IF(AND(G52&lt;&gt;"",COUNTIF(INVOICE_PIUTANG!$A$5:$A$151,G52)=0),"INVOICE BELUM TERDAFTAR",IF(AND(D52&lt;&gt;"",E52="ID TIDAK TERDAFTAR"),"PERKARA TIDAK VALID",IF(K52="","AKUN BELUM DIISI",IF(AND(G52&lt;&gt;"",D52&lt;&gt;IFERROR(INDEX(INVOICE_PIUTANG!$D$5:$D$151,MATCH(G52,INVOICE_PIUTANG!$A$5:$A$151,0)),"")),"PERKARA TIDAK SESUAI INVOICE",IF(V52&lt;&gt;"LENGKAP","PENERIMAAN BELUM DIKONFIRMASI","OK"))))))</f>
        <v/>
      </c>
      <c r="S52" s="98"/>
      <c r="T52" s="105"/>
      <c r="U52" s="98"/>
      <c r="V52" s="104" t="str">
        <f t="shared" si="9"/>
        <v/>
      </c>
    </row>
    <row r="53" spans="1:22">
      <c r="A53" s="9" t="str">
        <f t="shared" si="5"/>
        <v/>
      </c>
      <c r="B53" s="80"/>
      <c r="C53" s="9" t="str">
        <f t="shared" si="6"/>
        <v/>
      </c>
      <c r="D53" s="46" t="str">
        <f>IF(G53="","",IFERROR(INDEX(INVOICE_PIUTANG!$D$5:$D$151,MATCH(G53,INVOICE_PIUTANG!$A$5:$A$151,0)),""))</f>
        <v/>
      </c>
      <c r="E53" s="47" t="str">
        <f>IF(D53="","",IFERROR(INDEX(PERKARA!$B$5:$B$104,MATCH(D53,PERKARA!$A$5:$A$104,0)),"ID TIDAK TERDAFTAR"))</f>
        <v/>
      </c>
      <c r="F53" s="6"/>
      <c r="G53" s="6"/>
      <c r="H53" s="72"/>
      <c r="I53" s="72"/>
      <c r="J53" s="73" t="str">
        <f t="shared" si="7"/>
        <v/>
      </c>
      <c r="K53" s="6"/>
      <c r="L53" s="6"/>
      <c r="M53" s="9" t="str">
        <f t="shared" si="8"/>
        <v/>
      </c>
      <c r="N53" s="6"/>
      <c r="O53" s="6"/>
      <c r="P53" s="103"/>
      <c r="Q53" s="6"/>
      <c r="R53" s="67" t="str">
        <f>IF(B53="","",IF(AND(G53&lt;&gt;"",COUNTIF(INVOICE_PIUTANG!$A$5:$A$151,G53)=0),"INVOICE BELUM TERDAFTAR",IF(AND(D53&lt;&gt;"",E53="ID TIDAK TERDAFTAR"),"PERKARA TIDAK VALID",IF(K53="","AKUN BELUM DIISI",IF(AND(G53&lt;&gt;"",D53&lt;&gt;IFERROR(INDEX(INVOICE_PIUTANG!$D$5:$D$151,MATCH(G53,INVOICE_PIUTANG!$A$5:$A$151,0)),"")),"PERKARA TIDAK SESUAI INVOICE",IF(V53&lt;&gt;"LENGKAP","PENERIMAAN BELUM DIKONFIRMASI","OK"))))))</f>
        <v/>
      </c>
      <c r="S53" s="98"/>
      <c r="T53" s="105"/>
      <c r="U53" s="98"/>
      <c r="V53" s="104" t="str">
        <f t="shared" si="9"/>
        <v/>
      </c>
    </row>
    <row r="54" spans="1:22">
      <c r="A54" s="9" t="str">
        <f t="shared" si="5"/>
        <v/>
      </c>
      <c r="B54" s="80"/>
      <c r="C54" s="9" t="str">
        <f t="shared" si="6"/>
        <v/>
      </c>
      <c r="D54" s="46" t="str">
        <f>IF(G54="","",IFERROR(INDEX(INVOICE_PIUTANG!$D$5:$D$151,MATCH(G54,INVOICE_PIUTANG!$A$5:$A$151,0)),""))</f>
        <v/>
      </c>
      <c r="E54" s="47" t="str">
        <f>IF(D54="","",IFERROR(INDEX(PERKARA!$B$5:$B$104,MATCH(D54,PERKARA!$A$5:$A$104,0)),"ID TIDAK TERDAFTAR"))</f>
        <v/>
      </c>
      <c r="F54" s="6"/>
      <c r="G54" s="6"/>
      <c r="H54" s="72"/>
      <c r="I54" s="72"/>
      <c r="J54" s="73" t="str">
        <f t="shared" si="7"/>
        <v/>
      </c>
      <c r="K54" s="6"/>
      <c r="L54" s="6"/>
      <c r="M54" s="9" t="str">
        <f t="shared" si="8"/>
        <v/>
      </c>
      <c r="N54" s="6"/>
      <c r="O54" s="6"/>
      <c r="P54" s="103"/>
      <c r="Q54" s="6"/>
      <c r="R54" s="67" t="str">
        <f>IF(B54="","",IF(AND(G54&lt;&gt;"",COUNTIF(INVOICE_PIUTANG!$A$5:$A$151,G54)=0),"INVOICE BELUM TERDAFTAR",IF(AND(D54&lt;&gt;"",E54="ID TIDAK TERDAFTAR"),"PERKARA TIDAK VALID",IF(K54="","AKUN BELUM DIISI",IF(AND(G54&lt;&gt;"",D54&lt;&gt;IFERROR(INDEX(INVOICE_PIUTANG!$D$5:$D$151,MATCH(G54,INVOICE_PIUTANG!$A$5:$A$151,0)),"")),"PERKARA TIDAK SESUAI INVOICE",IF(V54&lt;&gt;"LENGKAP","PENERIMAAN BELUM DIKONFIRMASI","OK"))))))</f>
        <v/>
      </c>
      <c r="S54" s="98"/>
      <c r="T54" s="105"/>
      <c r="U54" s="98"/>
      <c r="V54" s="104" t="str">
        <f t="shared" si="9"/>
        <v/>
      </c>
    </row>
    <row r="55" spans="1:22">
      <c r="A55" s="9" t="str">
        <f t="shared" si="5"/>
        <v/>
      </c>
      <c r="B55" s="80"/>
      <c r="C55" s="9" t="str">
        <f t="shared" si="6"/>
        <v/>
      </c>
      <c r="D55" s="46" t="str">
        <f>IF(G55="","",IFERROR(INDEX(INVOICE_PIUTANG!$D$5:$D$151,MATCH(G55,INVOICE_PIUTANG!$A$5:$A$151,0)),""))</f>
        <v/>
      </c>
      <c r="E55" s="47" t="str">
        <f>IF(D55="","",IFERROR(INDEX(PERKARA!$B$5:$B$104,MATCH(D55,PERKARA!$A$5:$A$104,0)),"ID TIDAK TERDAFTAR"))</f>
        <v/>
      </c>
      <c r="F55" s="6"/>
      <c r="G55" s="6"/>
      <c r="H55" s="72"/>
      <c r="I55" s="72"/>
      <c r="J55" s="73" t="str">
        <f t="shared" si="7"/>
        <v/>
      </c>
      <c r="K55" s="6"/>
      <c r="L55" s="6"/>
      <c r="M55" s="9" t="str">
        <f t="shared" si="8"/>
        <v/>
      </c>
      <c r="N55" s="6"/>
      <c r="O55" s="6"/>
      <c r="P55" s="103"/>
      <c r="Q55" s="6"/>
      <c r="R55" s="67" t="str">
        <f>IF(B55="","",IF(AND(G55&lt;&gt;"",COUNTIF(INVOICE_PIUTANG!$A$5:$A$151,G55)=0),"INVOICE BELUM TERDAFTAR",IF(AND(D55&lt;&gt;"",E55="ID TIDAK TERDAFTAR"),"PERKARA TIDAK VALID",IF(K55="","AKUN BELUM DIISI",IF(AND(G55&lt;&gt;"",D55&lt;&gt;IFERROR(INDEX(INVOICE_PIUTANG!$D$5:$D$151,MATCH(G55,INVOICE_PIUTANG!$A$5:$A$151,0)),"")),"PERKARA TIDAK SESUAI INVOICE",IF(V55&lt;&gt;"LENGKAP","PENERIMAAN BELUM DIKONFIRMASI","OK"))))))</f>
        <v/>
      </c>
      <c r="S55" s="98"/>
      <c r="T55" s="105"/>
      <c r="U55" s="98"/>
      <c r="V55" s="104" t="str">
        <f t="shared" si="9"/>
        <v/>
      </c>
    </row>
    <row r="56" spans="1:22">
      <c r="A56" s="9" t="str">
        <f t="shared" si="5"/>
        <v/>
      </c>
      <c r="B56" s="80"/>
      <c r="C56" s="9" t="str">
        <f t="shared" si="6"/>
        <v/>
      </c>
      <c r="D56" s="46" t="str">
        <f>IF(G56="","",IFERROR(INDEX(INVOICE_PIUTANG!$D$5:$D$151,MATCH(G56,INVOICE_PIUTANG!$A$5:$A$151,0)),""))</f>
        <v/>
      </c>
      <c r="E56" s="47" t="str">
        <f>IF(D56="","",IFERROR(INDEX(PERKARA!$B$5:$B$104,MATCH(D56,PERKARA!$A$5:$A$104,0)),"ID TIDAK TERDAFTAR"))</f>
        <v/>
      </c>
      <c r="F56" s="6"/>
      <c r="G56" s="6"/>
      <c r="H56" s="72"/>
      <c r="I56" s="72"/>
      <c r="J56" s="73" t="str">
        <f t="shared" si="7"/>
        <v/>
      </c>
      <c r="K56" s="6"/>
      <c r="L56" s="6"/>
      <c r="M56" s="9" t="str">
        <f t="shared" si="8"/>
        <v/>
      </c>
      <c r="N56" s="6"/>
      <c r="O56" s="6"/>
      <c r="P56" s="103"/>
      <c r="Q56" s="6"/>
      <c r="R56" s="67" t="str">
        <f>IF(B56="","",IF(AND(G56&lt;&gt;"",COUNTIF(INVOICE_PIUTANG!$A$5:$A$151,G56)=0),"INVOICE BELUM TERDAFTAR",IF(AND(D56&lt;&gt;"",E56="ID TIDAK TERDAFTAR"),"PERKARA TIDAK VALID",IF(K56="","AKUN BELUM DIISI",IF(AND(G56&lt;&gt;"",D56&lt;&gt;IFERROR(INDEX(INVOICE_PIUTANG!$D$5:$D$151,MATCH(G56,INVOICE_PIUTANG!$A$5:$A$151,0)),"")),"PERKARA TIDAK SESUAI INVOICE",IF(V56&lt;&gt;"LENGKAP","PENERIMAAN BELUM DIKONFIRMASI","OK"))))))</f>
        <v/>
      </c>
      <c r="S56" s="98"/>
      <c r="T56" s="105"/>
      <c r="U56" s="98"/>
      <c r="V56" s="104" t="str">
        <f t="shared" si="9"/>
        <v/>
      </c>
    </row>
    <row r="57" spans="1:22">
      <c r="A57" s="9" t="str">
        <f t="shared" si="5"/>
        <v/>
      </c>
      <c r="B57" s="80"/>
      <c r="C57" s="9" t="str">
        <f t="shared" si="6"/>
        <v/>
      </c>
      <c r="D57" s="46" t="str">
        <f>IF(G57="","",IFERROR(INDEX(INVOICE_PIUTANG!$D$5:$D$151,MATCH(G57,INVOICE_PIUTANG!$A$5:$A$151,0)),""))</f>
        <v/>
      </c>
      <c r="E57" s="47" t="str">
        <f>IF(D57="","",IFERROR(INDEX(PERKARA!$B$5:$B$104,MATCH(D57,PERKARA!$A$5:$A$104,0)),"ID TIDAK TERDAFTAR"))</f>
        <v/>
      </c>
      <c r="F57" s="6"/>
      <c r="G57" s="6"/>
      <c r="H57" s="72"/>
      <c r="I57" s="72"/>
      <c r="J57" s="73" t="str">
        <f t="shared" si="7"/>
        <v/>
      </c>
      <c r="K57" s="6"/>
      <c r="L57" s="6"/>
      <c r="M57" s="9" t="str">
        <f t="shared" si="8"/>
        <v/>
      </c>
      <c r="N57" s="6"/>
      <c r="O57" s="6"/>
      <c r="P57" s="103"/>
      <c r="Q57" s="6"/>
      <c r="R57" s="67" t="str">
        <f>IF(B57="","",IF(AND(G57&lt;&gt;"",COUNTIF(INVOICE_PIUTANG!$A$5:$A$151,G57)=0),"INVOICE BELUM TERDAFTAR",IF(AND(D57&lt;&gt;"",E57="ID TIDAK TERDAFTAR"),"PERKARA TIDAK VALID",IF(K57="","AKUN BELUM DIISI",IF(AND(G57&lt;&gt;"",D57&lt;&gt;IFERROR(INDEX(INVOICE_PIUTANG!$D$5:$D$151,MATCH(G57,INVOICE_PIUTANG!$A$5:$A$151,0)),"")),"PERKARA TIDAK SESUAI INVOICE",IF(V57&lt;&gt;"LENGKAP","PENERIMAAN BELUM DIKONFIRMASI","OK"))))))</f>
        <v/>
      </c>
      <c r="S57" s="98"/>
      <c r="T57" s="105"/>
      <c r="U57" s="98"/>
      <c r="V57" s="104" t="str">
        <f t="shared" si="9"/>
        <v/>
      </c>
    </row>
    <row r="58" spans="1:22">
      <c r="A58" s="9" t="str">
        <f t="shared" si="5"/>
        <v/>
      </c>
      <c r="B58" s="80"/>
      <c r="C58" s="9" t="str">
        <f t="shared" si="6"/>
        <v/>
      </c>
      <c r="D58" s="46" t="str">
        <f>IF(G58="","",IFERROR(INDEX(INVOICE_PIUTANG!$D$5:$D$151,MATCH(G58,INVOICE_PIUTANG!$A$5:$A$151,0)),""))</f>
        <v/>
      </c>
      <c r="E58" s="47" t="str">
        <f>IF(D58="","",IFERROR(INDEX(PERKARA!$B$5:$B$104,MATCH(D58,PERKARA!$A$5:$A$104,0)),"ID TIDAK TERDAFTAR"))</f>
        <v/>
      </c>
      <c r="F58" s="6"/>
      <c r="G58" s="6"/>
      <c r="H58" s="72"/>
      <c r="I58" s="72"/>
      <c r="J58" s="73" t="str">
        <f t="shared" si="7"/>
        <v/>
      </c>
      <c r="K58" s="6"/>
      <c r="L58" s="6"/>
      <c r="M58" s="9" t="str">
        <f t="shared" si="8"/>
        <v/>
      </c>
      <c r="N58" s="6"/>
      <c r="O58" s="6"/>
      <c r="P58" s="103"/>
      <c r="Q58" s="6"/>
      <c r="R58" s="67" t="str">
        <f>IF(B58="","",IF(AND(G58&lt;&gt;"",COUNTIF(INVOICE_PIUTANG!$A$5:$A$151,G58)=0),"INVOICE BELUM TERDAFTAR",IF(AND(D58&lt;&gt;"",E58="ID TIDAK TERDAFTAR"),"PERKARA TIDAK VALID",IF(K58="","AKUN BELUM DIISI",IF(AND(G58&lt;&gt;"",D58&lt;&gt;IFERROR(INDEX(INVOICE_PIUTANG!$D$5:$D$151,MATCH(G58,INVOICE_PIUTANG!$A$5:$A$151,0)),"")),"PERKARA TIDAK SESUAI INVOICE",IF(V58&lt;&gt;"LENGKAP","PENERIMAAN BELUM DIKONFIRMASI","OK"))))))</f>
        <v/>
      </c>
      <c r="S58" s="98"/>
      <c r="T58" s="105"/>
      <c r="U58" s="98"/>
      <c r="V58" s="104" t="str">
        <f t="shared" si="9"/>
        <v/>
      </c>
    </row>
    <row r="59" spans="1:22">
      <c r="A59" s="9" t="str">
        <f t="shared" si="5"/>
        <v/>
      </c>
      <c r="B59" s="80"/>
      <c r="C59" s="9" t="str">
        <f t="shared" si="6"/>
        <v/>
      </c>
      <c r="D59" s="46" t="str">
        <f>IF(G59="","",IFERROR(INDEX(INVOICE_PIUTANG!$D$5:$D$151,MATCH(G59,INVOICE_PIUTANG!$A$5:$A$151,0)),""))</f>
        <v/>
      </c>
      <c r="E59" s="47" t="str">
        <f>IF(D59="","",IFERROR(INDEX(PERKARA!$B$5:$B$104,MATCH(D59,PERKARA!$A$5:$A$104,0)),"ID TIDAK TERDAFTAR"))</f>
        <v/>
      </c>
      <c r="F59" s="6"/>
      <c r="G59" s="6"/>
      <c r="H59" s="72"/>
      <c r="I59" s="72"/>
      <c r="J59" s="73" t="str">
        <f t="shared" si="7"/>
        <v/>
      </c>
      <c r="K59" s="6"/>
      <c r="L59" s="6"/>
      <c r="M59" s="9" t="str">
        <f t="shared" si="8"/>
        <v/>
      </c>
      <c r="N59" s="6"/>
      <c r="O59" s="6"/>
      <c r="P59" s="103"/>
      <c r="Q59" s="6"/>
      <c r="R59" s="67" t="str">
        <f>IF(B59="","",IF(AND(G59&lt;&gt;"",COUNTIF(INVOICE_PIUTANG!$A$5:$A$151,G59)=0),"INVOICE BELUM TERDAFTAR",IF(AND(D59&lt;&gt;"",E59="ID TIDAK TERDAFTAR"),"PERKARA TIDAK VALID",IF(K59="","AKUN BELUM DIISI",IF(AND(G59&lt;&gt;"",D59&lt;&gt;IFERROR(INDEX(INVOICE_PIUTANG!$D$5:$D$151,MATCH(G59,INVOICE_PIUTANG!$A$5:$A$151,0)),"")),"PERKARA TIDAK SESUAI INVOICE",IF(V59&lt;&gt;"LENGKAP","PENERIMAAN BELUM DIKONFIRMASI","OK"))))))</f>
        <v/>
      </c>
      <c r="S59" s="98"/>
      <c r="T59" s="105"/>
      <c r="U59" s="98"/>
      <c r="V59" s="104" t="str">
        <f t="shared" si="9"/>
        <v/>
      </c>
    </row>
    <row r="60" spans="1:22">
      <c r="A60" s="9" t="str">
        <f t="shared" si="5"/>
        <v/>
      </c>
      <c r="B60" s="80"/>
      <c r="C60" s="9" t="str">
        <f t="shared" si="6"/>
        <v/>
      </c>
      <c r="D60" s="46" t="str">
        <f>IF(G60="","",IFERROR(INDEX(INVOICE_PIUTANG!$D$5:$D$151,MATCH(G60,INVOICE_PIUTANG!$A$5:$A$151,0)),""))</f>
        <v/>
      </c>
      <c r="E60" s="47" t="str">
        <f>IF(D60="","",IFERROR(INDEX(PERKARA!$B$5:$B$104,MATCH(D60,PERKARA!$A$5:$A$104,0)),"ID TIDAK TERDAFTAR"))</f>
        <v/>
      </c>
      <c r="F60" s="6"/>
      <c r="G60" s="6"/>
      <c r="H60" s="72"/>
      <c r="I60" s="72"/>
      <c r="J60" s="73" t="str">
        <f t="shared" si="7"/>
        <v/>
      </c>
      <c r="K60" s="6"/>
      <c r="L60" s="6"/>
      <c r="M60" s="9" t="str">
        <f t="shared" si="8"/>
        <v/>
      </c>
      <c r="N60" s="6"/>
      <c r="O60" s="6"/>
      <c r="P60" s="103"/>
      <c r="Q60" s="6"/>
      <c r="R60" s="67" t="str">
        <f>IF(B60="","",IF(AND(G60&lt;&gt;"",COUNTIF(INVOICE_PIUTANG!$A$5:$A$151,G60)=0),"INVOICE BELUM TERDAFTAR",IF(AND(D60&lt;&gt;"",E60="ID TIDAK TERDAFTAR"),"PERKARA TIDAK VALID",IF(K60="","AKUN BELUM DIISI",IF(AND(G60&lt;&gt;"",D60&lt;&gt;IFERROR(INDEX(INVOICE_PIUTANG!$D$5:$D$151,MATCH(G60,INVOICE_PIUTANG!$A$5:$A$151,0)),"")),"PERKARA TIDAK SESUAI INVOICE",IF(V60&lt;&gt;"LENGKAP","PENERIMAAN BELUM DIKONFIRMASI","OK"))))))</f>
        <v/>
      </c>
      <c r="S60" s="98"/>
      <c r="T60" s="105"/>
      <c r="U60" s="98"/>
      <c r="V60" s="104" t="str">
        <f t="shared" si="9"/>
        <v/>
      </c>
    </row>
    <row r="61" spans="1:22">
      <c r="A61" s="9" t="str">
        <f t="shared" si="5"/>
        <v/>
      </c>
      <c r="B61" s="80"/>
      <c r="C61" s="9" t="str">
        <f t="shared" si="6"/>
        <v/>
      </c>
      <c r="D61" s="46" t="str">
        <f>IF(G61="","",IFERROR(INDEX(INVOICE_PIUTANG!$D$5:$D$151,MATCH(G61,INVOICE_PIUTANG!$A$5:$A$151,0)),""))</f>
        <v/>
      </c>
      <c r="E61" s="47" t="str">
        <f>IF(D61="","",IFERROR(INDEX(PERKARA!$B$5:$B$104,MATCH(D61,PERKARA!$A$5:$A$104,0)),"ID TIDAK TERDAFTAR"))</f>
        <v/>
      </c>
      <c r="F61" s="6"/>
      <c r="G61" s="6"/>
      <c r="H61" s="72"/>
      <c r="I61" s="72"/>
      <c r="J61" s="73" t="str">
        <f t="shared" si="7"/>
        <v/>
      </c>
      <c r="K61" s="6"/>
      <c r="L61" s="6"/>
      <c r="M61" s="9" t="str">
        <f t="shared" si="8"/>
        <v/>
      </c>
      <c r="N61" s="6"/>
      <c r="O61" s="6"/>
      <c r="P61" s="103"/>
      <c r="Q61" s="6"/>
      <c r="R61" s="67" t="str">
        <f>IF(B61="","",IF(AND(G61&lt;&gt;"",COUNTIF(INVOICE_PIUTANG!$A$5:$A$151,G61)=0),"INVOICE BELUM TERDAFTAR",IF(AND(D61&lt;&gt;"",E61="ID TIDAK TERDAFTAR"),"PERKARA TIDAK VALID",IF(K61="","AKUN BELUM DIISI",IF(AND(G61&lt;&gt;"",D61&lt;&gt;IFERROR(INDEX(INVOICE_PIUTANG!$D$5:$D$151,MATCH(G61,INVOICE_PIUTANG!$A$5:$A$151,0)),"")),"PERKARA TIDAK SESUAI INVOICE",IF(V61&lt;&gt;"LENGKAP","PENERIMAAN BELUM DIKONFIRMASI","OK"))))))</f>
        <v/>
      </c>
      <c r="S61" s="98"/>
      <c r="T61" s="105"/>
      <c r="U61" s="98"/>
      <c r="V61" s="104" t="str">
        <f t="shared" si="9"/>
        <v/>
      </c>
    </row>
    <row r="62" spans="1:22">
      <c r="A62" s="9" t="str">
        <f t="shared" si="5"/>
        <v/>
      </c>
      <c r="B62" s="80"/>
      <c r="C62" s="9" t="str">
        <f t="shared" si="6"/>
        <v/>
      </c>
      <c r="D62" s="46" t="str">
        <f>IF(G62="","",IFERROR(INDEX(INVOICE_PIUTANG!$D$5:$D$151,MATCH(G62,INVOICE_PIUTANG!$A$5:$A$151,0)),""))</f>
        <v/>
      </c>
      <c r="E62" s="47" t="str">
        <f>IF(D62="","",IFERROR(INDEX(PERKARA!$B$5:$B$104,MATCH(D62,PERKARA!$A$5:$A$104,0)),"ID TIDAK TERDAFTAR"))</f>
        <v/>
      </c>
      <c r="F62" s="6"/>
      <c r="G62" s="6"/>
      <c r="H62" s="72"/>
      <c r="I62" s="72"/>
      <c r="J62" s="73" t="str">
        <f t="shared" si="7"/>
        <v/>
      </c>
      <c r="K62" s="6"/>
      <c r="L62" s="6"/>
      <c r="M62" s="9" t="str">
        <f t="shared" si="8"/>
        <v/>
      </c>
      <c r="N62" s="6"/>
      <c r="O62" s="6"/>
      <c r="P62" s="103"/>
      <c r="Q62" s="6"/>
      <c r="R62" s="67" t="str">
        <f>IF(B62="","",IF(AND(G62&lt;&gt;"",COUNTIF(INVOICE_PIUTANG!$A$5:$A$151,G62)=0),"INVOICE BELUM TERDAFTAR",IF(AND(D62&lt;&gt;"",E62="ID TIDAK TERDAFTAR"),"PERKARA TIDAK VALID",IF(K62="","AKUN BELUM DIISI",IF(AND(G62&lt;&gt;"",D62&lt;&gt;IFERROR(INDEX(INVOICE_PIUTANG!$D$5:$D$151,MATCH(G62,INVOICE_PIUTANG!$A$5:$A$151,0)),"")),"PERKARA TIDAK SESUAI INVOICE",IF(V62&lt;&gt;"LENGKAP","PENERIMAAN BELUM DIKONFIRMASI","OK"))))))</f>
        <v/>
      </c>
      <c r="S62" s="98"/>
      <c r="T62" s="105"/>
      <c r="U62" s="98"/>
      <c r="V62" s="104" t="str">
        <f t="shared" si="9"/>
        <v/>
      </c>
    </row>
    <row r="63" spans="1:22">
      <c r="A63" s="9" t="str">
        <f t="shared" si="5"/>
        <v/>
      </c>
      <c r="B63" s="80"/>
      <c r="C63" s="9" t="str">
        <f t="shared" si="6"/>
        <v/>
      </c>
      <c r="D63" s="46" t="str">
        <f>IF(G63="","",IFERROR(INDEX(INVOICE_PIUTANG!$D$5:$D$151,MATCH(G63,INVOICE_PIUTANG!$A$5:$A$151,0)),""))</f>
        <v/>
      </c>
      <c r="E63" s="47" t="str">
        <f>IF(D63="","",IFERROR(INDEX(PERKARA!$B$5:$B$104,MATCH(D63,PERKARA!$A$5:$A$104,0)),"ID TIDAK TERDAFTAR"))</f>
        <v/>
      </c>
      <c r="F63" s="6"/>
      <c r="G63" s="6"/>
      <c r="H63" s="72"/>
      <c r="I63" s="72"/>
      <c r="J63" s="73" t="str">
        <f t="shared" si="7"/>
        <v/>
      </c>
      <c r="K63" s="6"/>
      <c r="L63" s="6"/>
      <c r="M63" s="9" t="str">
        <f t="shared" si="8"/>
        <v/>
      </c>
      <c r="N63" s="6"/>
      <c r="O63" s="6"/>
      <c r="P63" s="103"/>
      <c r="Q63" s="6"/>
      <c r="R63" s="67" t="str">
        <f>IF(B63="","",IF(AND(G63&lt;&gt;"",COUNTIF(INVOICE_PIUTANG!$A$5:$A$151,G63)=0),"INVOICE BELUM TERDAFTAR",IF(AND(D63&lt;&gt;"",E63="ID TIDAK TERDAFTAR"),"PERKARA TIDAK VALID",IF(K63="","AKUN BELUM DIISI",IF(AND(G63&lt;&gt;"",D63&lt;&gt;IFERROR(INDEX(INVOICE_PIUTANG!$D$5:$D$151,MATCH(G63,INVOICE_PIUTANG!$A$5:$A$151,0)),"")),"PERKARA TIDAK SESUAI INVOICE",IF(V63&lt;&gt;"LENGKAP","PENERIMAAN BELUM DIKONFIRMASI","OK"))))))</f>
        <v/>
      </c>
      <c r="S63" s="98"/>
      <c r="T63" s="105"/>
      <c r="U63" s="98"/>
      <c r="V63" s="104" t="str">
        <f t="shared" si="9"/>
        <v/>
      </c>
    </row>
    <row r="64" spans="1:22">
      <c r="A64" s="9" t="str">
        <f t="shared" si="5"/>
        <v/>
      </c>
      <c r="B64" s="80"/>
      <c r="C64" s="9" t="str">
        <f t="shared" si="6"/>
        <v/>
      </c>
      <c r="D64" s="46" t="str">
        <f>IF(G64="","",IFERROR(INDEX(INVOICE_PIUTANG!$D$5:$D$151,MATCH(G64,INVOICE_PIUTANG!$A$5:$A$151,0)),""))</f>
        <v/>
      </c>
      <c r="E64" s="47" t="str">
        <f>IF(D64="","",IFERROR(INDEX(PERKARA!$B$5:$B$104,MATCH(D64,PERKARA!$A$5:$A$104,0)),"ID TIDAK TERDAFTAR"))</f>
        <v/>
      </c>
      <c r="F64" s="6"/>
      <c r="G64" s="6"/>
      <c r="H64" s="72"/>
      <c r="I64" s="72"/>
      <c r="J64" s="73" t="str">
        <f t="shared" si="7"/>
        <v/>
      </c>
      <c r="K64" s="6"/>
      <c r="L64" s="6"/>
      <c r="M64" s="9" t="str">
        <f t="shared" si="8"/>
        <v/>
      </c>
      <c r="N64" s="6"/>
      <c r="O64" s="6"/>
      <c r="P64" s="103"/>
      <c r="Q64" s="6"/>
      <c r="R64" s="67" t="str">
        <f>IF(B64="","",IF(AND(G64&lt;&gt;"",COUNTIF(INVOICE_PIUTANG!$A$5:$A$151,G64)=0),"INVOICE BELUM TERDAFTAR",IF(AND(D64&lt;&gt;"",E64="ID TIDAK TERDAFTAR"),"PERKARA TIDAK VALID",IF(K64="","AKUN BELUM DIISI",IF(AND(G64&lt;&gt;"",D64&lt;&gt;IFERROR(INDEX(INVOICE_PIUTANG!$D$5:$D$151,MATCH(G64,INVOICE_PIUTANG!$A$5:$A$151,0)),"")),"PERKARA TIDAK SESUAI INVOICE",IF(V64&lt;&gt;"LENGKAP","PENERIMAAN BELUM DIKONFIRMASI","OK"))))))</f>
        <v/>
      </c>
      <c r="S64" s="98"/>
      <c r="T64" s="105"/>
      <c r="U64" s="98"/>
      <c r="V64" s="104" t="str">
        <f t="shared" si="9"/>
        <v/>
      </c>
    </row>
    <row r="65" spans="1:22">
      <c r="A65" s="9" t="str">
        <f t="shared" si="5"/>
        <v/>
      </c>
      <c r="B65" s="80"/>
      <c r="C65" s="9" t="str">
        <f t="shared" si="6"/>
        <v/>
      </c>
      <c r="D65" s="46" t="str">
        <f>IF(G65="","",IFERROR(INDEX(INVOICE_PIUTANG!$D$5:$D$151,MATCH(G65,INVOICE_PIUTANG!$A$5:$A$151,0)),""))</f>
        <v/>
      </c>
      <c r="E65" s="47" t="str">
        <f>IF(D65="","",IFERROR(INDEX(PERKARA!$B$5:$B$104,MATCH(D65,PERKARA!$A$5:$A$104,0)),"ID TIDAK TERDAFTAR"))</f>
        <v/>
      </c>
      <c r="F65" s="6"/>
      <c r="G65" s="6"/>
      <c r="H65" s="72"/>
      <c r="I65" s="72"/>
      <c r="J65" s="73" t="str">
        <f t="shared" si="7"/>
        <v/>
      </c>
      <c r="K65" s="6"/>
      <c r="L65" s="6"/>
      <c r="M65" s="9" t="str">
        <f t="shared" si="8"/>
        <v/>
      </c>
      <c r="N65" s="6"/>
      <c r="O65" s="6"/>
      <c r="P65" s="103"/>
      <c r="Q65" s="6"/>
      <c r="R65" s="67" t="str">
        <f>IF(B65="","",IF(AND(G65&lt;&gt;"",COUNTIF(INVOICE_PIUTANG!$A$5:$A$151,G65)=0),"INVOICE BELUM TERDAFTAR",IF(AND(D65&lt;&gt;"",E65="ID TIDAK TERDAFTAR"),"PERKARA TIDAK VALID",IF(K65="","AKUN BELUM DIISI",IF(AND(G65&lt;&gt;"",D65&lt;&gt;IFERROR(INDEX(INVOICE_PIUTANG!$D$5:$D$151,MATCH(G65,INVOICE_PIUTANG!$A$5:$A$151,0)),"")),"PERKARA TIDAK SESUAI INVOICE",IF(V65&lt;&gt;"LENGKAP","PENERIMAAN BELUM DIKONFIRMASI","OK"))))))</f>
        <v/>
      </c>
      <c r="S65" s="98"/>
      <c r="T65" s="105"/>
      <c r="U65" s="98"/>
      <c r="V65" s="104" t="str">
        <f t="shared" si="9"/>
        <v/>
      </c>
    </row>
    <row r="66" spans="1:22">
      <c r="A66" s="9" t="str">
        <f t="shared" si="5"/>
        <v/>
      </c>
      <c r="B66" s="80"/>
      <c r="C66" s="9" t="str">
        <f t="shared" si="6"/>
        <v/>
      </c>
      <c r="D66" s="46" t="str">
        <f>IF(G66="","",IFERROR(INDEX(INVOICE_PIUTANG!$D$5:$D$151,MATCH(G66,INVOICE_PIUTANG!$A$5:$A$151,0)),""))</f>
        <v/>
      </c>
      <c r="E66" s="47" t="str">
        <f>IF(D66="","",IFERROR(INDEX(PERKARA!$B$5:$B$104,MATCH(D66,PERKARA!$A$5:$A$104,0)),"ID TIDAK TERDAFTAR"))</f>
        <v/>
      </c>
      <c r="F66" s="6"/>
      <c r="G66" s="6"/>
      <c r="H66" s="72"/>
      <c r="I66" s="72"/>
      <c r="J66" s="73" t="str">
        <f t="shared" si="7"/>
        <v/>
      </c>
      <c r="K66" s="6"/>
      <c r="L66" s="6"/>
      <c r="M66" s="9" t="str">
        <f t="shared" si="8"/>
        <v/>
      </c>
      <c r="N66" s="6"/>
      <c r="O66" s="6"/>
      <c r="P66" s="103"/>
      <c r="Q66" s="6"/>
      <c r="R66" s="67" t="str">
        <f>IF(B66="","",IF(AND(G66&lt;&gt;"",COUNTIF(INVOICE_PIUTANG!$A$5:$A$151,G66)=0),"INVOICE BELUM TERDAFTAR",IF(AND(D66&lt;&gt;"",E66="ID TIDAK TERDAFTAR"),"PERKARA TIDAK VALID",IF(K66="","AKUN BELUM DIISI",IF(AND(G66&lt;&gt;"",D66&lt;&gt;IFERROR(INDEX(INVOICE_PIUTANG!$D$5:$D$151,MATCH(G66,INVOICE_PIUTANG!$A$5:$A$151,0)),"")),"PERKARA TIDAK SESUAI INVOICE",IF(V66&lt;&gt;"LENGKAP","PENERIMAAN BELUM DIKONFIRMASI","OK"))))))</f>
        <v/>
      </c>
      <c r="S66" s="98"/>
      <c r="T66" s="105"/>
      <c r="U66" s="98"/>
      <c r="V66" s="104" t="str">
        <f t="shared" si="9"/>
        <v/>
      </c>
    </row>
    <row r="67" spans="1:22">
      <c r="A67" s="9" t="str">
        <f t="shared" si="5"/>
        <v/>
      </c>
      <c r="B67" s="80"/>
      <c r="C67" s="9" t="str">
        <f t="shared" si="6"/>
        <v/>
      </c>
      <c r="D67" s="46" t="str">
        <f>IF(G67="","",IFERROR(INDEX(INVOICE_PIUTANG!$D$5:$D$151,MATCH(G67,INVOICE_PIUTANG!$A$5:$A$151,0)),""))</f>
        <v/>
      </c>
      <c r="E67" s="47" t="str">
        <f>IF(D67="","",IFERROR(INDEX(PERKARA!$B$5:$B$104,MATCH(D67,PERKARA!$A$5:$A$104,0)),"ID TIDAK TERDAFTAR"))</f>
        <v/>
      </c>
      <c r="F67" s="6"/>
      <c r="G67" s="6"/>
      <c r="H67" s="72"/>
      <c r="I67" s="72"/>
      <c r="J67" s="73" t="str">
        <f t="shared" si="7"/>
        <v/>
      </c>
      <c r="K67" s="6"/>
      <c r="L67" s="6"/>
      <c r="M67" s="9" t="str">
        <f t="shared" si="8"/>
        <v/>
      </c>
      <c r="N67" s="6"/>
      <c r="O67" s="6"/>
      <c r="P67" s="103"/>
      <c r="Q67" s="6"/>
      <c r="R67" s="67" t="str">
        <f>IF(B67="","",IF(AND(G67&lt;&gt;"",COUNTIF(INVOICE_PIUTANG!$A$5:$A$151,G67)=0),"INVOICE BELUM TERDAFTAR",IF(AND(D67&lt;&gt;"",E67="ID TIDAK TERDAFTAR"),"PERKARA TIDAK VALID",IF(K67="","AKUN BELUM DIISI",IF(AND(G67&lt;&gt;"",D67&lt;&gt;IFERROR(INDEX(INVOICE_PIUTANG!$D$5:$D$151,MATCH(G67,INVOICE_PIUTANG!$A$5:$A$151,0)),"")),"PERKARA TIDAK SESUAI INVOICE",IF(V67&lt;&gt;"LENGKAP","PENERIMAAN BELUM DIKONFIRMASI","OK"))))))</f>
        <v/>
      </c>
      <c r="S67" s="98"/>
      <c r="T67" s="105"/>
      <c r="U67" s="98"/>
      <c r="V67" s="104" t="str">
        <f t="shared" si="9"/>
        <v/>
      </c>
    </row>
    <row r="68" spans="1:22">
      <c r="A68" s="9" t="str">
        <f t="shared" si="5"/>
        <v/>
      </c>
      <c r="B68" s="80"/>
      <c r="C68" s="9" t="str">
        <f t="shared" si="6"/>
        <v/>
      </c>
      <c r="D68" s="46" t="str">
        <f>IF(G68="","",IFERROR(INDEX(INVOICE_PIUTANG!$D$5:$D$151,MATCH(G68,INVOICE_PIUTANG!$A$5:$A$151,0)),""))</f>
        <v/>
      </c>
      <c r="E68" s="47" t="str">
        <f>IF(D68="","",IFERROR(INDEX(PERKARA!$B$5:$B$104,MATCH(D68,PERKARA!$A$5:$A$104,0)),"ID TIDAK TERDAFTAR"))</f>
        <v/>
      </c>
      <c r="F68" s="6"/>
      <c r="G68" s="6"/>
      <c r="H68" s="72"/>
      <c r="I68" s="72"/>
      <c r="J68" s="73" t="str">
        <f t="shared" si="7"/>
        <v/>
      </c>
      <c r="K68" s="6"/>
      <c r="L68" s="6"/>
      <c r="M68" s="9" t="str">
        <f t="shared" si="8"/>
        <v/>
      </c>
      <c r="N68" s="6"/>
      <c r="O68" s="6"/>
      <c r="P68" s="103"/>
      <c r="Q68" s="6"/>
      <c r="R68" s="67" t="str">
        <f>IF(B68="","",IF(AND(G68&lt;&gt;"",COUNTIF(INVOICE_PIUTANG!$A$5:$A$151,G68)=0),"INVOICE BELUM TERDAFTAR",IF(AND(D68&lt;&gt;"",E68="ID TIDAK TERDAFTAR"),"PERKARA TIDAK VALID",IF(K68="","AKUN BELUM DIISI",IF(AND(G68&lt;&gt;"",D68&lt;&gt;IFERROR(INDEX(INVOICE_PIUTANG!$D$5:$D$151,MATCH(G68,INVOICE_PIUTANG!$A$5:$A$151,0)),"")),"PERKARA TIDAK SESUAI INVOICE",IF(V68&lt;&gt;"LENGKAP","PENERIMAAN BELUM DIKONFIRMASI","OK"))))))</f>
        <v/>
      </c>
      <c r="S68" s="98"/>
      <c r="T68" s="105"/>
      <c r="U68" s="98"/>
      <c r="V68" s="104" t="str">
        <f t="shared" si="9"/>
        <v/>
      </c>
    </row>
    <row r="69" spans="1:22">
      <c r="A69" s="9" t="str">
        <f t="shared" ref="A69:A100" si="10">IF(B69="","",IFERROR("INC-"&amp;TEXT(B69,"yyyymmdd")&amp;"-"&amp;TEXT(ROW()-4,"000"),"TANGGAL TIDAK VALID"))</f>
        <v/>
      </c>
      <c r="B69" s="80"/>
      <c r="C69" s="9" t="str">
        <f t="shared" ref="C69:C100" si="11">IF(B69="","",IFERROR(TEXT(B69,"yyyy-mm"),"TANGGAL TIDAK VALID"))</f>
        <v/>
      </c>
      <c r="D69" s="46" t="str">
        <f>IF(G69="","",IFERROR(INDEX(INVOICE_PIUTANG!$D$5:$D$151,MATCH(G69,INVOICE_PIUTANG!$A$5:$A$151,0)),""))</f>
        <v/>
      </c>
      <c r="E69" s="47" t="str">
        <f>IF(D69="","",IFERROR(INDEX(PERKARA!$B$5:$B$104,MATCH(D69,PERKARA!$A$5:$A$104,0)),"ID TIDAK TERDAFTAR"))</f>
        <v/>
      </c>
      <c r="F69" s="6"/>
      <c r="G69" s="6"/>
      <c r="H69" s="72"/>
      <c r="I69" s="72"/>
      <c r="J69" s="73" t="str">
        <f t="shared" ref="J69:J100" si="12">IF(B69="","",MAX(H69-I69,0))</f>
        <v/>
      </c>
      <c r="K69" s="6"/>
      <c r="L69" s="6"/>
      <c r="M69" s="9" t="str">
        <f t="shared" ref="M69:M100" si="13">IF(F69="","",IF(F69="Reimburse dari Klien","Penggantian Biaya",IF(F69="Dana Titipan Klien","Dana Klien",IF(F69="Setoran Modal Partner","Modal Partner",IF(F69="Pinjaman","Pinjaman","Pendapatan Operasional")))))</f>
        <v/>
      </c>
      <c r="N69" s="6"/>
      <c r="O69" s="6"/>
      <c r="P69" s="103"/>
      <c r="Q69" s="6"/>
      <c r="R69" s="67" t="str">
        <f>IF(B69="","",IF(AND(G69&lt;&gt;"",COUNTIF(INVOICE_PIUTANG!$A$5:$A$151,G69)=0),"INVOICE BELUM TERDAFTAR",IF(AND(D69&lt;&gt;"",E69="ID TIDAK TERDAFTAR"),"PERKARA TIDAK VALID",IF(K69="","AKUN BELUM DIISI",IF(AND(G69&lt;&gt;"",D69&lt;&gt;IFERROR(INDEX(INVOICE_PIUTANG!$D$5:$D$151,MATCH(G69,INVOICE_PIUTANG!$A$5:$A$151,0)),"")),"PERKARA TIDAK SESUAI INVOICE",IF(V69&lt;&gt;"LENGKAP","PENERIMAAN BELUM DIKONFIRMASI","OK"))))))</f>
        <v/>
      </c>
      <c r="S69" s="98"/>
      <c r="T69" s="105"/>
      <c r="U69" s="98"/>
      <c r="V69" s="104" t="str">
        <f t="shared" ref="V69:V100" si="14">IF(B69="","",IF(S69="Ditolak","DITOLAK",IF(AND(S69="Dikonfirmasi",P69&lt;&gt;""),"LENGKAP",IF(S69="Dikonfirmasi","NAMA PENYETUJU BELUM DIISI","MENUNGGU KONFIRMASI MANUAL"))))</f>
        <v/>
      </c>
    </row>
    <row r="70" spans="1:22">
      <c r="A70" s="9" t="str">
        <f t="shared" si="10"/>
        <v/>
      </c>
      <c r="B70" s="80"/>
      <c r="C70" s="9" t="str">
        <f t="shared" si="11"/>
        <v/>
      </c>
      <c r="D70" s="46" t="str">
        <f>IF(G70="","",IFERROR(INDEX(INVOICE_PIUTANG!$D$5:$D$151,MATCH(G70,INVOICE_PIUTANG!$A$5:$A$151,0)),""))</f>
        <v/>
      </c>
      <c r="E70" s="47" t="str">
        <f>IF(D70="","",IFERROR(INDEX(PERKARA!$B$5:$B$104,MATCH(D70,PERKARA!$A$5:$A$104,0)),"ID TIDAK TERDAFTAR"))</f>
        <v/>
      </c>
      <c r="F70" s="6"/>
      <c r="G70" s="6"/>
      <c r="H70" s="72"/>
      <c r="I70" s="72"/>
      <c r="J70" s="73" t="str">
        <f t="shared" si="12"/>
        <v/>
      </c>
      <c r="K70" s="6"/>
      <c r="L70" s="6"/>
      <c r="M70" s="9" t="str">
        <f t="shared" si="13"/>
        <v/>
      </c>
      <c r="N70" s="6"/>
      <c r="O70" s="6"/>
      <c r="P70" s="103"/>
      <c r="Q70" s="6"/>
      <c r="R70" s="67" t="str">
        <f>IF(B70="","",IF(AND(G70&lt;&gt;"",COUNTIF(INVOICE_PIUTANG!$A$5:$A$151,G70)=0),"INVOICE BELUM TERDAFTAR",IF(AND(D70&lt;&gt;"",E70="ID TIDAK TERDAFTAR"),"PERKARA TIDAK VALID",IF(K70="","AKUN BELUM DIISI",IF(AND(G70&lt;&gt;"",D70&lt;&gt;IFERROR(INDEX(INVOICE_PIUTANG!$D$5:$D$151,MATCH(G70,INVOICE_PIUTANG!$A$5:$A$151,0)),"")),"PERKARA TIDAK SESUAI INVOICE",IF(V70&lt;&gt;"LENGKAP","PENERIMAAN BELUM DIKONFIRMASI","OK"))))))</f>
        <v/>
      </c>
      <c r="S70" s="98"/>
      <c r="T70" s="105"/>
      <c r="U70" s="98"/>
      <c r="V70" s="104" t="str">
        <f t="shared" si="14"/>
        <v/>
      </c>
    </row>
    <row r="71" spans="1:22">
      <c r="A71" s="9" t="str">
        <f t="shared" si="10"/>
        <v/>
      </c>
      <c r="B71" s="80"/>
      <c r="C71" s="9" t="str">
        <f t="shared" si="11"/>
        <v/>
      </c>
      <c r="D71" s="46" t="str">
        <f>IF(G71="","",IFERROR(INDEX(INVOICE_PIUTANG!$D$5:$D$151,MATCH(G71,INVOICE_PIUTANG!$A$5:$A$151,0)),""))</f>
        <v/>
      </c>
      <c r="E71" s="47" t="str">
        <f>IF(D71="","",IFERROR(INDEX(PERKARA!$B$5:$B$104,MATCH(D71,PERKARA!$A$5:$A$104,0)),"ID TIDAK TERDAFTAR"))</f>
        <v/>
      </c>
      <c r="F71" s="6"/>
      <c r="G71" s="6"/>
      <c r="H71" s="72"/>
      <c r="I71" s="72"/>
      <c r="J71" s="73" t="str">
        <f t="shared" si="12"/>
        <v/>
      </c>
      <c r="K71" s="6"/>
      <c r="L71" s="6"/>
      <c r="M71" s="9" t="str">
        <f t="shared" si="13"/>
        <v/>
      </c>
      <c r="N71" s="6"/>
      <c r="O71" s="6"/>
      <c r="P71" s="103"/>
      <c r="Q71" s="6"/>
      <c r="R71" s="67" t="str">
        <f>IF(B71="","",IF(AND(G71&lt;&gt;"",COUNTIF(INVOICE_PIUTANG!$A$5:$A$151,G71)=0),"INVOICE BELUM TERDAFTAR",IF(AND(D71&lt;&gt;"",E71="ID TIDAK TERDAFTAR"),"PERKARA TIDAK VALID",IF(K71="","AKUN BELUM DIISI",IF(AND(G71&lt;&gt;"",D71&lt;&gt;IFERROR(INDEX(INVOICE_PIUTANG!$D$5:$D$151,MATCH(G71,INVOICE_PIUTANG!$A$5:$A$151,0)),"")),"PERKARA TIDAK SESUAI INVOICE",IF(V71&lt;&gt;"LENGKAP","PENERIMAAN BELUM DIKONFIRMASI","OK"))))))</f>
        <v/>
      </c>
      <c r="S71" s="98"/>
      <c r="T71" s="105"/>
      <c r="U71" s="98"/>
      <c r="V71" s="104" t="str">
        <f t="shared" si="14"/>
        <v/>
      </c>
    </row>
    <row r="72" spans="1:22">
      <c r="A72" s="9" t="str">
        <f t="shared" si="10"/>
        <v/>
      </c>
      <c r="B72" s="80"/>
      <c r="C72" s="9" t="str">
        <f t="shared" si="11"/>
        <v/>
      </c>
      <c r="D72" s="46" t="str">
        <f>IF(G72="","",IFERROR(INDEX(INVOICE_PIUTANG!$D$5:$D$151,MATCH(G72,INVOICE_PIUTANG!$A$5:$A$151,0)),""))</f>
        <v/>
      </c>
      <c r="E72" s="47" t="str">
        <f>IF(D72="","",IFERROR(INDEX(PERKARA!$B$5:$B$104,MATCH(D72,PERKARA!$A$5:$A$104,0)),"ID TIDAK TERDAFTAR"))</f>
        <v/>
      </c>
      <c r="F72" s="6"/>
      <c r="G72" s="6"/>
      <c r="H72" s="72"/>
      <c r="I72" s="72"/>
      <c r="J72" s="73" t="str">
        <f t="shared" si="12"/>
        <v/>
      </c>
      <c r="K72" s="6"/>
      <c r="L72" s="6"/>
      <c r="M72" s="9" t="str">
        <f t="shared" si="13"/>
        <v/>
      </c>
      <c r="N72" s="6"/>
      <c r="O72" s="6"/>
      <c r="P72" s="103"/>
      <c r="Q72" s="6"/>
      <c r="R72" s="67" t="str">
        <f>IF(B72="","",IF(AND(G72&lt;&gt;"",COUNTIF(INVOICE_PIUTANG!$A$5:$A$151,G72)=0),"INVOICE BELUM TERDAFTAR",IF(AND(D72&lt;&gt;"",E72="ID TIDAK TERDAFTAR"),"PERKARA TIDAK VALID",IF(K72="","AKUN BELUM DIISI",IF(AND(G72&lt;&gt;"",D72&lt;&gt;IFERROR(INDEX(INVOICE_PIUTANG!$D$5:$D$151,MATCH(G72,INVOICE_PIUTANG!$A$5:$A$151,0)),"")),"PERKARA TIDAK SESUAI INVOICE",IF(V72&lt;&gt;"LENGKAP","PENERIMAAN BELUM DIKONFIRMASI","OK"))))))</f>
        <v/>
      </c>
      <c r="S72" s="98"/>
      <c r="T72" s="105"/>
      <c r="U72" s="98"/>
      <c r="V72" s="104" t="str">
        <f t="shared" si="14"/>
        <v/>
      </c>
    </row>
    <row r="73" spans="1:22">
      <c r="A73" s="9" t="str">
        <f t="shared" si="10"/>
        <v/>
      </c>
      <c r="B73" s="80"/>
      <c r="C73" s="9" t="str">
        <f t="shared" si="11"/>
        <v/>
      </c>
      <c r="D73" s="46" t="str">
        <f>IF(G73="","",IFERROR(INDEX(INVOICE_PIUTANG!$D$5:$D$151,MATCH(G73,INVOICE_PIUTANG!$A$5:$A$151,0)),""))</f>
        <v/>
      </c>
      <c r="E73" s="47" t="str">
        <f>IF(D73="","",IFERROR(INDEX(PERKARA!$B$5:$B$104,MATCH(D73,PERKARA!$A$5:$A$104,0)),"ID TIDAK TERDAFTAR"))</f>
        <v/>
      </c>
      <c r="F73" s="6"/>
      <c r="G73" s="6"/>
      <c r="H73" s="72"/>
      <c r="I73" s="72"/>
      <c r="J73" s="73" t="str">
        <f t="shared" si="12"/>
        <v/>
      </c>
      <c r="K73" s="6"/>
      <c r="L73" s="6"/>
      <c r="M73" s="9" t="str">
        <f t="shared" si="13"/>
        <v/>
      </c>
      <c r="N73" s="6"/>
      <c r="O73" s="6"/>
      <c r="P73" s="103"/>
      <c r="Q73" s="6"/>
      <c r="R73" s="67" t="str">
        <f>IF(B73="","",IF(AND(G73&lt;&gt;"",COUNTIF(INVOICE_PIUTANG!$A$5:$A$151,G73)=0),"INVOICE BELUM TERDAFTAR",IF(AND(D73&lt;&gt;"",E73="ID TIDAK TERDAFTAR"),"PERKARA TIDAK VALID",IF(K73="","AKUN BELUM DIISI",IF(AND(G73&lt;&gt;"",D73&lt;&gt;IFERROR(INDEX(INVOICE_PIUTANG!$D$5:$D$151,MATCH(G73,INVOICE_PIUTANG!$A$5:$A$151,0)),"")),"PERKARA TIDAK SESUAI INVOICE",IF(V73&lt;&gt;"LENGKAP","PENERIMAAN BELUM DIKONFIRMASI","OK"))))))</f>
        <v/>
      </c>
      <c r="S73" s="98"/>
      <c r="T73" s="105"/>
      <c r="U73" s="98"/>
      <c r="V73" s="104" t="str">
        <f t="shared" si="14"/>
        <v/>
      </c>
    </row>
    <row r="74" spans="1:22">
      <c r="A74" s="9" t="str">
        <f t="shared" si="10"/>
        <v/>
      </c>
      <c r="B74" s="80"/>
      <c r="C74" s="9" t="str">
        <f t="shared" si="11"/>
        <v/>
      </c>
      <c r="D74" s="46" t="str">
        <f>IF(G74="","",IFERROR(INDEX(INVOICE_PIUTANG!$D$5:$D$151,MATCH(G74,INVOICE_PIUTANG!$A$5:$A$151,0)),""))</f>
        <v/>
      </c>
      <c r="E74" s="47" t="str">
        <f>IF(D74="","",IFERROR(INDEX(PERKARA!$B$5:$B$104,MATCH(D74,PERKARA!$A$5:$A$104,0)),"ID TIDAK TERDAFTAR"))</f>
        <v/>
      </c>
      <c r="F74" s="6"/>
      <c r="G74" s="6"/>
      <c r="H74" s="72"/>
      <c r="I74" s="72"/>
      <c r="J74" s="73" t="str">
        <f t="shared" si="12"/>
        <v/>
      </c>
      <c r="K74" s="6"/>
      <c r="L74" s="6"/>
      <c r="M74" s="9" t="str">
        <f t="shared" si="13"/>
        <v/>
      </c>
      <c r="N74" s="6"/>
      <c r="O74" s="6"/>
      <c r="P74" s="103"/>
      <c r="Q74" s="6"/>
      <c r="R74" s="67" t="str">
        <f>IF(B74="","",IF(AND(G74&lt;&gt;"",COUNTIF(INVOICE_PIUTANG!$A$5:$A$151,G74)=0),"INVOICE BELUM TERDAFTAR",IF(AND(D74&lt;&gt;"",E74="ID TIDAK TERDAFTAR"),"PERKARA TIDAK VALID",IF(K74="","AKUN BELUM DIISI",IF(AND(G74&lt;&gt;"",D74&lt;&gt;IFERROR(INDEX(INVOICE_PIUTANG!$D$5:$D$151,MATCH(G74,INVOICE_PIUTANG!$A$5:$A$151,0)),"")),"PERKARA TIDAK SESUAI INVOICE",IF(V74&lt;&gt;"LENGKAP","PENERIMAAN BELUM DIKONFIRMASI","OK"))))))</f>
        <v/>
      </c>
      <c r="S74" s="98"/>
      <c r="T74" s="105"/>
      <c r="U74" s="98"/>
      <c r="V74" s="104" t="str">
        <f t="shared" si="14"/>
        <v/>
      </c>
    </row>
    <row r="75" spans="1:22">
      <c r="A75" s="9" t="str">
        <f t="shared" si="10"/>
        <v/>
      </c>
      <c r="B75" s="80"/>
      <c r="C75" s="9" t="str">
        <f t="shared" si="11"/>
        <v/>
      </c>
      <c r="D75" s="46" t="str">
        <f>IF(G75="","",IFERROR(INDEX(INVOICE_PIUTANG!$D$5:$D$151,MATCH(G75,INVOICE_PIUTANG!$A$5:$A$151,0)),""))</f>
        <v/>
      </c>
      <c r="E75" s="47" t="str">
        <f>IF(D75="","",IFERROR(INDEX(PERKARA!$B$5:$B$104,MATCH(D75,PERKARA!$A$5:$A$104,0)),"ID TIDAK TERDAFTAR"))</f>
        <v/>
      </c>
      <c r="F75" s="6"/>
      <c r="G75" s="6"/>
      <c r="H75" s="72"/>
      <c r="I75" s="72"/>
      <c r="J75" s="73" t="str">
        <f t="shared" si="12"/>
        <v/>
      </c>
      <c r="K75" s="6"/>
      <c r="L75" s="6"/>
      <c r="M75" s="9" t="str">
        <f t="shared" si="13"/>
        <v/>
      </c>
      <c r="N75" s="6"/>
      <c r="O75" s="6"/>
      <c r="P75" s="103"/>
      <c r="Q75" s="6"/>
      <c r="R75" s="67" t="str">
        <f>IF(B75="","",IF(AND(G75&lt;&gt;"",COUNTIF(INVOICE_PIUTANG!$A$5:$A$151,G75)=0),"INVOICE BELUM TERDAFTAR",IF(AND(D75&lt;&gt;"",E75="ID TIDAK TERDAFTAR"),"PERKARA TIDAK VALID",IF(K75="","AKUN BELUM DIISI",IF(AND(G75&lt;&gt;"",D75&lt;&gt;IFERROR(INDEX(INVOICE_PIUTANG!$D$5:$D$151,MATCH(G75,INVOICE_PIUTANG!$A$5:$A$151,0)),"")),"PERKARA TIDAK SESUAI INVOICE",IF(V75&lt;&gt;"LENGKAP","PENERIMAAN BELUM DIKONFIRMASI","OK"))))))</f>
        <v/>
      </c>
      <c r="S75" s="98"/>
      <c r="T75" s="105"/>
      <c r="U75" s="98"/>
      <c r="V75" s="104" t="str">
        <f t="shared" si="14"/>
        <v/>
      </c>
    </row>
    <row r="76" spans="1:22">
      <c r="A76" s="9" t="str">
        <f t="shared" si="10"/>
        <v/>
      </c>
      <c r="B76" s="80"/>
      <c r="C76" s="9" t="str">
        <f t="shared" si="11"/>
        <v/>
      </c>
      <c r="D76" s="46" t="str">
        <f>IF(G76="","",IFERROR(INDEX(INVOICE_PIUTANG!$D$5:$D$151,MATCH(G76,INVOICE_PIUTANG!$A$5:$A$151,0)),""))</f>
        <v/>
      </c>
      <c r="E76" s="47" t="str">
        <f>IF(D76="","",IFERROR(INDEX(PERKARA!$B$5:$B$104,MATCH(D76,PERKARA!$A$5:$A$104,0)),"ID TIDAK TERDAFTAR"))</f>
        <v/>
      </c>
      <c r="F76" s="6"/>
      <c r="G76" s="6"/>
      <c r="H76" s="72"/>
      <c r="I76" s="72"/>
      <c r="J76" s="73" t="str">
        <f t="shared" si="12"/>
        <v/>
      </c>
      <c r="K76" s="6"/>
      <c r="L76" s="6"/>
      <c r="M76" s="9" t="str">
        <f t="shared" si="13"/>
        <v/>
      </c>
      <c r="N76" s="6"/>
      <c r="O76" s="6"/>
      <c r="P76" s="103"/>
      <c r="Q76" s="6"/>
      <c r="R76" s="67" t="str">
        <f>IF(B76="","",IF(AND(G76&lt;&gt;"",COUNTIF(INVOICE_PIUTANG!$A$5:$A$151,G76)=0),"INVOICE BELUM TERDAFTAR",IF(AND(D76&lt;&gt;"",E76="ID TIDAK TERDAFTAR"),"PERKARA TIDAK VALID",IF(K76="","AKUN BELUM DIISI",IF(AND(G76&lt;&gt;"",D76&lt;&gt;IFERROR(INDEX(INVOICE_PIUTANG!$D$5:$D$151,MATCH(G76,INVOICE_PIUTANG!$A$5:$A$151,0)),"")),"PERKARA TIDAK SESUAI INVOICE",IF(V76&lt;&gt;"LENGKAP","PENERIMAAN BELUM DIKONFIRMASI","OK"))))))</f>
        <v/>
      </c>
      <c r="S76" s="98"/>
      <c r="T76" s="105"/>
      <c r="U76" s="98"/>
      <c r="V76" s="104" t="str">
        <f t="shared" si="14"/>
        <v/>
      </c>
    </row>
    <row r="77" spans="1:22">
      <c r="A77" s="9" t="str">
        <f t="shared" si="10"/>
        <v/>
      </c>
      <c r="B77" s="80"/>
      <c r="C77" s="9" t="str">
        <f t="shared" si="11"/>
        <v/>
      </c>
      <c r="D77" s="46" t="str">
        <f>IF(G77="","",IFERROR(INDEX(INVOICE_PIUTANG!$D$5:$D$151,MATCH(G77,INVOICE_PIUTANG!$A$5:$A$151,0)),""))</f>
        <v/>
      </c>
      <c r="E77" s="47" t="str">
        <f>IF(D77="","",IFERROR(INDEX(PERKARA!$B$5:$B$104,MATCH(D77,PERKARA!$A$5:$A$104,0)),"ID TIDAK TERDAFTAR"))</f>
        <v/>
      </c>
      <c r="F77" s="6"/>
      <c r="G77" s="6"/>
      <c r="H77" s="72"/>
      <c r="I77" s="72"/>
      <c r="J77" s="73" t="str">
        <f t="shared" si="12"/>
        <v/>
      </c>
      <c r="K77" s="6"/>
      <c r="L77" s="6"/>
      <c r="M77" s="9" t="str">
        <f t="shared" si="13"/>
        <v/>
      </c>
      <c r="N77" s="6"/>
      <c r="O77" s="6"/>
      <c r="P77" s="103"/>
      <c r="Q77" s="6"/>
      <c r="R77" s="67" t="str">
        <f>IF(B77="","",IF(AND(G77&lt;&gt;"",COUNTIF(INVOICE_PIUTANG!$A$5:$A$151,G77)=0),"INVOICE BELUM TERDAFTAR",IF(AND(D77&lt;&gt;"",E77="ID TIDAK TERDAFTAR"),"PERKARA TIDAK VALID",IF(K77="","AKUN BELUM DIISI",IF(AND(G77&lt;&gt;"",D77&lt;&gt;IFERROR(INDEX(INVOICE_PIUTANG!$D$5:$D$151,MATCH(G77,INVOICE_PIUTANG!$A$5:$A$151,0)),"")),"PERKARA TIDAK SESUAI INVOICE",IF(V77&lt;&gt;"LENGKAP","PENERIMAAN BELUM DIKONFIRMASI","OK"))))))</f>
        <v/>
      </c>
      <c r="S77" s="98"/>
      <c r="T77" s="105"/>
      <c r="U77" s="98"/>
      <c r="V77" s="104" t="str">
        <f t="shared" si="14"/>
        <v/>
      </c>
    </row>
    <row r="78" spans="1:22">
      <c r="A78" s="9" t="str">
        <f t="shared" si="10"/>
        <v/>
      </c>
      <c r="B78" s="80"/>
      <c r="C78" s="9" t="str">
        <f t="shared" si="11"/>
        <v/>
      </c>
      <c r="D78" s="46" t="str">
        <f>IF(G78="","",IFERROR(INDEX(INVOICE_PIUTANG!$D$5:$D$151,MATCH(G78,INVOICE_PIUTANG!$A$5:$A$151,0)),""))</f>
        <v/>
      </c>
      <c r="E78" s="47" t="str">
        <f>IF(D78="","",IFERROR(INDEX(PERKARA!$B$5:$B$104,MATCH(D78,PERKARA!$A$5:$A$104,0)),"ID TIDAK TERDAFTAR"))</f>
        <v/>
      </c>
      <c r="F78" s="6"/>
      <c r="G78" s="6"/>
      <c r="H78" s="72"/>
      <c r="I78" s="72"/>
      <c r="J78" s="73" t="str">
        <f t="shared" si="12"/>
        <v/>
      </c>
      <c r="K78" s="6"/>
      <c r="L78" s="6"/>
      <c r="M78" s="9" t="str">
        <f t="shared" si="13"/>
        <v/>
      </c>
      <c r="N78" s="6"/>
      <c r="O78" s="6"/>
      <c r="P78" s="103"/>
      <c r="Q78" s="6"/>
      <c r="R78" s="67" t="str">
        <f>IF(B78="","",IF(AND(G78&lt;&gt;"",COUNTIF(INVOICE_PIUTANG!$A$5:$A$151,G78)=0),"INVOICE BELUM TERDAFTAR",IF(AND(D78&lt;&gt;"",E78="ID TIDAK TERDAFTAR"),"PERKARA TIDAK VALID",IF(K78="","AKUN BELUM DIISI",IF(AND(G78&lt;&gt;"",D78&lt;&gt;IFERROR(INDEX(INVOICE_PIUTANG!$D$5:$D$151,MATCH(G78,INVOICE_PIUTANG!$A$5:$A$151,0)),"")),"PERKARA TIDAK SESUAI INVOICE",IF(V78&lt;&gt;"LENGKAP","PENERIMAAN BELUM DIKONFIRMASI","OK"))))))</f>
        <v/>
      </c>
      <c r="S78" s="98"/>
      <c r="T78" s="105"/>
      <c r="U78" s="98"/>
      <c r="V78" s="104" t="str">
        <f t="shared" si="14"/>
        <v/>
      </c>
    </row>
    <row r="79" spans="1:22">
      <c r="A79" s="9" t="str">
        <f t="shared" si="10"/>
        <v/>
      </c>
      <c r="B79" s="80"/>
      <c r="C79" s="9" t="str">
        <f t="shared" si="11"/>
        <v/>
      </c>
      <c r="D79" s="46" t="str">
        <f>IF(G79="","",IFERROR(INDEX(INVOICE_PIUTANG!$D$5:$D$151,MATCH(G79,INVOICE_PIUTANG!$A$5:$A$151,0)),""))</f>
        <v/>
      </c>
      <c r="E79" s="47" t="str">
        <f>IF(D79="","",IFERROR(INDEX(PERKARA!$B$5:$B$104,MATCH(D79,PERKARA!$A$5:$A$104,0)),"ID TIDAK TERDAFTAR"))</f>
        <v/>
      </c>
      <c r="F79" s="6"/>
      <c r="G79" s="6"/>
      <c r="H79" s="72"/>
      <c r="I79" s="72"/>
      <c r="J79" s="73" t="str">
        <f t="shared" si="12"/>
        <v/>
      </c>
      <c r="K79" s="6"/>
      <c r="L79" s="6"/>
      <c r="M79" s="9" t="str">
        <f t="shared" si="13"/>
        <v/>
      </c>
      <c r="N79" s="6"/>
      <c r="O79" s="6"/>
      <c r="P79" s="103"/>
      <c r="Q79" s="6"/>
      <c r="R79" s="67" t="str">
        <f>IF(B79="","",IF(AND(G79&lt;&gt;"",COUNTIF(INVOICE_PIUTANG!$A$5:$A$151,G79)=0),"INVOICE BELUM TERDAFTAR",IF(AND(D79&lt;&gt;"",E79="ID TIDAK TERDAFTAR"),"PERKARA TIDAK VALID",IF(K79="","AKUN BELUM DIISI",IF(AND(G79&lt;&gt;"",D79&lt;&gt;IFERROR(INDEX(INVOICE_PIUTANG!$D$5:$D$151,MATCH(G79,INVOICE_PIUTANG!$A$5:$A$151,0)),"")),"PERKARA TIDAK SESUAI INVOICE",IF(V79&lt;&gt;"LENGKAP","PENERIMAAN BELUM DIKONFIRMASI","OK"))))))</f>
        <v/>
      </c>
      <c r="S79" s="98"/>
      <c r="T79" s="105"/>
      <c r="U79" s="98"/>
      <c r="V79" s="104" t="str">
        <f t="shared" si="14"/>
        <v/>
      </c>
    </row>
    <row r="80" spans="1:22">
      <c r="A80" s="9" t="str">
        <f t="shared" si="10"/>
        <v/>
      </c>
      <c r="B80" s="80"/>
      <c r="C80" s="9" t="str">
        <f t="shared" si="11"/>
        <v/>
      </c>
      <c r="D80" s="46" t="str">
        <f>IF(G80="","",IFERROR(INDEX(INVOICE_PIUTANG!$D$5:$D$151,MATCH(G80,INVOICE_PIUTANG!$A$5:$A$151,0)),""))</f>
        <v/>
      </c>
      <c r="E80" s="47" t="str">
        <f>IF(D80="","",IFERROR(INDEX(PERKARA!$B$5:$B$104,MATCH(D80,PERKARA!$A$5:$A$104,0)),"ID TIDAK TERDAFTAR"))</f>
        <v/>
      </c>
      <c r="F80" s="6"/>
      <c r="G80" s="6"/>
      <c r="H80" s="72"/>
      <c r="I80" s="72"/>
      <c r="J80" s="73" t="str">
        <f t="shared" si="12"/>
        <v/>
      </c>
      <c r="K80" s="6"/>
      <c r="L80" s="6"/>
      <c r="M80" s="9" t="str">
        <f t="shared" si="13"/>
        <v/>
      </c>
      <c r="N80" s="6"/>
      <c r="O80" s="6"/>
      <c r="P80" s="103"/>
      <c r="Q80" s="6"/>
      <c r="R80" s="67" t="str">
        <f>IF(B80="","",IF(AND(G80&lt;&gt;"",COUNTIF(INVOICE_PIUTANG!$A$5:$A$151,G80)=0),"INVOICE BELUM TERDAFTAR",IF(AND(D80&lt;&gt;"",E80="ID TIDAK TERDAFTAR"),"PERKARA TIDAK VALID",IF(K80="","AKUN BELUM DIISI",IF(AND(G80&lt;&gt;"",D80&lt;&gt;IFERROR(INDEX(INVOICE_PIUTANG!$D$5:$D$151,MATCH(G80,INVOICE_PIUTANG!$A$5:$A$151,0)),"")),"PERKARA TIDAK SESUAI INVOICE",IF(V80&lt;&gt;"LENGKAP","PENERIMAAN BELUM DIKONFIRMASI","OK"))))))</f>
        <v/>
      </c>
      <c r="S80" s="98"/>
      <c r="T80" s="105"/>
      <c r="U80" s="98"/>
      <c r="V80" s="104" t="str">
        <f t="shared" si="14"/>
        <v/>
      </c>
    </row>
    <row r="81" spans="1:22">
      <c r="A81" s="9" t="str">
        <f t="shared" si="10"/>
        <v/>
      </c>
      <c r="B81" s="80"/>
      <c r="C81" s="9" t="str">
        <f t="shared" si="11"/>
        <v/>
      </c>
      <c r="D81" s="46" t="str">
        <f>IF(G81="","",IFERROR(INDEX(INVOICE_PIUTANG!$D$5:$D$151,MATCH(G81,INVOICE_PIUTANG!$A$5:$A$151,0)),""))</f>
        <v/>
      </c>
      <c r="E81" s="47" t="str">
        <f>IF(D81="","",IFERROR(INDEX(PERKARA!$B$5:$B$104,MATCH(D81,PERKARA!$A$5:$A$104,0)),"ID TIDAK TERDAFTAR"))</f>
        <v/>
      </c>
      <c r="F81" s="6"/>
      <c r="G81" s="6"/>
      <c r="H81" s="72"/>
      <c r="I81" s="72"/>
      <c r="J81" s="73" t="str">
        <f t="shared" si="12"/>
        <v/>
      </c>
      <c r="K81" s="6"/>
      <c r="L81" s="6"/>
      <c r="M81" s="9" t="str">
        <f t="shared" si="13"/>
        <v/>
      </c>
      <c r="N81" s="6"/>
      <c r="O81" s="6"/>
      <c r="P81" s="103"/>
      <c r="Q81" s="6"/>
      <c r="R81" s="67" t="str">
        <f>IF(B81="","",IF(AND(G81&lt;&gt;"",COUNTIF(INVOICE_PIUTANG!$A$5:$A$151,G81)=0),"INVOICE BELUM TERDAFTAR",IF(AND(D81&lt;&gt;"",E81="ID TIDAK TERDAFTAR"),"PERKARA TIDAK VALID",IF(K81="","AKUN BELUM DIISI",IF(AND(G81&lt;&gt;"",D81&lt;&gt;IFERROR(INDEX(INVOICE_PIUTANG!$D$5:$D$151,MATCH(G81,INVOICE_PIUTANG!$A$5:$A$151,0)),"")),"PERKARA TIDAK SESUAI INVOICE",IF(V81&lt;&gt;"LENGKAP","PENERIMAAN BELUM DIKONFIRMASI","OK"))))))</f>
        <v/>
      </c>
      <c r="S81" s="98"/>
      <c r="T81" s="105"/>
      <c r="U81" s="98"/>
      <c r="V81" s="104" t="str">
        <f t="shared" si="14"/>
        <v/>
      </c>
    </row>
    <row r="82" spans="1:22">
      <c r="A82" s="9" t="str">
        <f t="shared" si="10"/>
        <v/>
      </c>
      <c r="B82" s="80"/>
      <c r="C82" s="9" t="str">
        <f t="shared" si="11"/>
        <v/>
      </c>
      <c r="D82" s="46" t="str">
        <f>IF(G82="","",IFERROR(INDEX(INVOICE_PIUTANG!$D$5:$D$151,MATCH(G82,INVOICE_PIUTANG!$A$5:$A$151,0)),""))</f>
        <v/>
      </c>
      <c r="E82" s="47" t="str">
        <f>IF(D82="","",IFERROR(INDEX(PERKARA!$B$5:$B$104,MATCH(D82,PERKARA!$A$5:$A$104,0)),"ID TIDAK TERDAFTAR"))</f>
        <v/>
      </c>
      <c r="F82" s="6"/>
      <c r="G82" s="6"/>
      <c r="H82" s="72"/>
      <c r="I82" s="72"/>
      <c r="J82" s="73" t="str">
        <f t="shared" si="12"/>
        <v/>
      </c>
      <c r="K82" s="6"/>
      <c r="L82" s="6"/>
      <c r="M82" s="9" t="str">
        <f t="shared" si="13"/>
        <v/>
      </c>
      <c r="N82" s="6"/>
      <c r="O82" s="6"/>
      <c r="P82" s="103"/>
      <c r="Q82" s="6"/>
      <c r="R82" s="67" t="str">
        <f>IF(B82="","",IF(AND(G82&lt;&gt;"",COUNTIF(INVOICE_PIUTANG!$A$5:$A$151,G82)=0),"INVOICE BELUM TERDAFTAR",IF(AND(D82&lt;&gt;"",E82="ID TIDAK TERDAFTAR"),"PERKARA TIDAK VALID",IF(K82="","AKUN BELUM DIISI",IF(AND(G82&lt;&gt;"",D82&lt;&gt;IFERROR(INDEX(INVOICE_PIUTANG!$D$5:$D$151,MATCH(G82,INVOICE_PIUTANG!$A$5:$A$151,0)),"")),"PERKARA TIDAK SESUAI INVOICE",IF(V82&lt;&gt;"LENGKAP","PENERIMAAN BELUM DIKONFIRMASI","OK"))))))</f>
        <v/>
      </c>
      <c r="S82" s="98"/>
      <c r="T82" s="105"/>
      <c r="U82" s="98"/>
      <c r="V82" s="104" t="str">
        <f t="shared" si="14"/>
        <v/>
      </c>
    </row>
    <row r="83" spans="1:22">
      <c r="A83" s="9" t="str">
        <f t="shared" si="10"/>
        <v/>
      </c>
      <c r="B83" s="80"/>
      <c r="C83" s="9" t="str">
        <f t="shared" si="11"/>
        <v/>
      </c>
      <c r="D83" s="46" t="str">
        <f>IF(G83="","",IFERROR(INDEX(INVOICE_PIUTANG!$D$5:$D$151,MATCH(G83,INVOICE_PIUTANG!$A$5:$A$151,0)),""))</f>
        <v/>
      </c>
      <c r="E83" s="47" t="str">
        <f>IF(D83="","",IFERROR(INDEX(PERKARA!$B$5:$B$104,MATCH(D83,PERKARA!$A$5:$A$104,0)),"ID TIDAK TERDAFTAR"))</f>
        <v/>
      </c>
      <c r="F83" s="6"/>
      <c r="G83" s="6"/>
      <c r="H83" s="72"/>
      <c r="I83" s="72"/>
      <c r="J83" s="73" t="str">
        <f t="shared" si="12"/>
        <v/>
      </c>
      <c r="K83" s="6"/>
      <c r="L83" s="6"/>
      <c r="M83" s="9" t="str">
        <f t="shared" si="13"/>
        <v/>
      </c>
      <c r="N83" s="6"/>
      <c r="O83" s="6"/>
      <c r="P83" s="103"/>
      <c r="Q83" s="6"/>
      <c r="R83" s="67" t="str">
        <f>IF(B83="","",IF(AND(G83&lt;&gt;"",COUNTIF(INVOICE_PIUTANG!$A$5:$A$151,G83)=0),"INVOICE BELUM TERDAFTAR",IF(AND(D83&lt;&gt;"",E83="ID TIDAK TERDAFTAR"),"PERKARA TIDAK VALID",IF(K83="","AKUN BELUM DIISI",IF(AND(G83&lt;&gt;"",D83&lt;&gt;IFERROR(INDEX(INVOICE_PIUTANG!$D$5:$D$151,MATCH(G83,INVOICE_PIUTANG!$A$5:$A$151,0)),"")),"PERKARA TIDAK SESUAI INVOICE",IF(V83&lt;&gt;"LENGKAP","PENERIMAAN BELUM DIKONFIRMASI","OK"))))))</f>
        <v/>
      </c>
      <c r="S83" s="98"/>
      <c r="T83" s="105"/>
      <c r="U83" s="98"/>
      <c r="V83" s="104" t="str">
        <f t="shared" si="14"/>
        <v/>
      </c>
    </row>
    <row r="84" spans="1:22">
      <c r="A84" s="9" t="str">
        <f t="shared" si="10"/>
        <v/>
      </c>
      <c r="B84" s="80"/>
      <c r="C84" s="9" t="str">
        <f t="shared" si="11"/>
        <v/>
      </c>
      <c r="D84" s="46" t="str">
        <f>IF(G84="","",IFERROR(INDEX(INVOICE_PIUTANG!$D$5:$D$151,MATCH(G84,INVOICE_PIUTANG!$A$5:$A$151,0)),""))</f>
        <v/>
      </c>
      <c r="E84" s="47" t="str">
        <f>IF(D84="","",IFERROR(INDEX(PERKARA!$B$5:$B$104,MATCH(D84,PERKARA!$A$5:$A$104,0)),"ID TIDAK TERDAFTAR"))</f>
        <v/>
      </c>
      <c r="F84" s="6"/>
      <c r="G84" s="6"/>
      <c r="H84" s="72"/>
      <c r="I84" s="72"/>
      <c r="J84" s="73" t="str">
        <f t="shared" si="12"/>
        <v/>
      </c>
      <c r="K84" s="6"/>
      <c r="L84" s="6"/>
      <c r="M84" s="9" t="str">
        <f t="shared" si="13"/>
        <v/>
      </c>
      <c r="N84" s="6"/>
      <c r="O84" s="6"/>
      <c r="P84" s="103"/>
      <c r="Q84" s="6"/>
      <c r="R84" s="67" t="str">
        <f>IF(B84="","",IF(AND(G84&lt;&gt;"",COUNTIF(INVOICE_PIUTANG!$A$5:$A$151,G84)=0),"INVOICE BELUM TERDAFTAR",IF(AND(D84&lt;&gt;"",E84="ID TIDAK TERDAFTAR"),"PERKARA TIDAK VALID",IF(K84="","AKUN BELUM DIISI",IF(AND(G84&lt;&gt;"",D84&lt;&gt;IFERROR(INDEX(INVOICE_PIUTANG!$D$5:$D$151,MATCH(G84,INVOICE_PIUTANG!$A$5:$A$151,0)),"")),"PERKARA TIDAK SESUAI INVOICE",IF(V84&lt;&gt;"LENGKAP","PENERIMAAN BELUM DIKONFIRMASI","OK"))))))</f>
        <v/>
      </c>
      <c r="S84" s="98"/>
      <c r="T84" s="105"/>
      <c r="U84" s="98"/>
      <c r="V84" s="104" t="str">
        <f t="shared" si="14"/>
        <v/>
      </c>
    </row>
    <row r="85" spans="1:22">
      <c r="A85" s="9" t="str">
        <f t="shared" si="10"/>
        <v/>
      </c>
      <c r="B85" s="80"/>
      <c r="C85" s="9" t="str">
        <f t="shared" si="11"/>
        <v/>
      </c>
      <c r="D85" s="46" t="str">
        <f>IF(G85="","",IFERROR(INDEX(INVOICE_PIUTANG!$D$5:$D$151,MATCH(G85,INVOICE_PIUTANG!$A$5:$A$151,0)),""))</f>
        <v/>
      </c>
      <c r="E85" s="47" t="str">
        <f>IF(D85="","",IFERROR(INDEX(PERKARA!$B$5:$B$104,MATCH(D85,PERKARA!$A$5:$A$104,0)),"ID TIDAK TERDAFTAR"))</f>
        <v/>
      </c>
      <c r="F85" s="6"/>
      <c r="G85" s="6"/>
      <c r="H85" s="72"/>
      <c r="I85" s="72"/>
      <c r="J85" s="73" t="str">
        <f t="shared" si="12"/>
        <v/>
      </c>
      <c r="K85" s="6"/>
      <c r="L85" s="6"/>
      <c r="M85" s="9" t="str">
        <f t="shared" si="13"/>
        <v/>
      </c>
      <c r="N85" s="6"/>
      <c r="O85" s="6"/>
      <c r="P85" s="103"/>
      <c r="Q85" s="6"/>
      <c r="R85" s="67" t="str">
        <f>IF(B85="","",IF(AND(G85&lt;&gt;"",COUNTIF(INVOICE_PIUTANG!$A$5:$A$151,G85)=0),"INVOICE BELUM TERDAFTAR",IF(AND(D85&lt;&gt;"",E85="ID TIDAK TERDAFTAR"),"PERKARA TIDAK VALID",IF(K85="","AKUN BELUM DIISI",IF(AND(G85&lt;&gt;"",D85&lt;&gt;IFERROR(INDEX(INVOICE_PIUTANG!$D$5:$D$151,MATCH(G85,INVOICE_PIUTANG!$A$5:$A$151,0)),"")),"PERKARA TIDAK SESUAI INVOICE",IF(V85&lt;&gt;"LENGKAP","PENERIMAAN BELUM DIKONFIRMASI","OK"))))))</f>
        <v/>
      </c>
      <c r="S85" s="98"/>
      <c r="T85" s="105"/>
      <c r="U85" s="98"/>
      <c r="V85" s="104" t="str">
        <f t="shared" si="14"/>
        <v/>
      </c>
    </row>
    <row r="86" spans="1:22">
      <c r="A86" s="9" t="str">
        <f t="shared" si="10"/>
        <v/>
      </c>
      <c r="B86" s="80"/>
      <c r="C86" s="9" t="str">
        <f t="shared" si="11"/>
        <v/>
      </c>
      <c r="D86" s="46" t="str">
        <f>IF(G86="","",IFERROR(INDEX(INVOICE_PIUTANG!$D$5:$D$151,MATCH(G86,INVOICE_PIUTANG!$A$5:$A$151,0)),""))</f>
        <v/>
      </c>
      <c r="E86" s="47" t="str">
        <f>IF(D86="","",IFERROR(INDEX(PERKARA!$B$5:$B$104,MATCH(D86,PERKARA!$A$5:$A$104,0)),"ID TIDAK TERDAFTAR"))</f>
        <v/>
      </c>
      <c r="F86" s="6"/>
      <c r="G86" s="6"/>
      <c r="H86" s="72"/>
      <c r="I86" s="72"/>
      <c r="J86" s="73" t="str">
        <f t="shared" si="12"/>
        <v/>
      </c>
      <c r="K86" s="6"/>
      <c r="L86" s="6"/>
      <c r="M86" s="9" t="str">
        <f t="shared" si="13"/>
        <v/>
      </c>
      <c r="N86" s="6"/>
      <c r="O86" s="6"/>
      <c r="P86" s="103"/>
      <c r="Q86" s="6"/>
      <c r="R86" s="67" t="str">
        <f>IF(B86="","",IF(AND(G86&lt;&gt;"",COUNTIF(INVOICE_PIUTANG!$A$5:$A$151,G86)=0),"INVOICE BELUM TERDAFTAR",IF(AND(D86&lt;&gt;"",E86="ID TIDAK TERDAFTAR"),"PERKARA TIDAK VALID",IF(K86="","AKUN BELUM DIISI",IF(AND(G86&lt;&gt;"",D86&lt;&gt;IFERROR(INDEX(INVOICE_PIUTANG!$D$5:$D$151,MATCH(G86,INVOICE_PIUTANG!$A$5:$A$151,0)),"")),"PERKARA TIDAK SESUAI INVOICE",IF(V86&lt;&gt;"LENGKAP","PENERIMAAN BELUM DIKONFIRMASI","OK"))))))</f>
        <v/>
      </c>
      <c r="S86" s="98"/>
      <c r="T86" s="105"/>
      <c r="U86" s="98"/>
      <c r="V86" s="104" t="str">
        <f t="shared" si="14"/>
        <v/>
      </c>
    </row>
    <row r="87" spans="1:22">
      <c r="A87" s="9" t="str">
        <f t="shared" si="10"/>
        <v/>
      </c>
      <c r="B87" s="80"/>
      <c r="C87" s="9" t="str">
        <f t="shared" si="11"/>
        <v/>
      </c>
      <c r="D87" s="46" t="str">
        <f>IF(G87="","",IFERROR(INDEX(INVOICE_PIUTANG!$D$5:$D$151,MATCH(G87,INVOICE_PIUTANG!$A$5:$A$151,0)),""))</f>
        <v/>
      </c>
      <c r="E87" s="47" t="str">
        <f>IF(D87="","",IFERROR(INDEX(PERKARA!$B$5:$B$104,MATCH(D87,PERKARA!$A$5:$A$104,0)),"ID TIDAK TERDAFTAR"))</f>
        <v/>
      </c>
      <c r="F87" s="6"/>
      <c r="G87" s="6"/>
      <c r="H87" s="72"/>
      <c r="I87" s="72"/>
      <c r="J87" s="73" t="str">
        <f t="shared" si="12"/>
        <v/>
      </c>
      <c r="K87" s="6"/>
      <c r="L87" s="6"/>
      <c r="M87" s="9" t="str">
        <f t="shared" si="13"/>
        <v/>
      </c>
      <c r="N87" s="6"/>
      <c r="O87" s="6"/>
      <c r="P87" s="103"/>
      <c r="Q87" s="6"/>
      <c r="R87" s="67" t="str">
        <f>IF(B87="","",IF(AND(G87&lt;&gt;"",COUNTIF(INVOICE_PIUTANG!$A$5:$A$151,G87)=0),"INVOICE BELUM TERDAFTAR",IF(AND(D87&lt;&gt;"",E87="ID TIDAK TERDAFTAR"),"PERKARA TIDAK VALID",IF(K87="","AKUN BELUM DIISI",IF(AND(G87&lt;&gt;"",D87&lt;&gt;IFERROR(INDEX(INVOICE_PIUTANG!$D$5:$D$151,MATCH(G87,INVOICE_PIUTANG!$A$5:$A$151,0)),"")),"PERKARA TIDAK SESUAI INVOICE",IF(V87&lt;&gt;"LENGKAP","PENERIMAAN BELUM DIKONFIRMASI","OK"))))))</f>
        <v/>
      </c>
      <c r="S87" s="98"/>
      <c r="T87" s="105"/>
      <c r="U87" s="98"/>
      <c r="V87" s="104" t="str">
        <f t="shared" si="14"/>
        <v/>
      </c>
    </row>
    <row r="88" spans="1:22">
      <c r="A88" s="9" t="str">
        <f t="shared" si="10"/>
        <v/>
      </c>
      <c r="B88" s="80"/>
      <c r="C88" s="9" t="str">
        <f t="shared" si="11"/>
        <v/>
      </c>
      <c r="D88" s="46" t="str">
        <f>IF(G88="","",IFERROR(INDEX(INVOICE_PIUTANG!$D$5:$D$151,MATCH(G88,INVOICE_PIUTANG!$A$5:$A$151,0)),""))</f>
        <v/>
      </c>
      <c r="E88" s="47" t="str">
        <f>IF(D88="","",IFERROR(INDEX(PERKARA!$B$5:$B$104,MATCH(D88,PERKARA!$A$5:$A$104,0)),"ID TIDAK TERDAFTAR"))</f>
        <v/>
      </c>
      <c r="F88" s="6"/>
      <c r="G88" s="6"/>
      <c r="H88" s="72"/>
      <c r="I88" s="72"/>
      <c r="J88" s="73" t="str">
        <f t="shared" si="12"/>
        <v/>
      </c>
      <c r="K88" s="6"/>
      <c r="L88" s="6"/>
      <c r="M88" s="9" t="str">
        <f t="shared" si="13"/>
        <v/>
      </c>
      <c r="N88" s="6"/>
      <c r="O88" s="6"/>
      <c r="P88" s="103"/>
      <c r="Q88" s="6"/>
      <c r="R88" s="67" t="str">
        <f>IF(B88="","",IF(AND(G88&lt;&gt;"",COUNTIF(INVOICE_PIUTANG!$A$5:$A$151,G88)=0),"INVOICE BELUM TERDAFTAR",IF(AND(D88&lt;&gt;"",E88="ID TIDAK TERDAFTAR"),"PERKARA TIDAK VALID",IF(K88="","AKUN BELUM DIISI",IF(AND(G88&lt;&gt;"",D88&lt;&gt;IFERROR(INDEX(INVOICE_PIUTANG!$D$5:$D$151,MATCH(G88,INVOICE_PIUTANG!$A$5:$A$151,0)),"")),"PERKARA TIDAK SESUAI INVOICE",IF(V88&lt;&gt;"LENGKAP","PENERIMAAN BELUM DIKONFIRMASI","OK"))))))</f>
        <v/>
      </c>
      <c r="S88" s="98"/>
      <c r="T88" s="105"/>
      <c r="U88" s="98"/>
      <c r="V88" s="104" t="str">
        <f t="shared" si="14"/>
        <v/>
      </c>
    </row>
    <row r="89" spans="1:22">
      <c r="A89" s="9" t="str">
        <f t="shared" si="10"/>
        <v/>
      </c>
      <c r="B89" s="80"/>
      <c r="C89" s="9" t="str">
        <f t="shared" si="11"/>
        <v/>
      </c>
      <c r="D89" s="46" t="str">
        <f>IF(G89="","",IFERROR(INDEX(INVOICE_PIUTANG!$D$5:$D$151,MATCH(G89,INVOICE_PIUTANG!$A$5:$A$151,0)),""))</f>
        <v/>
      </c>
      <c r="E89" s="47" t="str">
        <f>IF(D89="","",IFERROR(INDEX(PERKARA!$B$5:$B$104,MATCH(D89,PERKARA!$A$5:$A$104,0)),"ID TIDAK TERDAFTAR"))</f>
        <v/>
      </c>
      <c r="F89" s="6"/>
      <c r="G89" s="6"/>
      <c r="H89" s="72"/>
      <c r="I89" s="72"/>
      <c r="J89" s="73" t="str">
        <f t="shared" si="12"/>
        <v/>
      </c>
      <c r="K89" s="6"/>
      <c r="L89" s="6"/>
      <c r="M89" s="9" t="str">
        <f t="shared" si="13"/>
        <v/>
      </c>
      <c r="N89" s="6"/>
      <c r="O89" s="6"/>
      <c r="P89" s="103"/>
      <c r="Q89" s="6"/>
      <c r="R89" s="67" t="str">
        <f>IF(B89="","",IF(AND(G89&lt;&gt;"",COUNTIF(INVOICE_PIUTANG!$A$5:$A$151,G89)=0),"INVOICE BELUM TERDAFTAR",IF(AND(D89&lt;&gt;"",E89="ID TIDAK TERDAFTAR"),"PERKARA TIDAK VALID",IF(K89="","AKUN BELUM DIISI",IF(AND(G89&lt;&gt;"",D89&lt;&gt;IFERROR(INDEX(INVOICE_PIUTANG!$D$5:$D$151,MATCH(G89,INVOICE_PIUTANG!$A$5:$A$151,0)),"")),"PERKARA TIDAK SESUAI INVOICE",IF(V89&lt;&gt;"LENGKAP","PENERIMAAN BELUM DIKONFIRMASI","OK"))))))</f>
        <v/>
      </c>
      <c r="S89" s="98"/>
      <c r="T89" s="105"/>
      <c r="U89" s="98"/>
      <c r="V89" s="104" t="str">
        <f t="shared" si="14"/>
        <v/>
      </c>
    </row>
    <row r="90" spans="1:22">
      <c r="A90" s="9" t="str">
        <f t="shared" si="10"/>
        <v/>
      </c>
      <c r="B90" s="80"/>
      <c r="C90" s="9" t="str">
        <f t="shared" si="11"/>
        <v/>
      </c>
      <c r="D90" s="46" t="str">
        <f>IF(G90="","",IFERROR(INDEX(INVOICE_PIUTANG!$D$5:$D$151,MATCH(G90,INVOICE_PIUTANG!$A$5:$A$151,0)),""))</f>
        <v/>
      </c>
      <c r="E90" s="47" t="str">
        <f>IF(D90="","",IFERROR(INDEX(PERKARA!$B$5:$B$104,MATCH(D90,PERKARA!$A$5:$A$104,0)),"ID TIDAK TERDAFTAR"))</f>
        <v/>
      </c>
      <c r="F90" s="6"/>
      <c r="G90" s="6"/>
      <c r="H90" s="72"/>
      <c r="I90" s="72"/>
      <c r="J90" s="73" t="str">
        <f t="shared" si="12"/>
        <v/>
      </c>
      <c r="K90" s="6"/>
      <c r="L90" s="6"/>
      <c r="M90" s="9" t="str">
        <f t="shared" si="13"/>
        <v/>
      </c>
      <c r="N90" s="6"/>
      <c r="O90" s="6"/>
      <c r="P90" s="103"/>
      <c r="Q90" s="6"/>
      <c r="R90" s="67" t="str">
        <f>IF(B90="","",IF(AND(G90&lt;&gt;"",COUNTIF(INVOICE_PIUTANG!$A$5:$A$151,G90)=0),"INVOICE BELUM TERDAFTAR",IF(AND(D90&lt;&gt;"",E90="ID TIDAK TERDAFTAR"),"PERKARA TIDAK VALID",IF(K90="","AKUN BELUM DIISI",IF(AND(G90&lt;&gt;"",D90&lt;&gt;IFERROR(INDEX(INVOICE_PIUTANG!$D$5:$D$151,MATCH(G90,INVOICE_PIUTANG!$A$5:$A$151,0)),"")),"PERKARA TIDAK SESUAI INVOICE",IF(V90&lt;&gt;"LENGKAP","PENERIMAAN BELUM DIKONFIRMASI","OK"))))))</f>
        <v/>
      </c>
      <c r="S90" s="98"/>
      <c r="T90" s="105"/>
      <c r="U90" s="98"/>
      <c r="V90" s="104" t="str">
        <f t="shared" si="14"/>
        <v/>
      </c>
    </row>
    <row r="91" spans="1:22">
      <c r="A91" s="9" t="str">
        <f t="shared" si="10"/>
        <v/>
      </c>
      <c r="B91" s="80"/>
      <c r="C91" s="9" t="str">
        <f t="shared" si="11"/>
        <v/>
      </c>
      <c r="D91" s="46" t="str">
        <f>IF(G91="","",IFERROR(INDEX(INVOICE_PIUTANG!$D$5:$D$151,MATCH(G91,INVOICE_PIUTANG!$A$5:$A$151,0)),""))</f>
        <v/>
      </c>
      <c r="E91" s="47" t="str">
        <f>IF(D91="","",IFERROR(INDEX(PERKARA!$B$5:$B$104,MATCH(D91,PERKARA!$A$5:$A$104,0)),"ID TIDAK TERDAFTAR"))</f>
        <v/>
      </c>
      <c r="F91" s="6"/>
      <c r="G91" s="6"/>
      <c r="H91" s="72"/>
      <c r="I91" s="72"/>
      <c r="J91" s="73" t="str">
        <f t="shared" si="12"/>
        <v/>
      </c>
      <c r="K91" s="6"/>
      <c r="L91" s="6"/>
      <c r="M91" s="9" t="str">
        <f t="shared" si="13"/>
        <v/>
      </c>
      <c r="N91" s="6"/>
      <c r="O91" s="6"/>
      <c r="P91" s="103"/>
      <c r="Q91" s="6"/>
      <c r="R91" s="67" t="str">
        <f>IF(B91="","",IF(AND(G91&lt;&gt;"",COUNTIF(INVOICE_PIUTANG!$A$5:$A$151,G91)=0),"INVOICE BELUM TERDAFTAR",IF(AND(D91&lt;&gt;"",E91="ID TIDAK TERDAFTAR"),"PERKARA TIDAK VALID",IF(K91="","AKUN BELUM DIISI",IF(AND(G91&lt;&gt;"",D91&lt;&gt;IFERROR(INDEX(INVOICE_PIUTANG!$D$5:$D$151,MATCH(G91,INVOICE_PIUTANG!$A$5:$A$151,0)),"")),"PERKARA TIDAK SESUAI INVOICE",IF(V91&lt;&gt;"LENGKAP","PENERIMAAN BELUM DIKONFIRMASI","OK"))))))</f>
        <v/>
      </c>
      <c r="S91" s="98"/>
      <c r="T91" s="105"/>
      <c r="U91" s="98"/>
      <c r="V91" s="104" t="str">
        <f t="shared" si="14"/>
        <v/>
      </c>
    </row>
    <row r="92" spans="1:22">
      <c r="A92" s="9" t="str">
        <f t="shared" si="10"/>
        <v/>
      </c>
      <c r="B92" s="80"/>
      <c r="C92" s="9" t="str">
        <f t="shared" si="11"/>
        <v/>
      </c>
      <c r="D92" s="46" t="str">
        <f>IF(G92="","",IFERROR(INDEX(INVOICE_PIUTANG!$D$5:$D$151,MATCH(G92,INVOICE_PIUTANG!$A$5:$A$151,0)),""))</f>
        <v/>
      </c>
      <c r="E92" s="47" t="str">
        <f>IF(D92="","",IFERROR(INDEX(PERKARA!$B$5:$B$104,MATCH(D92,PERKARA!$A$5:$A$104,0)),"ID TIDAK TERDAFTAR"))</f>
        <v/>
      </c>
      <c r="F92" s="6"/>
      <c r="G92" s="6"/>
      <c r="H92" s="72"/>
      <c r="I92" s="72"/>
      <c r="J92" s="73" t="str">
        <f t="shared" si="12"/>
        <v/>
      </c>
      <c r="K92" s="6"/>
      <c r="L92" s="6"/>
      <c r="M92" s="9" t="str">
        <f t="shared" si="13"/>
        <v/>
      </c>
      <c r="N92" s="6"/>
      <c r="O92" s="6"/>
      <c r="P92" s="103"/>
      <c r="Q92" s="6"/>
      <c r="R92" s="67" t="str">
        <f>IF(B92="","",IF(AND(G92&lt;&gt;"",COUNTIF(INVOICE_PIUTANG!$A$5:$A$151,G92)=0),"INVOICE BELUM TERDAFTAR",IF(AND(D92&lt;&gt;"",E92="ID TIDAK TERDAFTAR"),"PERKARA TIDAK VALID",IF(K92="","AKUN BELUM DIISI",IF(AND(G92&lt;&gt;"",D92&lt;&gt;IFERROR(INDEX(INVOICE_PIUTANG!$D$5:$D$151,MATCH(G92,INVOICE_PIUTANG!$A$5:$A$151,0)),"")),"PERKARA TIDAK SESUAI INVOICE",IF(V92&lt;&gt;"LENGKAP","PENERIMAAN BELUM DIKONFIRMASI","OK"))))))</f>
        <v/>
      </c>
      <c r="S92" s="98"/>
      <c r="T92" s="105"/>
      <c r="U92" s="98"/>
      <c r="V92" s="104" t="str">
        <f t="shared" si="14"/>
        <v/>
      </c>
    </row>
    <row r="93" spans="1:22">
      <c r="A93" s="9" t="str">
        <f t="shared" si="10"/>
        <v/>
      </c>
      <c r="B93" s="80"/>
      <c r="C93" s="9" t="str">
        <f t="shared" si="11"/>
        <v/>
      </c>
      <c r="D93" s="46" t="str">
        <f>IF(G93="","",IFERROR(INDEX(INVOICE_PIUTANG!$D$5:$D$151,MATCH(G93,INVOICE_PIUTANG!$A$5:$A$151,0)),""))</f>
        <v/>
      </c>
      <c r="E93" s="47" t="str">
        <f>IF(D93="","",IFERROR(INDEX(PERKARA!$B$5:$B$104,MATCH(D93,PERKARA!$A$5:$A$104,0)),"ID TIDAK TERDAFTAR"))</f>
        <v/>
      </c>
      <c r="F93" s="6"/>
      <c r="G93" s="6"/>
      <c r="H93" s="72"/>
      <c r="I93" s="72"/>
      <c r="J93" s="73" t="str">
        <f t="shared" si="12"/>
        <v/>
      </c>
      <c r="K93" s="6"/>
      <c r="L93" s="6"/>
      <c r="M93" s="9" t="str">
        <f t="shared" si="13"/>
        <v/>
      </c>
      <c r="N93" s="6"/>
      <c r="O93" s="6"/>
      <c r="P93" s="103"/>
      <c r="Q93" s="6"/>
      <c r="R93" s="67" t="str">
        <f>IF(B93="","",IF(AND(G93&lt;&gt;"",COUNTIF(INVOICE_PIUTANG!$A$5:$A$151,G93)=0),"INVOICE BELUM TERDAFTAR",IF(AND(D93&lt;&gt;"",E93="ID TIDAK TERDAFTAR"),"PERKARA TIDAK VALID",IF(K93="","AKUN BELUM DIISI",IF(AND(G93&lt;&gt;"",D93&lt;&gt;IFERROR(INDEX(INVOICE_PIUTANG!$D$5:$D$151,MATCH(G93,INVOICE_PIUTANG!$A$5:$A$151,0)),"")),"PERKARA TIDAK SESUAI INVOICE",IF(V93&lt;&gt;"LENGKAP","PENERIMAAN BELUM DIKONFIRMASI","OK"))))))</f>
        <v/>
      </c>
      <c r="S93" s="98"/>
      <c r="T93" s="105"/>
      <c r="U93" s="98"/>
      <c r="V93" s="104" t="str">
        <f t="shared" si="14"/>
        <v/>
      </c>
    </row>
    <row r="94" spans="1:22">
      <c r="A94" s="9" t="str">
        <f t="shared" si="10"/>
        <v/>
      </c>
      <c r="B94" s="80"/>
      <c r="C94" s="9" t="str">
        <f t="shared" si="11"/>
        <v/>
      </c>
      <c r="D94" s="46" t="str">
        <f>IF(G94="","",IFERROR(INDEX(INVOICE_PIUTANG!$D$5:$D$151,MATCH(G94,INVOICE_PIUTANG!$A$5:$A$151,0)),""))</f>
        <v/>
      </c>
      <c r="E94" s="47" t="str">
        <f>IF(D94="","",IFERROR(INDEX(PERKARA!$B$5:$B$104,MATCH(D94,PERKARA!$A$5:$A$104,0)),"ID TIDAK TERDAFTAR"))</f>
        <v/>
      </c>
      <c r="F94" s="6"/>
      <c r="G94" s="6"/>
      <c r="H94" s="72"/>
      <c r="I94" s="72"/>
      <c r="J94" s="73" t="str">
        <f t="shared" si="12"/>
        <v/>
      </c>
      <c r="K94" s="6"/>
      <c r="L94" s="6"/>
      <c r="M94" s="9" t="str">
        <f t="shared" si="13"/>
        <v/>
      </c>
      <c r="N94" s="6"/>
      <c r="O94" s="6"/>
      <c r="P94" s="103"/>
      <c r="Q94" s="6"/>
      <c r="R94" s="67" t="str">
        <f>IF(B94="","",IF(AND(G94&lt;&gt;"",COUNTIF(INVOICE_PIUTANG!$A$5:$A$151,G94)=0),"INVOICE BELUM TERDAFTAR",IF(AND(D94&lt;&gt;"",E94="ID TIDAK TERDAFTAR"),"PERKARA TIDAK VALID",IF(K94="","AKUN BELUM DIISI",IF(AND(G94&lt;&gt;"",D94&lt;&gt;IFERROR(INDEX(INVOICE_PIUTANG!$D$5:$D$151,MATCH(G94,INVOICE_PIUTANG!$A$5:$A$151,0)),"")),"PERKARA TIDAK SESUAI INVOICE",IF(V94&lt;&gt;"LENGKAP","PENERIMAAN BELUM DIKONFIRMASI","OK"))))))</f>
        <v/>
      </c>
      <c r="S94" s="98"/>
      <c r="T94" s="105"/>
      <c r="U94" s="98"/>
      <c r="V94" s="104" t="str">
        <f t="shared" si="14"/>
        <v/>
      </c>
    </row>
    <row r="95" spans="1:22">
      <c r="A95" s="9" t="str">
        <f t="shared" si="10"/>
        <v/>
      </c>
      <c r="B95" s="80"/>
      <c r="C95" s="9" t="str">
        <f t="shared" si="11"/>
        <v/>
      </c>
      <c r="D95" s="46" t="str">
        <f>IF(G95="","",IFERROR(INDEX(INVOICE_PIUTANG!$D$5:$D$151,MATCH(G95,INVOICE_PIUTANG!$A$5:$A$151,0)),""))</f>
        <v/>
      </c>
      <c r="E95" s="47" t="str">
        <f>IF(D95="","",IFERROR(INDEX(PERKARA!$B$5:$B$104,MATCH(D95,PERKARA!$A$5:$A$104,0)),"ID TIDAK TERDAFTAR"))</f>
        <v/>
      </c>
      <c r="F95" s="6"/>
      <c r="G95" s="6"/>
      <c r="H95" s="72"/>
      <c r="I95" s="72"/>
      <c r="J95" s="73" t="str">
        <f t="shared" si="12"/>
        <v/>
      </c>
      <c r="K95" s="6"/>
      <c r="L95" s="6"/>
      <c r="M95" s="9" t="str">
        <f t="shared" si="13"/>
        <v/>
      </c>
      <c r="N95" s="6"/>
      <c r="O95" s="6"/>
      <c r="P95" s="103"/>
      <c r="Q95" s="6"/>
      <c r="R95" s="67" t="str">
        <f>IF(B95="","",IF(AND(G95&lt;&gt;"",COUNTIF(INVOICE_PIUTANG!$A$5:$A$151,G95)=0),"INVOICE BELUM TERDAFTAR",IF(AND(D95&lt;&gt;"",E95="ID TIDAK TERDAFTAR"),"PERKARA TIDAK VALID",IF(K95="","AKUN BELUM DIISI",IF(AND(G95&lt;&gt;"",D95&lt;&gt;IFERROR(INDEX(INVOICE_PIUTANG!$D$5:$D$151,MATCH(G95,INVOICE_PIUTANG!$A$5:$A$151,0)),"")),"PERKARA TIDAK SESUAI INVOICE",IF(V95&lt;&gt;"LENGKAP","PENERIMAAN BELUM DIKONFIRMASI","OK"))))))</f>
        <v/>
      </c>
      <c r="S95" s="98"/>
      <c r="T95" s="105"/>
      <c r="U95" s="98"/>
      <c r="V95" s="104" t="str">
        <f t="shared" si="14"/>
        <v/>
      </c>
    </row>
    <row r="96" spans="1:22">
      <c r="A96" s="9" t="str">
        <f t="shared" si="10"/>
        <v/>
      </c>
      <c r="B96" s="80"/>
      <c r="C96" s="9" t="str">
        <f t="shared" si="11"/>
        <v/>
      </c>
      <c r="D96" s="46" t="str">
        <f>IF(G96="","",IFERROR(INDEX(INVOICE_PIUTANG!$D$5:$D$151,MATCH(G96,INVOICE_PIUTANG!$A$5:$A$151,0)),""))</f>
        <v/>
      </c>
      <c r="E96" s="47" t="str">
        <f>IF(D96="","",IFERROR(INDEX(PERKARA!$B$5:$B$104,MATCH(D96,PERKARA!$A$5:$A$104,0)),"ID TIDAK TERDAFTAR"))</f>
        <v/>
      </c>
      <c r="F96" s="6"/>
      <c r="G96" s="6"/>
      <c r="H96" s="72"/>
      <c r="I96" s="72"/>
      <c r="J96" s="73" t="str">
        <f t="shared" si="12"/>
        <v/>
      </c>
      <c r="K96" s="6"/>
      <c r="L96" s="6"/>
      <c r="M96" s="9" t="str">
        <f t="shared" si="13"/>
        <v/>
      </c>
      <c r="N96" s="6"/>
      <c r="O96" s="6"/>
      <c r="P96" s="103"/>
      <c r="Q96" s="6"/>
      <c r="R96" s="67" t="str">
        <f>IF(B96="","",IF(AND(G96&lt;&gt;"",COUNTIF(INVOICE_PIUTANG!$A$5:$A$151,G96)=0),"INVOICE BELUM TERDAFTAR",IF(AND(D96&lt;&gt;"",E96="ID TIDAK TERDAFTAR"),"PERKARA TIDAK VALID",IF(K96="","AKUN BELUM DIISI",IF(AND(G96&lt;&gt;"",D96&lt;&gt;IFERROR(INDEX(INVOICE_PIUTANG!$D$5:$D$151,MATCH(G96,INVOICE_PIUTANG!$A$5:$A$151,0)),"")),"PERKARA TIDAK SESUAI INVOICE",IF(V96&lt;&gt;"LENGKAP","PENERIMAAN BELUM DIKONFIRMASI","OK"))))))</f>
        <v/>
      </c>
      <c r="S96" s="98"/>
      <c r="T96" s="105"/>
      <c r="U96" s="98"/>
      <c r="V96" s="104" t="str">
        <f t="shared" si="14"/>
        <v/>
      </c>
    </row>
    <row r="97" spans="1:22">
      <c r="A97" s="9" t="str">
        <f t="shared" si="10"/>
        <v/>
      </c>
      <c r="B97" s="80"/>
      <c r="C97" s="9" t="str">
        <f t="shared" si="11"/>
        <v/>
      </c>
      <c r="D97" s="46" t="str">
        <f>IF(G97="","",IFERROR(INDEX(INVOICE_PIUTANG!$D$5:$D$151,MATCH(G97,INVOICE_PIUTANG!$A$5:$A$151,0)),""))</f>
        <v/>
      </c>
      <c r="E97" s="47" t="str">
        <f>IF(D97="","",IFERROR(INDEX(PERKARA!$B$5:$B$104,MATCH(D97,PERKARA!$A$5:$A$104,0)),"ID TIDAK TERDAFTAR"))</f>
        <v/>
      </c>
      <c r="F97" s="6"/>
      <c r="G97" s="6"/>
      <c r="H97" s="72"/>
      <c r="I97" s="72"/>
      <c r="J97" s="73" t="str">
        <f t="shared" si="12"/>
        <v/>
      </c>
      <c r="K97" s="6"/>
      <c r="L97" s="6"/>
      <c r="M97" s="9" t="str">
        <f t="shared" si="13"/>
        <v/>
      </c>
      <c r="N97" s="6"/>
      <c r="O97" s="6"/>
      <c r="P97" s="103"/>
      <c r="Q97" s="6"/>
      <c r="R97" s="67" t="str">
        <f>IF(B97="","",IF(AND(G97&lt;&gt;"",COUNTIF(INVOICE_PIUTANG!$A$5:$A$151,G97)=0),"INVOICE BELUM TERDAFTAR",IF(AND(D97&lt;&gt;"",E97="ID TIDAK TERDAFTAR"),"PERKARA TIDAK VALID",IF(K97="","AKUN BELUM DIISI",IF(AND(G97&lt;&gt;"",D97&lt;&gt;IFERROR(INDEX(INVOICE_PIUTANG!$D$5:$D$151,MATCH(G97,INVOICE_PIUTANG!$A$5:$A$151,0)),"")),"PERKARA TIDAK SESUAI INVOICE",IF(V97&lt;&gt;"LENGKAP","PENERIMAAN BELUM DIKONFIRMASI","OK"))))))</f>
        <v/>
      </c>
      <c r="S97" s="98"/>
      <c r="T97" s="105"/>
      <c r="U97" s="98"/>
      <c r="V97" s="104" t="str">
        <f t="shared" si="14"/>
        <v/>
      </c>
    </row>
    <row r="98" spans="1:22">
      <c r="A98" s="9" t="str">
        <f t="shared" si="10"/>
        <v/>
      </c>
      <c r="B98" s="80"/>
      <c r="C98" s="9" t="str">
        <f t="shared" si="11"/>
        <v/>
      </c>
      <c r="D98" s="46" t="str">
        <f>IF(G98="","",IFERROR(INDEX(INVOICE_PIUTANG!$D$5:$D$151,MATCH(G98,INVOICE_PIUTANG!$A$5:$A$151,0)),""))</f>
        <v/>
      </c>
      <c r="E98" s="47" t="str">
        <f>IF(D98="","",IFERROR(INDEX(PERKARA!$B$5:$B$104,MATCH(D98,PERKARA!$A$5:$A$104,0)),"ID TIDAK TERDAFTAR"))</f>
        <v/>
      </c>
      <c r="F98" s="6"/>
      <c r="G98" s="6"/>
      <c r="H98" s="72"/>
      <c r="I98" s="72"/>
      <c r="J98" s="73" t="str">
        <f t="shared" si="12"/>
        <v/>
      </c>
      <c r="K98" s="6"/>
      <c r="L98" s="6"/>
      <c r="M98" s="9" t="str">
        <f t="shared" si="13"/>
        <v/>
      </c>
      <c r="N98" s="6"/>
      <c r="O98" s="6"/>
      <c r="P98" s="103"/>
      <c r="Q98" s="6"/>
      <c r="R98" s="67" t="str">
        <f>IF(B98="","",IF(AND(G98&lt;&gt;"",COUNTIF(INVOICE_PIUTANG!$A$5:$A$151,G98)=0),"INVOICE BELUM TERDAFTAR",IF(AND(D98&lt;&gt;"",E98="ID TIDAK TERDAFTAR"),"PERKARA TIDAK VALID",IF(K98="","AKUN BELUM DIISI",IF(AND(G98&lt;&gt;"",D98&lt;&gt;IFERROR(INDEX(INVOICE_PIUTANG!$D$5:$D$151,MATCH(G98,INVOICE_PIUTANG!$A$5:$A$151,0)),"")),"PERKARA TIDAK SESUAI INVOICE",IF(V98&lt;&gt;"LENGKAP","PENERIMAAN BELUM DIKONFIRMASI","OK"))))))</f>
        <v/>
      </c>
      <c r="S98" s="98"/>
      <c r="T98" s="105"/>
      <c r="U98" s="98"/>
      <c r="V98" s="104" t="str">
        <f t="shared" si="14"/>
        <v/>
      </c>
    </row>
    <row r="99" spans="1:22">
      <c r="A99" s="9" t="str">
        <f t="shared" si="10"/>
        <v/>
      </c>
      <c r="B99" s="80"/>
      <c r="C99" s="9" t="str">
        <f t="shared" si="11"/>
        <v/>
      </c>
      <c r="D99" s="46" t="str">
        <f>IF(G99="","",IFERROR(INDEX(INVOICE_PIUTANG!$D$5:$D$151,MATCH(G99,INVOICE_PIUTANG!$A$5:$A$151,0)),""))</f>
        <v/>
      </c>
      <c r="E99" s="47" t="str">
        <f>IF(D99="","",IFERROR(INDEX(PERKARA!$B$5:$B$104,MATCH(D99,PERKARA!$A$5:$A$104,0)),"ID TIDAK TERDAFTAR"))</f>
        <v/>
      </c>
      <c r="F99" s="6"/>
      <c r="G99" s="6"/>
      <c r="H99" s="72"/>
      <c r="I99" s="72"/>
      <c r="J99" s="73" t="str">
        <f t="shared" si="12"/>
        <v/>
      </c>
      <c r="K99" s="6"/>
      <c r="L99" s="6"/>
      <c r="M99" s="9" t="str">
        <f t="shared" si="13"/>
        <v/>
      </c>
      <c r="N99" s="6"/>
      <c r="O99" s="6"/>
      <c r="P99" s="103"/>
      <c r="Q99" s="6"/>
      <c r="R99" s="67" t="str">
        <f>IF(B99="","",IF(AND(G99&lt;&gt;"",COUNTIF(INVOICE_PIUTANG!$A$5:$A$151,G99)=0),"INVOICE BELUM TERDAFTAR",IF(AND(D99&lt;&gt;"",E99="ID TIDAK TERDAFTAR"),"PERKARA TIDAK VALID",IF(K99="","AKUN BELUM DIISI",IF(AND(G99&lt;&gt;"",D99&lt;&gt;IFERROR(INDEX(INVOICE_PIUTANG!$D$5:$D$151,MATCH(G99,INVOICE_PIUTANG!$A$5:$A$151,0)),"")),"PERKARA TIDAK SESUAI INVOICE",IF(V99&lt;&gt;"LENGKAP","PENERIMAAN BELUM DIKONFIRMASI","OK"))))))</f>
        <v/>
      </c>
      <c r="S99" s="98"/>
      <c r="T99" s="105"/>
      <c r="U99" s="98"/>
      <c r="V99" s="104" t="str">
        <f t="shared" si="14"/>
        <v/>
      </c>
    </row>
    <row r="100" spans="1:22">
      <c r="A100" s="9" t="str">
        <f t="shared" si="10"/>
        <v/>
      </c>
      <c r="B100" s="80"/>
      <c r="C100" s="9" t="str">
        <f t="shared" si="11"/>
        <v/>
      </c>
      <c r="D100" s="46" t="str">
        <f>IF(G100="","",IFERROR(INDEX(INVOICE_PIUTANG!$D$5:$D$151,MATCH(G100,INVOICE_PIUTANG!$A$5:$A$151,0)),""))</f>
        <v/>
      </c>
      <c r="E100" s="47" t="str">
        <f>IF(D100="","",IFERROR(INDEX(PERKARA!$B$5:$B$104,MATCH(D100,PERKARA!$A$5:$A$104,0)),"ID TIDAK TERDAFTAR"))</f>
        <v/>
      </c>
      <c r="F100" s="6"/>
      <c r="G100" s="6"/>
      <c r="H100" s="72"/>
      <c r="I100" s="72"/>
      <c r="J100" s="73" t="str">
        <f t="shared" si="12"/>
        <v/>
      </c>
      <c r="K100" s="6"/>
      <c r="L100" s="6"/>
      <c r="M100" s="9" t="str">
        <f t="shared" si="13"/>
        <v/>
      </c>
      <c r="N100" s="6"/>
      <c r="O100" s="6"/>
      <c r="P100" s="103"/>
      <c r="Q100" s="6"/>
      <c r="R100" s="67" t="str">
        <f>IF(B100="","",IF(AND(G100&lt;&gt;"",COUNTIF(INVOICE_PIUTANG!$A$5:$A$151,G100)=0),"INVOICE BELUM TERDAFTAR",IF(AND(D100&lt;&gt;"",E100="ID TIDAK TERDAFTAR"),"PERKARA TIDAK VALID",IF(K100="","AKUN BELUM DIISI",IF(AND(G100&lt;&gt;"",D100&lt;&gt;IFERROR(INDEX(INVOICE_PIUTANG!$D$5:$D$151,MATCH(G100,INVOICE_PIUTANG!$A$5:$A$151,0)),"")),"PERKARA TIDAK SESUAI INVOICE",IF(V100&lt;&gt;"LENGKAP","PENERIMAAN BELUM DIKONFIRMASI","OK"))))))</f>
        <v/>
      </c>
      <c r="S100" s="98"/>
      <c r="T100" s="105"/>
      <c r="U100" s="98"/>
      <c r="V100" s="104" t="str">
        <f t="shared" si="14"/>
        <v/>
      </c>
    </row>
    <row r="101" spans="1:22">
      <c r="A101" s="9" t="str">
        <f t="shared" ref="A101:A132" si="15">IF(B101="","",IFERROR("INC-"&amp;TEXT(B101,"yyyymmdd")&amp;"-"&amp;TEXT(ROW()-4,"000"),"TANGGAL TIDAK VALID"))</f>
        <v/>
      </c>
      <c r="B101" s="80"/>
      <c r="C101" s="9" t="str">
        <f t="shared" ref="C101:C132" si="16">IF(B101="","",IFERROR(TEXT(B101,"yyyy-mm"),"TANGGAL TIDAK VALID"))</f>
        <v/>
      </c>
      <c r="D101" s="46" t="str">
        <f>IF(G101="","",IFERROR(INDEX(INVOICE_PIUTANG!$D$5:$D$151,MATCH(G101,INVOICE_PIUTANG!$A$5:$A$151,0)),""))</f>
        <v/>
      </c>
      <c r="E101" s="47" t="str">
        <f>IF(D101="","",IFERROR(INDEX(PERKARA!$B$5:$B$104,MATCH(D101,PERKARA!$A$5:$A$104,0)),"ID TIDAK TERDAFTAR"))</f>
        <v/>
      </c>
      <c r="F101" s="6"/>
      <c r="G101" s="6"/>
      <c r="H101" s="72"/>
      <c r="I101" s="72"/>
      <c r="J101" s="73" t="str">
        <f t="shared" ref="J101:J132" si="17">IF(B101="","",MAX(H101-I101,0))</f>
        <v/>
      </c>
      <c r="K101" s="6"/>
      <c r="L101" s="6"/>
      <c r="M101" s="9" t="str">
        <f t="shared" ref="M101:M132" si="18">IF(F101="","",IF(F101="Reimburse dari Klien","Penggantian Biaya",IF(F101="Dana Titipan Klien","Dana Klien",IF(F101="Setoran Modal Partner","Modal Partner",IF(F101="Pinjaman","Pinjaman","Pendapatan Operasional")))))</f>
        <v/>
      </c>
      <c r="N101" s="6"/>
      <c r="O101" s="6"/>
      <c r="P101" s="103"/>
      <c r="Q101" s="6"/>
      <c r="R101" s="67" t="str">
        <f>IF(B101="","",IF(AND(G101&lt;&gt;"",COUNTIF(INVOICE_PIUTANG!$A$5:$A$151,G101)=0),"INVOICE BELUM TERDAFTAR",IF(AND(D101&lt;&gt;"",E101="ID TIDAK TERDAFTAR"),"PERKARA TIDAK VALID",IF(K101="","AKUN BELUM DIISI",IF(AND(G101&lt;&gt;"",D101&lt;&gt;IFERROR(INDEX(INVOICE_PIUTANG!$D$5:$D$151,MATCH(G101,INVOICE_PIUTANG!$A$5:$A$151,0)),"")),"PERKARA TIDAK SESUAI INVOICE",IF(V101&lt;&gt;"LENGKAP","PENERIMAAN BELUM DIKONFIRMASI","OK"))))))</f>
        <v/>
      </c>
      <c r="S101" s="98"/>
      <c r="T101" s="105"/>
      <c r="U101" s="98"/>
      <c r="V101" s="104" t="str">
        <f t="shared" ref="V101:V132" si="19">IF(B101="","",IF(S101="Ditolak","DITOLAK",IF(AND(S101="Dikonfirmasi",P101&lt;&gt;""),"LENGKAP",IF(S101="Dikonfirmasi","NAMA PENYETUJU BELUM DIISI","MENUNGGU KONFIRMASI MANUAL"))))</f>
        <v/>
      </c>
    </row>
    <row r="102" spans="1:22">
      <c r="A102" s="9" t="str">
        <f t="shared" si="15"/>
        <v/>
      </c>
      <c r="B102" s="80"/>
      <c r="C102" s="9" t="str">
        <f t="shared" si="16"/>
        <v/>
      </c>
      <c r="D102" s="46" t="str">
        <f>IF(G102="","",IFERROR(INDEX(INVOICE_PIUTANG!$D$5:$D$151,MATCH(G102,INVOICE_PIUTANG!$A$5:$A$151,0)),""))</f>
        <v/>
      </c>
      <c r="E102" s="47" t="str">
        <f>IF(D102="","",IFERROR(INDEX(PERKARA!$B$5:$B$104,MATCH(D102,PERKARA!$A$5:$A$104,0)),"ID TIDAK TERDAFTAR"))</f>
        <v/>
      </c>
      <c r="F102" s="6"/>
      <c r="G102" s="6"/>
      <c r="H102" s="72"/>
      <c r="I102" s="72"/>
      <c r="J102" s="73" t="str">
        <f t="shared" si="17"/>
        <v/>
      </c>
      <c r="K102" s="6"/>
      <c r="L102" s="6"/>
      <c r="M102" s="9" t="str">
        <f t="shared" si="18"/>
        <v/>
      </c>
      <c r="N102" s="6"/>
      <c r="O102" s="6"/>
      <c r="P102" s="103"/>
      <c r="Q102" s="6"/>
      <c r="R102" s="67" t="str">
        <f>IF(B102="","",IF(AND(G102&lt;&gt;"",COUNTIF(INVOICE_PIUTANG!$A$5:$A$151,G102)=0),"INVOICE BELUM TERDAFTAR",IF(AND(D102&lt;&gt;"",E102="ID TIDAK TERDAFTAR"),"PERKARA TIDAK VALID",IF(K102="","AKUN BELUM DIISI",IF(AND(G102&lt;&gt;"",D102&lt;&gt;IFERROR(INDEX(INVOICE_PIUTANG!$D$5:$D$151,MATCH(G102,INVOICE_PIUTANG!$A$5:$A$151,0)),"")),"PERKARA TIDAK SESUAI INVOICE",IF(V102&lt;&gt;"LENGKAP","PENERIMAAN BELUM DIKONFIRMASI","OK"))))))</f>
        <v/>
      </c>
      <c r="S102" s="98"/>
      <c r="T102" s="105"/>
      <c r="U102" s="98"/>
      <c r="V102" s="104" t="str">
        <f t="shared" si="19"/>
        <v/>
      </c>
    </row>
    <row r="103" spans="1:22">
      <c r="A103" s="9" t="str">
        <f t="shared" si="15"/>
        <v/>
      </c>
      <c r="B103" s="80"/>
      <c r="C103" s="9" t="str">
        <f t="shared" si="16"/>
        <v/>
      </c>
      <c r="D103" s="46" t="str">
        <f>IF(G103="","",IFERROR(INDEX(INVOICE_PIUTANG!$D$5:$D$151,MATCH(G103,INVOICE_PIUTANG!$A$5:$A$151,0)),""))</f>
        <v/>
      </c>
      <c r="E103" s="47" t="str">
        <f>IF(D103="","",IFERROR(INDEX(PERKARA!$B$5:$B$104,MATCH(D103,PERKARA!$A$5:$A$104,0)),"ID TIDAK TERDAFTAR"))</f>
        <v/>
      </c>
      <c r="F103" s="6"/>
      <c r="G103" s="6"/>
      <c r="H103" s="72"/>
      <c r="I103" s="72"/>
      <c r="J103" s="73" t="str">
        <f t="shared" si="17"/>
        <v/>
      </c>
      <c r="K103" s="6"/>
      <c r="L103" s="6"/>
      <c r="M103" s="9" t="str">
        <f t="shared" si="18"/>
        <v/>
      </c>
      <c r="N103" s="6"/>
      <c r="O103" s="6"/>
      <c r="P103" s="103"/>
      <c r="Q103" s="6"/>
      <c r="R103" s="67" t="str">
        <f>IF(B103="","",IF(AND(G103&lt;&gt;"",COUNTIF(INVOICE_PIUTANG!$A$5:$A$151,G103)=0),"INVOICE BELUM TERDAFTAR",IF(AND(D103&lt;&gt;"",E103="ID TIDAK TERDAFTAR"),"PERKARA TIDAK VALID",IF(K103="","AKUN BELUM DIISI",IF(AND(G103&lt;&gt;"",D103&lt;&gt;IFERROR(INDEX(INVOICE_PIUTANG!$D$5:$D$151,MATCH(G103,INVOICE_PIUTANG!$A$5:$A$151,0)),"")),"PERKARA TIDAK SESUAI INVOICE",IF(V103&lt;&gt;"LENGKAP","PENERIMAAN BELUM DIKONFIRMASI","OK"))))))</f>
        <v/>
      </c>
      <c r="S103" s="98"/>
      <c r="T103" s="105"/>
      <c r="U103" s="98"/>
      <c r="V103" s="104" t="str">
        <f t="shared" si="19"/>
        <v/>
      </c>
    </row>
    <row r="104" spans="1:22">
      <c r="A104" s="9" t="str">
        <f t="shared" si="15"/>
        <v/>
      </c>
      <c r="B104" s="80"/>
      <c r="C104" s="9" t="str">
        <f t="shared" si="16"/>
        <v/>
      </c>
      <c r="D104" s="46" t="str">
        <f>IF(G104="","",IFERROR(INDEX(INVOICE_PIUTANG!$D$5:$D$151,MATCH(G104,INVOICE_PIUTANG!$A$5:$A$151,0)),""))</f>
        <v/>
      </c>
      <c r="E104" s="47" t="str">
        <f>IF(D104="","",IFERROR(INDEX(PERKARA!$B$5:$B$104,MATCH(D104,PERKARA!$A$5:$A$104,0)),"ID TIDAK TERDAFTAR"))</f>
        <v/>
      </c>
      <c r="F104" s="6"/>
      <c r="G104" s="6"/>
      <c r="H104" s="72"/>
      <c r="I104" s="72"/>
      <c r="J104" s="73" t="str">
        <f t="shared" si="17"/>
        <v/>
      </c>
      <c r="K104" s="6"/>
      <c r="L104" s="6"/>
      <c r="M104" s="9" t="str">
        <f t="shared" si="18"/>
        <v/>
      </c>
      <c r="N104" s="6"/>
      <c r="O104" s="6"/>
      <c r="P104" s="103"/>
      <c r="Q104" s="6"/>
      <c r="R104" s="67" t="str">
        <f>IF(B104="","",IF(AND(G104&lt;&gt;"",COUNTIF(INVOICE_PIUTANG!$A$5:$A$151,G104)=0),"INVOICE BELUM TERDAFTAR",IF(AND(D104&lt;&gt;"",E104="ID TIDAK TERDAFTAR"),"PERKARA TIDAK VALID",IF(K104="","AKUN BELUM DIISI",IF(AND(G104&lt;&gt;"",D104&lt;&gt;IFERROR(INDEX(INVOICE_PIUTANG!$D$5:$D$151,MATCH(G104,INVOICE_PIUTANG!$A$5:$A$151,0)),"")),"PERKARA TIDAK SESUAI INVOICE",IF(V104&lt;&gt;"LENGKAP","PENERIMAAN BELUM DIKONFIRMASI","OK"))))))</f>
        <v/>
      </c>
      <c r="S104" s="98"/>
      <c r="T104" s="105"/>
      <c r="U104" s="98"/>
      <c r="V104" s="104" t="str">
        <f t="shared" si="19"/>
        <v/>
      </c>
    </row>
    <row r="105" spans="1:22">
      <c r="A105" s="9" t="str">
        <f t="shared" si="15"/>
        <v/>
      </c>
      <c r="B105" s="80"/>
      <c r="C105" s="9" t="str">
        <f t="shared" si="16"/>
        <v/>
      </c>
      <c r="D105" s="46" t="str">
        <f>IF(G105="","",IFERROR(INDEX(INVOICE_PIUTANG!$D$5:$D$151,MATCH(G105,INVOICE_PIUTANG!$A$5:$A$151,0)),""))</f>
        <v/>
      </c>
      <c r="E105" s="47" t="str">
        <f>IF(D105="","",IFERROR(INDEX(PERKARA!$B$5:$B$104,MATCH(D105,PERKARA!$A$5:$A$104,0)),"ID TIDAK TERDAFTAR"))</f>
        <v/>
      </c>
      <c r="F105" s="6"/>
      <c r="G105" s="6"/>
      <c r="H105" s="72"/>
      <c r="I105" s="72"/>
      <c r="J105" s="73" t="str">
        <f t="shared" si="17"/>
        <v/>
      </c>
      <c r="K105" s="6"/>
      <c r="L105" s="6"/>
      <c r="M105" s="9" t="str">
        <f t="shared" si="18"/>
        <v/>
      </c>
      <c r="N105" s="6"/>
      <c r="O105" s="6"/>
      <c r="P105" s="103"/>
      <c r="Q105" s="6"/>
      <c r="R105" s="67" t="str">
        <f>IF(B105="","",IF(AND(G105&lt;&gt;"",COUNTIF(INVOICE_PIUTANG!$A$5:$A$151,G105)=0),"INVOICE BELUM TERDAFTAR",IF(AND(D105&lt;&gt;"",E105="ID TIDAK TERDAFTAR"),"PERKARA TIDAK VALID",IF(K105="","AKUN BELUM DIISI",IF(AND(G105&lt;&gt;"",D105&lt;&gt;IFERROR(INDEX(INVOICE_PIUTANG!$D$5:$D$151,MATCH(G105,INVOICE_PIUTANG!$A$5:$A$151,0)),"")),"PERKARA TIDAK SESUAI INVOICE",IF(V105&lt;&gt;"LENGKAP","PENERIMAAN BELUM DIKONFIRMASI","OK"))))))</f>
        <v/>
      </c>
      <c r="S105" s="98"/>
      <c r="T105" s="105"/>
      <c r="U105" s="98"/>
      <c r="V105" s="104" t="str">
        <f t="shared" si="19"/>
        <v/>
      </c>
    </row>
    <row r="106" spans="1:22">
      <c r="A106" s="9" t="str">
        <f t="shared" si="15"/>
        <v/>
      </c>
      <c r="B106" s="80"/>
      <c r="C106" s="9" t="str">
        <f t="shared" si="16"/>
        <v/>
      </c>
      <c r="D106" s="46" t="str">
        <f>IF(G106="","",IFERROR(INDEX(INVOICE_PIUTANG!$D$5:$D$151,MATCH(G106,INVOICE_PIUTANG!$A$5:$A$151,0)),""))</f>
        <v/>
      </c>
      <c r="E106" s="47" t="str">
        <f>IF(D106="","",IFERROR(INDEX(PERKARA!$B$5:$B$104,MATCH(D106,PERKARA!$A$5:$A$104,0)),"ID TIDAK TERDAFTAR"))</f>
        <v/>
      </c>
      <c r="F106" s="6"/>
      <c r="G106" s="6"/>
      <c r="H106" s="72"/>
      <c r="I106" s="72"/>
      <c r="J106" s="73" t="str">
        <f t="shared" si="17"/>
        <v/>
      </c>
      <c r="K106" s="6"/>
      <c r="L106" s="6"/>
      <c r="M106" s="9" t="str">
        <f t="shared" si="18"/>
        <v/>
      </c>
      <c r="N106" s="6"/>
      <c r="O106" s="6"/>
      <c r="P106" s="103"/>
      <c r="Q106" s="6"/>
      <c r="R106" s="67" t="str">
        <f>IF(B106="","",IF(AND(G106&lt;&gt;"",COUNTIF(INVOICE_PIUTANG!$A$5:$A$151,G106)=0),"INVOICE BELUM TERDAFTAR",IF(AND(D106&lt;&gt;"",E106="ID TIDAK TERDAFTAR"),"PERKARA TIDAK VALID",IF(K106="","AKUN BELUM DIISI",IF(AND(G106&lt;&gt;"",D106&lt;&gt;IFERROR(INDEX(INVOICE_PIUTANG!$D$5:$D$151,MATCH(G106,INVOICE_PIUTANG!$A$5:$A$151,0)),"")),"PERKARA TIDAK SESUAI INVOICE",IF(V106&lt;&gt;"LENGKAP","PENERIMAAN BELUM DIKONFIRMASI","OK"))))))</f>
        <v/>
      </c>
      <c r="S106" s="98"/>
      <c r="T106" s="105"/>
      <c r="U106" s="98"/>
      <c r="V106" s="104" t="str">
        <f t="shared" si="19"/>
        <v/>
      </c>
    </row>
    <row r="107" spans="1:22">
      <c r="A107" s="9" t="str">
        <f t="shared" si="15"/>
        <v/>
      </c>
      <c r="B107" s="80"/>
      <c r="C107" s="9" t="str">
        <f t="shared" si="16"/>
        <v/>
      </c>
      <c r="D107" s="46" t="str">
        <f>IF(G107="","",IFERROR(INDEX(INVOICE_PIUTANG!$D$5:$D$151,MATCH(G107,INVOICE_PIUTANG!$A$5:$A$151,0)),""))</f>
        <v/>
      </c>
      <c r="E107" s="47" t="str">
        <f>IF(D107="","",IFERROR(INDEX(PERKARA!$B$5:$B$104,MATCH(D107,PERKARA!$A$5:$A$104,0)),"ID TIDAK TERDAFTAR"))</f>
        <v/>
      </c>
      <c r="F107" s="6"/>
      <c r="G107" s="6"/>
      <c r="H107" s="72"/>
      <c r="I107" s="72"/>
      <c r="J107" s="73" t="str">
        <f t="shared" si="17"/>
        <v/>
      </c>
      <c r="K107" s="6"/>
      <c r="L107" s="6"/>
      <c r="M107" s="9" t="str">
        <f t="shared" si="18"/>
        <v/>
      </c>
      <c r="N107" s="6"/>
      <c r="O107" s="6"/>
      <c r="P107" s="103"/>
      <c r="Q107" s="6"/>
      <c r="R107" s="67" t="str">
        <f>IF(B107="","",IF(AND(G107&lt;&gt;"",COUNTIF(INVOICE_PIUTANG!$A$5:$A$151,G107)=0),"INVOICE BELUM TERDAFTAR",IF(AND(D107&lt;&gt;"",E107="ID TIDAK TERDAFTAR"),"PERKARA TIDAK VALID",IF(K107="","AKUN BELUM DIISI",IF(AND(G107&lt;&gt;"",D107&lt;&gt;IFERROR(INDEX(INVOICE_PIUTANG!$D$5:$D$151,MATCH(G107,INVOICE_PIUTANG!$A$5:$A$151,0)),"")),"PERKARA TIDAK SESUAI INVOICE",IF(V107&lt;&gt;"LENGKAP","PENERIMAAN BELUM DIKONFIRMASI","OK"))))))</f>
        <v/>
      </c>
      <c r="S107" s="98"/>
      <c r="T107" s="105"/>
      <c r="U107" s="98"/>
      <c r="V107" s="104" t="str">
        <f t="shared" si="19"/>
        <v/>
      </c>
    </row>
    <row r="108" spans="1:22">
      <c r="A108" s="9" t="str">
        <f t="shared" si="15"/>
        <v/>
      </c>
      <c r="B108" s="80"/>
      <c r="C108" s="9" t="str">
        <f t="shared" si="16"/>
        <v/>
      </c>
      <c r="D108" s="46" t="str">
        <f>IF(G108="","",IFERROR(INDEX(INVOICE_PIUTANG!$D$5:$D$151,MATCH(G108,INVOICE_PIUTANG!$A$5:$A$151,0)),""))</f>
        <v/>
      </c>
      <c r="E108" s="47" t="str">
        <f>IF(D108="","",IFERROR(INDEX(PERKARA!$B$5:$B$104,MATCH(D108,PERKARA!$A$5:$A$104,0)),"ID TIDAK TERDAFTAR"))</f>
        <v/>
      </c>
      <c r="F108" s="6"/>
      <c r="G108" s="6"/>
      <c r="H108" s="72"/>
      <c r="I108" s="72"/>
      <c r="J108" s="73" t="str">
        <f t="shared" si="17"/>
        <v/>
      </c>
      <c r="K108" s="6"/>
      <c r="L108" s="6"/>
      <c r="M108" s="9" t="str">
        <f t="shared" si="18"/>
        <v/>
      </c>
      <c r="N108" s="6"/>
      <c r="O108" s="6"/>
      <c r="P108" s="103"/>
      <c r="Q108" s="6"/>
      <c r="R108" s="67" t="str">
        <f>IF(B108="","",IF(AND(G108&lt;&gt;"",COUNTIF(INVOICE_PIUTANG!$A$5:$A$151,G108)=0),"INVOICE BELUM TERDAFTAR",IF(AND(D108&lt;&gt;"",E108="ID TIDAK TERDAFTAR"),"PERKARA TIDAK VALID",IF(K108="","AKUN BELUM DIISI",IF(AND(G108&lt;&gt;"",D108&lt;&gt;IFERROR(INDEX(INVOICE_PIUTANG!$D$5:$D$151,MATCH(G108,INVOICE_PIUTANG!$A$5:$A$151,0)),"")),"PERKARA TIDAK SESUAI INVOICE",IF(V108&lt;&gt;"LENGKAP","PENERIMAAN BELUM DIKONFIRMASI","OK"))))))</f>
        <v/>
      </c>
      <c r="S108" s="98"/>
      <c r="T108" s="105"/>
      <c r="U108" s="98"/>
      <c r="V108" s="104" t="str">
        <f t="shared" si="19"/>
        <v/>
      </c>
    </row>
    <row r="109" spans="1:22">
      <c r="A109" s="9" t="str">
        <f t="shared" si="15"/>
        <v/>
      </c>
      <c r="B109" s="80"/>
      <c r="C109" s="9" t="str">
        <f t="shared" si="16"/>
        <v/>
      </c>
      <c r="D109" s="46" t="str">
        <f>IF(G109="","",IFERROR(INDEX(INVOICE_PIUTANG!$D$5:$D$151,MATCH(G109,INVOICE_PIUTANG!$A$5:$A$151,0)),""))</f>
        <v/>
      </c>
      <c r="E109" s="47" t="str">
        <f>IF(D109="","",IFERROR(INDEX(PERKARA!$B$5:$B$104,MATCH(D109,PERKARA!$A$5:$A$104,0)),"ID TIDAK TERDAFTAR"))</f>
        <v/>
      </c>
      <c r="F109" s="6"/>
      <c r="G109" s="6"/>
      <c r="H109" s="72"/>
      <c r="I109" s="72"/>
      <c r="J109" s="73" t="str">
        <f t="shared" si="17"/>
        <v/>
      </c>
      <c r="K109" s="6"/>
      <c r="L109" s="6"/>
      <c r="M109" s="9" t="str">
        <f t="shared" si="18"/>
        <v/>
      </c>
      <c r="N109" s="6"/>
      <c r="O109" s="6"/>
      <c r="P109" s="103"/>
      <c r="Q109" s="6"/>
      <c r="R109" s="67" t="str">
        <f>IF(B109="","",IF(AND(G109&lt;&gt;"",COUNTIF(INVOICE_PIUTANG!$A$5:$A$151,G109)=0),"INVOICE BELUM TERDAFTAR",IF(AND(D109&lt;&gt;"",E109="ID TIDAK TERDAFTAR"),"PERKARA TIDAK VALID",IF(K109="","AKUN BELUM DIISI",IF(AND(G109&lt;&gt;"",D109&lt;&gt;IFERROR(INDEX(INVOICE_PIUTANG!$D$5:$D$151,MATCH(G109,INVOICE_PIUTANG!$A$5:$A$151,0)),"")),"PERKARA TIDAK SESUAI INVOICE",IF(V109&lt;&gt;"LENGKAP","PENERIMAAN BELUM DIKONFIRMASI","OK"))))))</f>
        <v/>
      </c>
      <c r="S109" s="98"/>
      <c r="T109" s="105"/>
      <c r="U109" s="98"/>
      <c r="V109" s="104" t="str">
        <f t="shared" si="19"/>
        <v/>
      </c>
    </row>
    <row r="110" spans="1:22">
      <c r="A110" s="9" t="str">
        <f t="shared" si="15"/>
        <v/>
      </c>
      <c r="B110" s="80"/>
      <c r="C110" s="9" t="str">
        <f t="shared" si="16"/>
        <v/>
      </c>
      <c r="D110" s="46" t="str">
        <f>IF(G110="","",IFERROR(INDEX(INVOICE_PIUTANG!$D$5:$D$151,MATCH(G110,INVOICE_PIUTANG!$A$5:$A$151,0)),""))</f>
        <v/>
      </c>
      <c r="E110" s="47" t="str">
        <f>IF(D110="","",IFERROR(INDEX(PERKARA!$B$5:$B$104,MATCH(D110,PERKARA!$A$5:$A$104,0)),"ID TIDAK TERDAFTAR"))</f>
        <v/>
      </c>
      <c r="F110" s="6"/>
      <c r="G110" s="6"/>
      <c r="H110" s="72"/>
      <c r="I110" s="72"/>
      <c r="J110" s="73" t="str">
        <f t="shared" si="17"/>
        <v/>
      </c>
      <c r="K110" s="6"/>
      <c r="L110" s="6"/>
      <c r="M110" s="9" t="str">
        <f t="shared" si="18"/>
        <v/>
      </c>
      <c r="N110" s="6"/>
      <c r="O110" s="6"/>
      <c r="P110" s="103"/>
      <c r="Q110" s="6"/>
      <c r="R110" s="67" t="str">
        <f>IF(B110="","",IF(AND(G110&lt;&gt;"",COUNTIF(INVOICE_PIUTANG!$A$5:$A$151,G110)=0),"INVOICE BELUM TERDAFTAR",IF(AND(D110&lt;&gt;"",E110="ID TIDAK TERDAFTAR"),"PERKARA TIDAK VALID",IF(K110="","AKUN BELUM DIISI",IF(AND(G110&lt;&gt;"",D110&lt;&gt;IFERROR(INDEX(INVOICE_PIUTANG!$D$5:$D$151,MATCH(G110,INVOICE_PIUTANG!$A$5:$A$151,0)),"")),"PERKARA TIDAK SESUAI INVOICE",IF(V110&lt;&gt;"LENGKAP","PENERIMAAN BELUM DIKONFIRMASI","OK"))))))</f>
        <v/>
      </c>
      <c r="S110" s="98"/>
      <c r="T110" s="105"/>
      <c r="U110" s="98"/>
      <c r="V110" s="104" t="str">
        <f t="shared" si="19"/>
        <v/>
      </c>
    </row>
    <row r="111" spans="1:22">
      <c r="A111" s="9" t="str">
        <f t="shared" si="15"/>
        <v/>
      </c>
      <c r="B111" s="80"/>
      <c r="C111" s="9" t="str">
        <f t="shared" si="16"/>
        <v/>
      </c>
      <c r="D111" s="46" t="str">
        <f>IF(G111="","",IFERROR(INDEX(INVOICE_PIUTANG!$D$5:$D$151,MATCH(G111,INVOICE_PIUTANG!$A$5:$A$151,0)),""))</f>
        <v/>
      </c>
      <c r="E111" s="47" t="str">
        <f>IF(D111="","",IFERROR(INDEX(PERKARA!$B$5:$B$104,MATCH(D111,PERKARA!$A$5:$A$104,0)),"ID TIDAK TERDAFTAR"))</f>
        <v/>
      </c>
      <c r="F111" s="6"/>
      <c r="G111" s="6"/>
      <c r="H111" s="72"/>
      <c r="I111" s="72"/>
      <c r="J111" s="73" t="str">
        <f t="shared" si="17"/>
        <v/>
      </c>
      <c r="K111" s="6"/>
      <c r="L111" s="6"/>
      <c r="M111" s="9" t="str">
        <f t="shared" si="18"/>
        <v/>
      </c>
      <c r="N111" s="6"/>
      <c r="O111" s="6"/>
      <c r="P111" s="103"/>
      <c r="Q111" s="6"/>
      <c r="R111" s="67" t="str">
        <f>IF(B111="","",IF(AND(G111&lt;&gt;"",COUNTIF(INVOICE_PIUTANG!$A$5:$A$151,G111)=0),"INVOICE BELUM TERDAFTAR",IF(AND(D111&lt;&gt;"",E111="ID TIDAK TERDAFTAR"),"PERKARA TIDAK VALID",IF(K111="","AKUN BELUM DIISI",IF(AND(G111&lt;&gt;"",D111&lt;&gt;IFERROR(INDEX(INVOICE_PIUTANG!$D$5:$D$151,MATCH(G111,INVOICE_PIUTANG!$A$5:$A$151,0)),"")),"PERKARA TIDAK SESUAI INVOICE",IF(V111&lt;&gt;"LENGKAP","PENERIMAAN BELUM DIKONFIRMASI","OK"))))))</f>
        <v/>
      </c>
      <c r="S111" s="98"/>
      <c r="T111" s="105"/>
      <c r="U111" s="98"/>
      <c r="V111" s="104" t="str">
        <f t="shared" si="19"/>
        <v/>
      </c>
    </row>
    <row r="112" spans="1:22">
      <c r="A112" s="9" t="str">
        <f t="shared" si="15"/>
        <v/>
      </c>
      <c r="B112" s="80"/>
      <c r="C112" s="9" t="str">
        <f t="shared" si="16"/>
        <v/>
      </c>
      <c r="D112" s="46" t="str">
        <f>IF(G112="","",IFERROR(INDEX(INVOICE_PIUTANG!$D$5:$D$151,MATCH(G112,INVOICE_PIUTANG!$A$5:$A$151,0)),""))</f>
        <v/>
      </c>
      <c r="E112" s="47" t="str">
        <f>IF(D112="","",IFERROR(INDEX(PERKARA!$B$5:$B$104,MATCH(D112,PERKARA!$A$5:$A$104,0)),"ID TIDAK TERDAFTAR"))</f>
        <v/>
      </c>
      <c r="F112" s="6"/>
      <c r="G112" s="6"/>
      <c r="H112" s="72"/>
      <c r="I112" s="72"/>
      <c r="J112" s="73" t="str">
        <f t="shared" si="17"/>
        <v/>
      </c>
      <c r="K112" s="6"/>
      <c r="L112" s="6"/>
      <c r="M112" s="9" t="str">
        <f t="shared" si="18"/>
        <v/>
      </c>
      <c r="N112" s="6"/>
      <c r="O112" s="6"/>
      <c r="P112" s="103"/>
      <c r="Q112" s="6"/>
      <c r="R112" s="67" t="str">
        <f>IF(B112="","",IF(AND(G112&lt;&gt;"",COUNTIF(INVOICE_PIUTANG!$A$5:$A$151,G112)=0),"INVOICE BELUM TERDAFTAR",IF(AND(D112&lt;&gt;"",E112="ID TIDAK TERDAFTAR"),"PERKARA TIDAK VALID",IF(K112="","AKUN BELUM DIISI",IF(AND(G112&lt;&gt;"",D112&lt;&gt;IFERROR(INDEX(INVOICE_PIUTANG!$D$5:$D$151,MATCH(G112,INVOICE_PIUTANG!$A$5:$A$151,0)),"")),"PERKARA TIDAK SESUAI INVOICE",IF(V112&lt;&gt;"LENGKAP","PENERIMAAN BELUM DIKONFIRMASI","OK"))))))</f>
        <v/>
      </c>
      <c r="S112" s="98"/>
      <c r="T112" s="105"/>
      <c r="U112" s="98"/>
      <c r="V112" s="104" t="str">
        <f t="shared" si="19"/>
        <v/>
      </c>
    </row>
    <row r="113" spans="1:22">
      <c r="A113" s="9" t="str">
        <f t="shared" si="15"/>
        <v/>
      </c>
      <c r="B113" s="80"/>
      <c r="C113" s="9" t="str">
        <f t="shared" si="16"/>
        <v/>
      </c>
      <c r="D113" s="46" t="str">
        <f>IF(G113="","",IFERROR(INDEX(INVOICE_PIUTANG!$D$5:$D$151,MATCH(G113,INVOICE_PIUTANG!$A$5:$A$151,0)),""))</f>
        <v/>
      </c>
      <c r="E113" s="47" t="str">
        <f>IF(D113="","",IFERROR(INDEX(PERKARA!$B$5:$B$104,MATCH(D113,PERKARA!$A$5:$A$104,0)),"ID TIDAK TERDAFTAR"))</f>
        <v/>
      </c>
      <c r="F113" s="6"/>
      <c r="G113" s="6"/>
      <c r="H113" s="72"/>
      <c r="I113" s="72"/>
      <c r="J113" s="73" t="str">
        <f t="shared" si="17"/>
        <v/>
      </c>
      <c r="K113" s="6"/>
      <c r="L113" s="6"/>
      <c r="M113" s="9" t="str">
        <f t="shared" si="18"/>
        <v/>
      </c>
      <c r="N113" s="6"/>
      <c r="O113" s="6"/>
      <c r="P113" s="103"/>
      <c r="Q113" s="6"/>
      <c r="R113" s="67" t="str">
        <f>IF(B113="","",IF(AND(G113&lt;&gt;"",COUNTIF(INVOICE_PIUTANG!$A$5:$A$151,G113)=0),"INVOICE BELUM TERDAFTAR",IF(AND(D113&lt;&gt;"",E113="ID TIDAK TERDAFTAR"),"PERKARA TIDAK VALID",IF(K113="","AKUN BELUM DIISI",IF(AND(G113&lt;&gt;"",D113&lt;&gt;IFERROR(INDEX(INVOICE_PIUTANG!$D$5:$D$151,MATCH(G113,INVOICE_PIUTANG!$A$5:$A$151,0)),"")),"PERKARA TIDAK SESUAI INVOICE",IF(V113&lt;&gt;"LENGKAP","PENERIMAAN BELUM DIKONFIRMASI","OK"))))))</f>
        <v/>
      </c>
      <c r="S113" s="98"/>
      <c r="T113" s="105"/>
      <c r="U113" s="98"/>
      <c r="V113" s="104" t="str">
        <f t="shared" si="19"/>
        <v/>
      </c>
    </row>
    <row r="114" spans="1:22">
      <c r="A114" s="9" t="str">
        <f t="shared" si="15"/>
        <v/>
      </c>
      <c r="B114" s="80"/>
      <c r="C114" s="9" t="str">
        <f t="shared" si="16"/>
        <v/>
      </c>
      <c r="D114" s="46" t="str">
        <f>IF(G114="","",IFERROR(INDEX(INVOICE_PIUTANG!$D$5:$D$151,MATCH(G114,INVOICE_PIUTANG!$A$5:$A$151,0)),""))</f>
        <v/>
      </c>
      <c r="E114" s="47" t="str">
        <f>IF(D114="","",IFERROR(INDEX(PERKARA!$B$5:$B$104,MATCH(D114,PERKARA!$A$5:$A$104,0)),"ID TIDAK TERDAFTAR"))</f>
        <v/>
      </c>
      <c r="F114" s="6"/>
      <c r="G114" s="6"/>
      <c r="H114" s="72"/>
      <c r="I114" s="72"/>
      <c r="J114" s="73" t="str">
        <f t="shared" si="17"/>
        <v/>
      </c>
      <c r="K114" s="6"/>
      <c r="L114" s="6"/>
      <c r="M114" s="9" t="str">
        <f t="shared" si="18"/>
        <v/>
      </c>
      <c r="N114" s="6"/>
      <c r="O114" s="6"/>
      <c r="P114" s="103"/>
      <c r="Q114" s="6"/>
      <c r="R114" s="67" t="str">
        <f>IF(B114="","",IF(AND(G114&lt;&gt;"",COUNTIF(INVOICE_PIUTANG!$A$5:$A$151,G114)=0),"INVOICE BELUM TERDAFTAR",IF(AND(D114&lt;&gt;"",E114="ID TIDAK TERDAFTAR"),"PERKARA TIDAK VALID",IF(K114="","AKUN BELUM DIISI",IF(AND(G114&lt;&gt;"",D114&lt;&gt;IFERROR(INDEX(INVOICE_PIUTANG!$D$5:$D$151,MATCH(G114,INVOICE_PIUTANG!$A$5:$A$151,0)),"")),"PERKARA TIDAK SESUAI INVOICE",IF(V114&lt;&gt;"LENGKAP","PENERIMAAN BELUM DIKONFIRMASI","OK"))))))</f>
        <v/>
      </c>
      <c r="S114" s="98"/>
      <c r="T114" s="105"/>
      <c r="U114" s="98"/>
      <c r="V114" s="104" t="str">
        <f t="shared" si="19"/>
        <v/>
      </c>
    </row>
    <row r="115" spans="1:22">
      <c r="A115" s="9" t="str">
        <f t="shared" si="15"/>
        <v/>
      </c>
      <c r="B115" s="80"/>
      <c r="C115" s="9" t="str">
        <f t="shared" si="16"/>
        <v/>
      </c>
      <c r="D115" s="46" t="str">
        <f>IF(G115="","",IFERROR(INDEX(INVOICE_PIUTANG!$D$5:$D$151,MATCH(G115,INVOICE_PIUTANG!$A$5:$A$151,0)),""))</f>
        <v/>
      </c>
      <c r="E115" s="47" t="str">
        <f>IF(D115="","",IFERROR(INDEX(PERKARA!$B$5:$B$104,MATCH(D115,PERKARA!$A$5:$A$104,0)),"ID TIDAK TERDAFTAR"))</f>
        <v/>
      </c>
      <c r="F115" s="6"/>
      <c r="G115" s="6"/>
      <c r="H115" s="72"/>
      <c r="I115" s="72"/>
      <c r="J115" s="73" t="str">
        <f t="shared" si="17"/>
        <v/>
      </c>
      <c r="K115" s="6"/>
      <c r="L115" s="6"/>
      <c r="M115" s="9" t="str">
        <f t="shared" si="18"/>
        <v/>
      </c>
      <c r="N115" s="6"/>
      <c r="O115" s="6"/>
      <c r="P115" s="103"/>
      <c r="Q115" s="6"/>
      <c r="R115" s="67" t="str">
        <f>IF(B115="","",IF(AND(G115&lt;&gt;"",COUNTIF(INVOICE_PIUTANG!$A$5:$A$151,G115)=0),"INVOICE BELUM TERDAFTAR",IF(AND(D115&lt;&gt;"",E115="ID TIDAK TERDAFTAR"),"PERKARA TIDAK VALID",IF(K115="","AKUN BELUM DIISI",IF(AND(G115&lt;&gt;"",D115&lt;&gt;IFERROR(INDEX(INVOICE_PIUTANG!$D$5:$D$151,MATCH(G115,INVOICE_PIUTANG!$A$5:$A$151,0)),"")),"PERKARA TIDAK SESUAI INVOICE",IF(V115&lt;&gt;"LENGKAP","PENERIMAAN BELUM DIKONFIRMASI","OK"))))))</f>
        <v/>
      </c>
      <c r="S115" s="98"/>
      <c r="T115" s="105"/>
      <c r="U115" s="98"/>
      <c r="V115" s="104" t="str">
        <f t="shared" si="19"/>
        <v/>
      </c>
    </row>
    <row r="116" spans="1:22">
      <c r="A116" s="9" t="str">
        <f t="shared" si="15"/>
        <v/>
      </c>
      <c r="B116" s="80"/>
      <c r="C116" s="9" t="str">
        <f t="shared" si="16"/>
        <v/>
      </c>
      <c r="D116" s="46" t="str">
        <f>IF(G116="","",IFERROR(INDEX(INVOICE_PIUTANG!$D$5:$D$151,MATCH(G116,INVOICE_PIUTANG!$A$5:$A$151,0)),""))</f>
        <v/>
      </c>
      <c r="E116" s="47" t="str">
        <f>IF(D116="","",IFERROR(INDEX(PERKARA!$B$5:$B$104,MATCH(D116,PERKARA!$A$5:$A$104,0)),"ID TIDAK TERDAFTAR"))</f>
        <v/>
      </c>
      <c r="F116" s="6"/>
      <c r="G116" s="6"/>
      <c r="H116" s="72"/>
      <c r="I116" s="72"/>
      <c r="J116" s="73" t="str">
        <f t="shared" si="17"/>
        <v/>
      </c>
      <c r="K116" s="6"/>
      <c r="L116" s="6"/>
      <c r="M116" s="9" t="str">
        <f t="shared" si="18"/>
        <v/>
      </c>
      <c r="N116" s="6"/>
      <c r="O116" s="6"/>
      <c r="P116" s="103"/>
      <c r="Q116" s="6"/>
      <c r="R116" s="67" t="str">
        <f>IF(B116="","",IF(AND(G116&lt;&gt;"",COUNTIF(INVOICE_PIUTANG!$A$5:$A$151,G116)=0),"INVOICE BELUM TERDAFTAR",IF(AND(D116&lt;&gt;"",E116="ID TIDAK TERDAFTAR"),"PERKARA TIDAK VALID",IF(K116="","AKUN BELUM DIISI",IF(AND(G116&lt;&gt;"",D116&lt;&gt;IFERROR(INDEX(INVOICE_PIUTANG!$D$5:$D$151,MATCH(G116,INVOICE_PIUTANG!$A$5:$A$151,0)),"")),"PERKARA TIDAK SESUAI INVOICE",IF(V116&lt;&gt;"LENGKAP","PENERIMAAN BELUM DIKONFIRMASI","OK"))))))</f>
        <v/>
      </c>
      <c r="S116" s="98"/>
      <c r="T116" s="105"/>
      <c r="U116" s="98"/>
      <c r="V116" s="104" t="str">
        <f t="shared" si="19"/>
        <v/>
      </c>
    </row>
    <row r="117" spans="1:22">
      <c r="A117" s="9" t="str">
        <f t="shared" si="15"/>
        <v/>
      </c>
      <c r="B117" s="80"/>
      <c r="C117" s="9" t="str">
        <f t="shared" si="16"/>
        <v/>
      </c>
      <c r="D117" s="46" t="str">
        <f>IF(G117="","",IFERROR(INDEX(INVOICE_PIUTANG!$D$5:$D$151,MATCH(G117,INVOICE_PIUTANG!$A$5:$A$151,0)),""))</f>
        <v/>
      </c>
      <c r="E117" s="47" t="str">
        <f>IF(D117="","",IFERROR(INDEX(PERKARA!$B$5:$B$104,MATCH(D117,PERKARA!$A$5:$A$104,0)),"ID TIDAK TERDAFTAR"))</f>
        <v/>
      </c>
      <c r="F117" s="6"/>
      <c r="G117" s="6"/>
      <c r="H117" s="72"/>
      <c r="I117" s="72"/>
      <c r="J117" s="73" t="str">
        <f t="shared" si="17"/>
        <v/>
      </c>
      <c r="K117" s="6"/>
      <c r="L117" s="6"/>
      <c r="M117" s="9" t="str">
        <f t="shared" si="18"/>
        <v/>
      </c>
      <c r="N117" s="6"/>
      <c r="O117" s="6"/>
      <c r="P117" s="103"/>
      <c r="Q117" s="6"/>
      <c r="R117" s="67" t="str">
        <f>IF(B117="","",IF(AND(G117&lt;&gt;"",COUNTIF(INVOICE_PIUTANG!$A$5:$A$151,G117)=0),"INVOICE BELUM TERDAFTAR",IF(AND(D117&lt;&gt;"",E117="ID TIDAK TERDAFTAR"),"PERKARA TIDAK VALID",IF(K117="","AKUN BELUM DIISI",IF(AND(G117&lt;&gt;"",D117&lt;&gt;IFERROR(INDEX(INVOICE_PIUTANG!$D$5:$D$151,MATCH(G117,INVOICE_PIUTANG!$A$5:$A$151,0)),"")),"PERKARA TIDAK SESUAI INVOICE",IF(V117&lt;&gt;"LENGKAP","PENERIMAAN BELUM DIKONFIRMASI","OK"))))))</f>
        <v/>
      </c>
      <c r="S117" s="98"/>
      <c r="T117" s="105"/>
      <c r="U117" s="98"/>
      <c r="V117" s="104" t="str">
        <f t="shared" si="19"/>
        <v/>
      </c>
    </row>
    <row r="118" spans="1:22">
      <c r="A118" s="9" t="str">
        <f t="shared" si="15"/>
        <v/>
      </c>
      <c r="B118" s="80"/>
      <c r="C118" s="9" t="str">
        <f t="shared" si="16"/>
        <v/>
      </c>
      <c r="D118" s="46" t="str">
        <f>IF(G118="","",IFERROR(INDEX(INVOICE_PIUTANG!$D$5:$D$151,MATCH(G118,INVOICE_PIUTANG!$A$5:$A$151,0)),""))</f>
        <v/>
      </c>
      <c r="E118" s="47" t="str">
        <f>IF(D118="","",IFERROR(INDEX(PERKARA!$B$5:$B$104,MATCH(D118,PERKARA!$A$5:$A$104,0)),"ID TIDAK TERDAFTAR"))</f>
        <v/>
      </c>
      <c r="F118" s="6"/>
      <c r="G118" s="6"/>
      <c r="H118" s="72"/>
      <c r="I118" s="72"/>
      <c r="J118" s="73" t="str">
        <f t="shared" si="17"/>
        <v/>
      </c>
      <c r="K118" s="6"/>
      <c r="L118" s="6"/>
      <c r="M118" s="9" t="str">
        <f t="shared" si="18"/>
        <v/>
      </c>
      <c r="N118" s="6"/>
      <c r="O118" s="6"/>
      <c r="P118" s="103"/>
      <c r="Q118" s="6"/>
      <c r="R118" s="67" t="str">
        <f>IF(B118="","",IF(AND(G118&lt;&gt;"",COUNTIF(INVOICE_PIUTANG!$A$5:$A$151,G118)=0),"INVOICE BELUM TERDAFTAR",IF(AND(D118&lt;&gt;"",E118="ID TIDAK TERDAFTAR"),"PERKARA TIDAK VALID",IF(K118="","AKUN BELUM DIISI",IF(AND(G118&lt;&gt;"",D118&lt;&gt;IFERROR(INDEX(INVOICE_PIUTANG!$D$5:$D$151,MATCH(G118,INVOICE_PIUTANG!$A$5:$A$151,0)),"")),"PERKARA TIDAK SESUAI INVOICE",IF(V118&lt;&gt;"LENGKAP","PENERIMAAN BELUM DIKONFIRMASI","OK"))))))</f>
        <v/>
      </c>
      <c r="S118" s="98"/>
      <c r="T118" s="105"/>
      <c r="U118" s="98"/>
      <c r="V118" s="104" t="str">
        <f t="shared" si="19"/>
        <v/>
      </c>
    </row>
    <row r="119" spans="1:22">
      <c r="A119" s="9" t="str">
        <f t="shared" si="15"/>
        <v/>
      </c>
      <c r="B119" s="80"/>
      <c r="C119" s="9" t="str">
        <f t="shared" si="16"/>
        <v/>
      </c>
      <c r="D119" s="46" t="str">
        <f>IF(G119="","",IFERROR(INDEX(INVOICE_PIUTANG!$D$5:$D$151,MATCH(G119,INVOICE_PIUTANG!$A$5:$A$151,0)),""))</f>
        <v/>
      </c>
      <c r="E119" s="47" t="str">
        <f>IF(D119="","",IFERROR(INDEX(PERKARA!$B$5:$B$104,MATCH(D119,PERKARA!$A$5:$A$104,0)),"ID TIDAK TERDAFTAR"))</f>
        <v/>
      </c>
      <c r="F119" s="6"/>
      <c r="G119" s="6"/>
      <c r="H119" s="72"/>
      <c r="I119" s="72"/>
      <c r="J119" s="73" t="str">
        <f t="shared" si="17"/>
        <v/>
      </c>
      <c r="K119" s="6"/>
      <c r="L119" s="6"/>
      <c r="M119" s="9" t="str">
        <f t="shared" si="18"/>
        <v/>
      </c>
      <c r="N119" s="6"/>
      <c r="O119" s="6"/>
      <c r="P119" s="103"/>
      <c r="Q119" s="6"/>
      <c r="R119" s="67" t="str">
        <f>IF(B119="","",IF(AND(G119&lt;&gt;"",COUNTIF(INVOICE_PIUTANG!$A$5:$A$151,G119)=0),"INVOICE BELUM TERDAFTAR",IF(AND(D119&lt;&gt;"",E119="ID TIDAK TERDAFTAR"),"PERKARA TIDAK VALID",IF(K119="","AKUN BELUM DIISI",IF(AND(G119&lt;&gt;"",D119&lt;&gt;IFERROR(INDEX(INVOICE_PIUTANG!$D$5:$D$151,MATCH(G119,INVOICE_PIUTANG!$A$5:$A$151,0)),"")),"PERKARA TIDAK SESUAI INVOICE",IF(V119&lt;&gt;"LENGKAP","PENERIMAAN BELUM DIKONFIRMASI","OK"))))))</f>
        <v/>
      </c>
      <c r="S119" s="98"/>
      <c r="T119" s="105"/>
      <c r="U119" s="98"/>
      <c r="V119" s="104" t="str">
        <f t="shared" si="19"/>
        <v/>
      </c>
    </row>
    <row r="120" spans="1:22">
      <c r="A120" s="9" t="str">
        <f t="shared" si="15"/>
        <v/>
      </c>
      <c r="B120" s="80"/>
      <c r="C120" s="9" t="str">
        <f t="shared" si="16"/>
        <v/>
      </c>
      <c r="D120" s="46" t="str">
        <f>IF(G120="","",IFERROR(INDEX(INVOICE_PIUTANG!$D$5:$D$151,MATCH(G120,INVOICE_PIUTANG!$A$5:$A$151,0)),""))</f>
        <v/>
      </c>
      <c r="E120" s="47" t="str">
        <f>IF(D120="","",IFERROR(INDEX(PERKARA!$B$5:$B$104,MATCH(D120,PERKARA!$A$5:$A$104,0)),"ID TIDAK TERDAFTAR"))</f>
        <v/>
      </c>
      <c r="F120" s="6"/>
      <c r="G120" s="6"/>
      <c r="H120" s="72"/>
      <c r="I120" s="72"/>
      <c r="J120" s="73" t="str">
        <f t="shared" si="17"/>
        <v/>
      </c>
      <c r="K120" s="6"/>
      <c r="L120" s="6"/>
      <c r="M120" s="9" t="str">
        <f t="shared" si="18"/>
        <v/>
      </c>
      <c r="N120" s="6"/>
      <c r="O120" s="6"/>
      <c r="P120" s="103"/>
      <c r="Q120" s="6"/>
      <c r="R120" s="67" t="str">
        <f>IF(B120="","",IF(AND(G120&lt;&gt;"",COUNTIF(INVOICE_PIUTANG!$A$5:$A$151,G120)=0),"INVOICE BELUM TERDAFTAR",IF(AND(D120&lt;&gt;"",E120="ID TIDAK TERDAFTAR"),"PERKARA TIDAK VALID",IF(K120="","AKUN BELUM DIISI",IF(AND(G120&lt;&gt;"",D120&lt;&gt;IFERROR(INDEX(INVOICE_PIUTANG!$D$5:$D$151,MATCH(G120,INVOICE_PIUTANG!$A$5:$A$151,0)),"")),"PERKARA TIDAK SESUAI INVOICE",IF(V120&lt;&gt;"LENGKAP","PENERIMAAN BELUM DIKONFIRMASI","OK"))))))</f>
        <v/>
      </c>
      <c r="S120" s="98"/>
      <c r="T120" s="105"/>
      <c r="U120" s="98"/>
      <c r="V120" s="104" t="str">
        <f t="shared" si="19"/>
        <v/>
      </c>
    </row>
    <row r="121" spans="1:22">
      <c r="A121" s="9" t="str">
        <f t="shared" si="15"/>
        <v/>
      </c>
      <c r="B121" s="80"/>
      <c r="C121" s="9" t="str">
        <f t="shared" si="16"/>
        <v/>
      </c>
      <c r="D121" s="46" t="str">
        <f>IF(G121="","",IFERROR(INDEX(INVOICE_PIUTANG!$D$5:$D$151,MATCH(G121,INVOICE_PIUTANG!$A$5:$A$151,0)),""))</f>
        <v/>
      </c>
      <c r="E121" s="47" t="str">
        <f>IF(D121="","",IFERROR(INDEX(PERKARA!$B$5:$B$104,MATCH(D121,PERKARA!$A$5:$A$104,0)),"ID TIDAK TERDAFTAR"))</f>
        <v/>
      </c>
      <c r="F121" s="6"/>
      <c r="G121" s="6"/>
      <c r="H121" s="72"/>
      <c r="I121" s="72"/>
      <c r="J121" s="73" t="str">
        <f t="shared" si="17"/>
        <v/>
      </c>
      <c r="K121" s="6"/>
      <c r="L121" s="6"/>
      <c r="M121" s="9" t="str">
        <f t="shared" si="18"/>
        <v/>
      </c>
      <c r="N121" s="6"/>
      <c r="O121" s="6"/>
      <c r="P121" s="103"/>
      <c r="Q121" s="6"/>
      <c r="R121" s="67" t="str">
        <f>IF(B121="","",IF(AND(G121&lt;&gt;"",COUNTIF(INVOICE_PIUTANG!$A$5:$A$151,G121)=0),"INVOICE BELUM TERDAFTAR",IF(AND(D121&lt;&gt;"",E121="ID TIDAK TERDAFTAR"),"PERKARA TIDAK VALID",IF(K121="","AKUN BELUM DIISI",IF(AND(G121&lt;&gt;"",D121&lt;&gt;IFERROR(INDEX(INVOICE_PIUTANG!$D$5:$D$151,MATCH(G121,INVOICE_PIUTANG!$A$5:$A$151,0)),"")),"PERKARA TIDAK SESUAI INVOICE",IF(V121&lt;&gt;"LENGKAP","PENERIMAAN BELUM DIKONFIRMASI","OK"))))))</f>
        <v/>
      </c>
      <c r="S121" s="98"/>
      <c r="T121" s="105"/>
      <c r="U121" s="98"/>
      <c r="V121" s="104" t="str">
        <f t="shared" si="19"/>
        <v/>
      </c>
    </row>
    <row r="122" spans="1:22">
      <c r="A122" s="9" t="str">
        <f t="shared" si="15"/>
        <v/>
      </c>
      <c r="B122" s="80"/>
      <c r="C122" s="9" t="str">
        <f t="shared" si="16"/>
        <v/>
      </c>
      <c r="D122" s="46" t="str">
        <f>IF(G122="","",IFERROR(INDEX(INVOICE_PIUTANG!$D$5:$D$151,MATCH(G122,INVOICE_PIUTANG!$A$5:$A$151,0)),""))</f>
        <v/>
      </c>
      <c r="E122" s="47" t="str">
        <f>IF(D122="","",IFERROR(INDEX(PERKARA!$B$5:$B$104,MATCH(D122,PERKARA!$A$5:$A$104,0)),"ID TIDAK TERDAFTAR"))</f>
        <v/>
      </c>
      <c r="F122" s="6"/>
      <c r="G122" s="6"/>
      <c r="H122" s="72"/>
      <c r="I122" s="72"/>
      <c r="J122" s="73" t="str">
        <f t="shared" si="17"/>
        <v/>
      </c>
      <c r="K122" s="6"/>
      <c r="L122" s="6"/>
      <c r="M122" s="9" t="str">
        <f t="shared" si="18"/>
        <v/>
      </c>
      <c r="N122" s="6"/>
      <c r="O122" s="6"/>
      <c r="P122" s="103"/>
      <c r="Q122" s="6"/>
      <c r="R122" s="67" t="str">
        <f>IF(B122="","",IF(AND(G122&lt;&gt;"",COUNTIF(INVOICE_PIUTANG!$A$5:$A$151,G122)=0),"INVOICE BELUM TERDAFTAR",IF(AND(D122&lt;&gt;"",E122="ID TIDAK TERDAFTAR"),"PERKARA TIDAK VALID",IF(K122="","AKUN BELUM DIISI",IF(AND(G122&lt;&gt;"",D122&lt;&gt;IFERROR(INDEX(INVOICE_PIUTANG!$D$5:$D$151,MATCH(G122,INVOICE_PIUTANG!$A$5:$A$151,0)),"")),"PERKARA TIDAK SESUAI INVOICE",IF(V122&lt;&gt;"LENGKAP","PENERIMAAN BELUM DIKONFIRMASI","OK"))))))</f>
        <v/>
      </c>
      <c r="S122" s="98"/>
      <c r="T122" s="105"/>
      <c r="U122" s="98"/>
      <c r="V122" s="104" t="str">
        <f t="shared" si="19"/>
        <v/>
      </c>
    </row>
    <row r="123" spans="1:22">
      <c r="A123" s="9" t="str">
        <f t="shared" si="15"/>
        <v/>
      </c>
      <c r="B123" s="80"/>
      <c r="C123" s="9" t="str">
        <f t="shared" si="16"/>
        <v/>
      </c>
      <c r="D123" s="46" t="str">
        <f>IF(G123="","",IFERROR(INDEX(INVOICE_PIUTANG!$D$5:$D$151,MATCH(G123,INVOICE_PIUTANG!$A$5:$A$151,0)),""))</f>
        <v/>
      </c>
      <c r="E123" s="47" t="str">
        <f>IF(D123="","",IFERROR(INDEX(PERKARA!$B$5:$B$104,MATCH(D123,PERKARA!$A$5:$A$104,0)),"ID TIDAK TERDAFTAR"))</f>
        <v/>
      </c>
      <c r="F123" s="6"/>
      <c r="G123" s="6"/>
      <c r="H123" s="72"/>
      <c r="I123" s="72"/>
      <c r="J123" s="73" t="str">
        <f t="shared" si="17"/>
        <v/>
      </c>
      <c r="K123" s="6"/>
      <c r="L123" s="6"/>
      <c r="M123" s="9" t="str">
        <f t="shared" si="18"/>
        <v/>
      </c>
      <c r="N123" s="6"/>
      <c r="O123" s="6"/>
      <c r="P123" s="103"/>
      <c r="Q123" s="6"/>
      <c r="R123" s="67" t="str">
        <f>IF(B123="","",IF(AND(G123&lt;&gt;"",COUNTIF(INVOICE_PIUTANG!$A$5:$A$151,G123)=0),"INVOICE BELUM TERDAFTAR",IF(AND(D123&lt;&gt;"",E123="ID TIDAK TERDAFTAR"),"PERKARA TIDAK VALID",IF(K123="","AKUN BELUM DIISI",IF(AND(G123&lt;&gt;"",D123&lt;&gt;IFERROR(INDEX(INVOICE_PIUTANG!$D$5:$D$151,MATCH(G123,INVOICE_PIUTANG!$A$5:$A$151,0)),"")),"PERKARA TIDAK SESUAI INVOICE",IF(V123&lt;&gt;"LENGKAP","PENERIMAAN BELUM DIKONFIRMASI","OK"))))))</f>
        <v/>
      </c>
      <c r="S123" s="98"/>
      <c r="T123" s="105"/>
      <c r="U123" s="98"/>
      <c r="V123" s="104" t="str">
        <f t="shared" si="19"/>
        <v/>
      </c>
    </row>
    <row r="124" spans="1:22">
      <c r="A124" s="9" t="str">
        <f t="shared" si="15"/>
        <v/>
      </c>
      <c r="B124" s="80"/>
      <c r="C124" s="9" t="str">
        <f t="shared" si="16"/>
        <v/>
      </c>
      <c r="D124" s="46" t="str">
        <f>IF(G124="","",IFERROR(INDEX(INVOICE_PIUTANG!$D$5:$D$151,MATCH(G124,INVOICE_PIUTANG!$A$5:$A$151,0)),""))</f>
        <v/>
      </c>
      <c r="E124" s="47" t="str">
        <f>IF(D124="","",IFERROR(INDEX(PERKARA!$B$5:$B$104,MATCH(D124,PERKARA!$A$5:$A$104,0)),"ID TIDAK TERDAFTAR"))</f>
        <v/>
      </c>
      <c r="F124" s="6"/>
      <c r="G124" s="6"/>
      <c r="H124" s="72"/>
      <c r="I124" s="72"/>
      <c r="J124" s="73" t="str">
        <f t="shared" si="17"/>
        <v/>
      </c>
      <c r="K124" s="6"/>
      <c r="L124" s="6"/>
      <c r="M124" s="9" t="str">
        <f t="shared" si="18"/>
        <v/>
      </c>
      <c r="N124" s="6"/>
      <c r="O124" s="6"/>
      <c r="P124" s="103"/>
      <c r="Q124" s="6"/>
      <c r="R124" s="67" t="str">
        <f>IF(B124="","",IF(AND(G124&lt;&gt;"",COUNTIF(INVOICE_PIUTANG!$A$5:$A$151,G124)=0),"INVOICE BELUM TERDAFTAR",IF(AND(D124&lt;&gt;"",E124="ID TIDAK TERDAFTAR"),"PERKARA TIDAK VALID",IF(K124="","AKUN BELUM DIISI",IF(AND(G124&lt;&gt;"",D124&lt;&gt;IFERROR(INDEX(INVOICE_PIUTANG!$D$5:$D$151,MATCH(G124,INVOICE_PIUTANG!$A$5:$A$151,0)),"")),"PERKARA TIDAK SESUAI INVOICE",IF(V124&lt;&gt;"LENGKAP","PENERIMAAN BELUM DIKONFIRMASI","OK"))))))</f>
        <v/>
      </c>
      <c r="S124" s="98"/>
      <c r="T124" s="105"/>
      <c r="U124" s="98"/>
      <c r="V124" s="104" t="str">
        <f t="shared" si="19"/>
        <v/>
      </c>
    </row>
    <row r="125" spans="1:22">
      <c r="A125" s="9" t="str">
        <f t="shared" si="15"/>
        <v/>
      </c>
      <c r="B125" s="80"/>
      <c r="C125" s="9" t="str">
        <f t="shared" si="16"/>
        <v/>
      </c>
      <c r="D125" s="46" t="str">
        <f>IF(G125="","",IFERROR(INDEX(INVOICE_PIUTANG!$D$5:$D$151,MATCH(G125,INVOICE_PIUTANG!$A$5:$A$151,0)),""))</f>
        <v/>
      </c>
      <c r="E125" s="47" t="str">
        <f>IF(D125="","",IFERROR(INDEX(PERKARA!$B$5:$B$104,MATCH(D125,PERKARA!$A$5:$A$104,0)),"ID TIDAK TERDAFTAR"))</f>
        <v/>
      </c>
      <c r="F125" s="6"/>
      <c r="G125" s="6"/>
      <c r="H125" s="72"/>
      <c r="I125" s="72"/>
      <c r="J125" s="73" t="str">
        <f t="shared" si="17"/>
        <v/>
      </c>
      <c r="K125" s="6"/>
      <c r="L125" s="6"/>
      <c r="M125" s="9" t="str">
        <f t="shared" si="18"/>
        <v/>
      </c>
      <c r="N125" s="6"/>
      <c r="O125" s="6"/>
      <c r="P125" s="103"/>
      <c r="Q125" s="6"/>
      <c r="R125" s="67" t="str">
        <f>IF(B125="","",IF(AND(G125&lt;&gt;"",COUNTIF(INVOICE_PIUTANG!$A$5:$A$151,G125)=0),"INVOICE BELUM TERDAFTAR",IF(AND(D125&lt;&gt;"",E125="ID TIDAK TERDAFTAR"),"PERKARA TIDAK VALID",IF(K125="","AKUN BELUM DIISI",IF(AND(G125&lt;&gt;"",D125&lt;&gt;IFERROR(INDEX(INVOICE_PIUTANG!$D$5:$D$151,MATCH(G125,INVOICE_PIUTANG!$A$5:$A$151,0)),"")),"PERKARA TIDAK SESUAI INVOICE",IF(V125&lt;&gt;"LENGKAP","PENERIMAAN BELUM DIKONFIRMASI","OK"))))))</f>
        <v/>
      </c>
      <c r="S125" s="98"/>
      <c r="T125" s="105"/>
      <c r="U125" s="98"/>
      <c r="V125" s="104" t="str">
        <f t="shared" si="19"/>
        <v/>
      </c>
    </row>
    <row r="126" spans="1:22">
      <c r="A126" s="9" t="str">
        <f t="shared" si="15"/>
        <v/>
      </c>
      <c r="B126" s="80"/>
      <c r="C126" s="9" t="str">
        <f t="shared" si="16"/>
        <v/>
      </c>
      <c r="D126" s="46" t="str">
        <f>IF(G126="","",IFERROR(INDEX(INVOICE_PIUTANG!$D$5:$D$151,MATCH(G126,INVOICE_PIUTANG!$A$5:$A$151,0)),""))</f>
        <v/>
      </c>
      <c r="E126" s="47" t="str">
        <f>IF(D126="","",IFERROR(INDEX(PERKARA!$B$5:$B$104,MATCH(D126,PERKARA!$A$5:$A$104,0)),"ID TIDAK TERDAFTAR"))</f>
        <v/>
      </c>
      <c r="F126" s="6"/>
      <c r="G126" s="6"/>
      <c r="H126" s="72"/>
      <c r="I126" s="72"/>
      <c r="J126" s="73" t="str">
        <f t="shared" si="17"/>
        <v/>
      </c>
      <c r="K126" s="6"/>
      <c r="L126" s="6"/>
      <c r="M126" s="9" t="str">
        <f t="shared" si="18"/>
        <v/>
      </c>
      <c r="N126" s="6"/>
      <c r="O126" s="6"/>
      <c r="P126" s="103"/>
      <c r="Q126" s="6"/>
      <c r="R126" s="67" t="str">
        <f>IF(B126="","",IF(AND(G126&lt;&gt;"",COUNTIF(INVOICE_PIUTANG!$A$5:$A$151,G126)=0),"INVOICE BELUM TERDAFTAR",IF(AND(D126&lt;&gt;"",E126="ID TIDAK TERDAFTAR"),"PERKARA TIDAK VALID",IF(K126="","AKUN BELUM DIISI",IF(AND(G126&lt;&gt;"",D126&lt;&gt;IFERROR(INDEX(INVOICE_PIUTANG!$D$5:$D$151,MATCH(G126,INVOICE_PIUTANG!$A$5:$A$151,0)),"")),"PERKARA TIDAK SESUAI INVOICE",IF(V126&lt;&gt;"LENGKAP","PENERIMAAN BELUM DIKONFIRMASI","OK"))))))</f>
        <v/>
      </c>
      <c r="S126" s="98"/>
      <c r="T126" s="105"/>
      <c r="U126" s="98"/>
      <c r="V126" s="104" t="str">
        <f t="shared" si="19"/>
        <v/>
      </c>
    </row>
    <row r="127" spans="1:22">
      <c r="A127" s="9" t="str">
        <f t="shared" si="15"/>
        <v/>
      </c>
      <c r="B127" s="80"/>
      <c r="C127" s="9" t="str">
        <f t="shared" si="16"/>
        <v/>
      </c>
      <c r="D127" s="46" t="str">
        <f>IF(G127="","",IFERROR(INDEX(INVOICE_PIUTANG!$D$5:$D$151,MATCH(G127,INVOICE_PIUTANG!$A$5:$A$151,0)),""))</f>
        <v/>
      </c>
      <c r="E127" s="47" t="str">
        <f>IF(D127="","",IFERROR(INDEX(PERKARA!$B$5:$B$104,MATCH(D127,PERKARA!$A$5:$A$104,0)),"ID TIDAK TERDAFTAR"))</f>
        <v/>
      </c>
      <c r="F127" s="6"/>
      <c r="G127" s="6"/>
      <c r="H127" s="72"/>
      <c r="I127" s="72"/>
      <c r="J127" s="73" t="str">
        <f t="shared" si="17"/>
        <v/>
      </c>
      <c r="K127" s="6"/>
      <c r="L127" s="6"/>
      <c r="M127" s="9" t="str">
        <f t="shared" si="18"/>
        <v/>
      </c>
      <c r="N127" s="6"/>
      <c r="O127" s="6"/>
      <c r="P127" s="103"/>
      <c r="Q127" s="6"/>
      <c r="R127" s="67" t="str">
        <f>IF(B127="","",IF(AND(G127&lt;&gt;"",COUNTIF(INVOICE_PIUTANG!$A$5:$A$151,G127)=0),"INVOICE BELUM TERDAFTAR",IF(AND(D127&lt;&gt;"",E127="ID TIDAK TERDAFTAR"),"PERKARA TIDAK VALID",IF(K127="","AKUN BELUM DIISI",IF(AND(G127&lt;&gt;"",D127&lt;&gt;IFERROR(INDEX(INVOICE_PIUTANG!$D$5:$D$151,MATCH(G127,INVOICE_PIUTANG!$A$5:$A$151,0)),"")),"PERKARA TIDAK SESUAI INVOICE",IF(V127&lt;&gt;"LENGKAP","PENERIMAAN BELUM DIKONFIRMASI","OK"))))))</f>
        <v/>
      </c>
      <c r="S127" s="98"/>
      <c r="T127" s="105"/>
      <c r="U127" s="98"/>
      <c r="V127" s="104" t="str">
        <f t="shared" si="19"/>
        <v/>
      </c>
    </row>
    <row r="128" spans="1:22">
      <c r="A128" s="9" t="str">
        <f t="shared" si="15"/>
        <v/>
      </c>
      <c r="B128" s="80"/>
      <c r="C128" s="9" t="str">
        <f t="shared" si="16"/>
        <v/>
      </c>
      <c r="D128" s="46" t="str">
        <f>IF(G128="","",IFERROR(INDEX(INVOICE_PIUTANG!$D$5:$D$151,MATCH(G128,INVOICE_PIUTANG!$A$5:$A$151,0)),""))</f>
        <v/>
      </c>
      <c r="E128" s="47" t="str">
        <f>IF(D128="","",IFERROR(INDEX(PERKARA!$B$5:$B$104,MATCH(D128,PERKARA!$A$5:$A$104,0)),"ID TIDAK TERDAFTAR"))</f>
        <v/>
      </c>
      <c r="F128" s="6"/>
      <c r="G128" s="6"/>
      <c r="H128" s="72"/>
      <c r="I128" s="72"/>
      <c r="J128" s="73" t="str">
        <f t="shared" si="17"/>
        <v/>
      </c>
      <c r="K128" s="6"/>
      <c r="L128" s="6"/>
      <c r="M128" s="9" t="str">
        <f t="shared" si="18"/>
        <v/>
      </c>
      <c r="N128" s="6"/>
      <c r="O128" s="6"/>
      <c r="P128" s="103"/>
      <c r="Q128" s="6"/>
      <c r="R128" s="67" t="str">
        <f>IF(B128="","",IF(AND(G128&lt;&gt;"",COUNTIF(INVOICE_PIUTANG!$A$5:$A$151,G128)=0),"INVOICE BELUM TERDAFTAR",IF(AND(D128&lt;&gt;"",E128="ID TIDAK TERDAFTAR"),"PERKARA TIDAK VALID",IF(K128="","AKUN BELUM DIISI",IF(AND(G128&lt;&gt;"",D128&lt;&gt;IFERROR(INDEX(INVOICE_PIUTANG!$D$5:$D$151,MATCH(G128,INVOICE_PIUTANG!$A$5:$A$151,0)),"")),"PERKARA TIDAK SESUAI INVOICE",IF(V128&lt;&gt;"LENGKAP","PENERIMAAN BELUM DIKONFIRMASI","OK"))))))</f>
        <v/>
      </c>
      <c r="S128" s="98"/>
      <c r="T128" s="105"/>
      <c r="U128" s="98"/>
      <c r="V128" s="104" t="str">
        <f t="shared" si="19"/>
        <v/>
      </c>
    </row>
    <row r="129" spans="1:22">
      <c r="A129" s="9" t="str">
        <f t="shared" si="15"/>
        <v/>
      </c>
      <c r="B129" s="80"/>
      <c r="C129" s="9" t="str">
        <f t="shared" si="16"/>
        <v/>
      </c>
      <c r="D129" s="46" t="str">
        <f>IF(G129="","",IFERROR(INDEX(INVOICE_PIUTANG!$D$5:$D$151,MATCH(G129,INVOICE_PIUTANG!$A$5:$A$151,0)),""))</f>
        <v/>
      </c>
      <c r="E129" s="47" t="str">
        <f>IF(D129="","",IFERROR(INDEX(PERKARA!$B$5:$B$104,MATCH(D129,PERKARA!$A$5:$A$104,0)),"ID TIDAK TERDAFTAR"))</f>
        <v/>
      </c>
      <c r="F129" s="6"/>
      <c r="G129" s="6"/>
      <c r="H129" s="72"/>
      <c r="I129" s="72"/>
      <c r="J129" s="73" t="str">
        <f t="shared" si="17"/>
        <v/>
      </c>
      <c r="K129" s="6"/>
      <c r="L129" s="6"/>
      <c r="M129" s="9" t="str">
        <f t="shared" si="18"/>
        <v/>
      </c>
      <c r="N129" s="6"/>
      <c r="O129" s="6"/>
      <c r="P129" s="103"/>
      <c r="Q129" s="6"/>
      <c r="R129" s="67" t="str">
        <f>IF(B129="","",IF(AND(G129&lt;&gt;"",COUNTIF(INVOICE_PIUTANG!$A$5:$A$151,G129)=0),"INVOICE BELUM TERDAFTAR",IF(AND(D129&lt;&gt;"",E129="ID TIDAK TERDAFTAR"),"PERKARA TIDAK VALID",IF(K129="","AKUN BELUM DIISI",IF(AND(G129&lt;&gt;"",D129&lt;&gt;IFERROR(INDEX(INVOICE_PIUTANG!$D$5:$D$151,MATCH(G129,INVOICE_PIUTANG!$A$5:$A$151,0)),"")),"PERKARA TIDAK SESUAI INVOICE",IF(V129&lt;&gt;"LENGKAP","PENERIMAAN BELUM DIKONFIRMASI","OK"))))))</f>
        <v/>
      </c>
      <c r="S129" s="98"/>
      <c r="T129" s="105"/>
      <c r="U129" s="98"/>
      <c r="V129" s="104" t="str">
        <f t="shared" si="19"/>
        <v/>
      </c>
    </row>
    <row r="130" spans="1:22">
      <c r="A130" s="9" t="str">
        <f t="shared" si="15"/>
        <v/>
      </c>
      <c r="B130" s="80"/>
      <c r="C130" s="9" t="str">
        <f t="shared" si="16"/>
        <v/>
      </c>
      <c r="D130" s="46" t="str">
        <f>IF(G130="","",IFERROR(INDEX(INVOICE_PIUTANG!$D$5:$D$151,MATCH(G130,INVOICE_PIUTANG!$A$5:$A$151,0)),""))</f>
        <v/>
      </c>
      <c r="E130" s="47" t="str">
        <f>IF(D130="","",IFERROR(INDEX(PERKARA!$B$5:$B$104,MATCH(D130,PERKARA!$A$5:$A$104,0)),"ID TIDAK TERDAFTAR"))</f>
        <v/>
      </c>
      <c r="F130" s="6"/>
      <c r="G130" s="6"/>
      <c r="H130" s="72"/>
      <c r="I130" s="72"/>
      <c r="J130" s="73" t="str">
        <f t="shared" si="17"/>
        <v/>
      </c>
      <c r="K130" s="6"/>
      <c r="L130" s="6"/>
      <c r="M130" s="9" t="str">
        <f t="shared" si="18"/>
        <v/>
      </c>
      <c r="N130" s="6"/>
      <c r="O130" s="6"/>
      <c r="P130" s="103"/>
      <c r="Q130" s="6"/>
      <c r="R130" s="67" t="str">
        <f>IF(B130="","",IF(AND(G130&lt;&gt;"",COUNTIF(INVOICE_PIUTANG!$A$5:$A$151,G130)=0),"INVOICE BELUM TERDAFTAR",IF(AND(D130&lt;&gt;"",E130="ID TIDAK TERDAFTAR"),"PERKARA TIDAK VALID",IF(K130="","AKUN BELUM DIISI",IF(AND(G130&lt;&gt;"",D130&lt;&gt;IFERROR(INDEX(INVOICE_PIUTANG!$D$5:$D$151,MATCH(G130,INVOICE_PIUTANG!$A$5:$A$151,0)),"")),"PERKARA TIDAK SESUAI INVOICE",IF(V130&lt;&gt;"LENGKAP","PENERIMAAN BELUM DIKONFIRMASI","OK"))))))</f>
        <v/>
      </c>
      <c r="S130" s="98"/>
      <c r="T130" s="105"/>
      <c r="U130" s="98"/>
      <c r="V130" s="104" t="str">
        <f t="shared" si="19"/>
        <v/>
      </c>
    </row>
    <row r="131" spans="1:22">
      <c r="A131" s="9" t="str">
        <f t="shared" si="15"/>
        <v/>
      </c>
      <c r="B131" s="80"/>
      <c r="C131" s="9" t="str">
        <f t="shared" si="16"/>
        <v/>
      </c>
      <c r="D131" s="46" t="str">
        <f>IF(G131="","",IFERROR(INDEX(INVOICE_PIUTANG!$D$5:$D$151,MATCH(G131,INVOICE_PIUTANG!$A$5:$A$151,0)),""))</f>
        <v/>
      </c>
      <c r="E131" s="47" t="str">
        <f>IF(D131="","",IFERROR(INDEX(PERKARA!$B$5:$B$104,MATCH(D131,PERKARA!$A$5:$A$104,0)),"ID TIDAK TERDAFTAR"))</f>
        <v/>
      </c>
      <c r="F131" s="6"/>
      <c r="G131" s="6"/>
      <c r="H131" s="72"/>
      <c r="I131" s="72"/>
      <c r="J131" s="73" t="str">
        <f t="shared" si="17"/>
        <v/>
      </c>
      <c r="K131" s="6"/>
      <c r="L131" s="6"/>
      <c r="M131" s="9" t="str">
        <f t="shared" si="18"/>
        <v/>
      </c>
      <c r="N131" s="6"/>
      <c r="O131" s="6"/>
      <c r="P131" s="103"/>
      <c r="Q131" s="6"/>
      <c r="R131" s="67" t="str">
        <f>IF(B131="","",IF(AND(G131&lt;&gt;"",COUNTIF(INVOICE_PIUTANG!$A$5:$A$151,G131)=0),"INVOICE BELUM TERDAFTAR",IF(AND(D131&lt;&gt;"",E131="ID TIDAK TERDAFTAR"),"PERKARA TIDAK VALID",IF(K131="","AKUN BELUM DIISI",IF(AND(G131&lt;&gt;"",D131&lt;&gt;IFERROR(INDEX(INVOICE_PIUTANG!$D$5:$D$151,MATCH(G131,INVOICE_PIUTANG!$A$5:$A$151,0)),"")),"PERKARA TIDAK SESUAI INVOICE",IF(V131&lt;&gt;"LENGKAP","PENERIMAAN BELUM DIKONFIRMASI","OK"))))))</f>
        <v/>
      </c>
      <c r="S131" s="98"/>
      <c r="T131" s="105"/>
      <c r="U131" s="98"/>
      <c r="V131" s="104" t="str">
        <f t="shared" si="19"/>
        <v/>
      </c>
    </row>
    <row r="132" spans="1:22">
      <c r="A132" s="9" t="str">
        <f t="shared" si="15"/>
        <v/>
      </c>
      <c r="B132" s="80"/>
      <c r="C132" s="9" t="str">
        <f t="shared" si="16"/>
        <v/>
      </c>
      <c r="D132" s="46" t="str">
        <f>IF(G132="","",IFERROR(INDEX(INVOICE_PIUTANG!$D$5:$D$151,MATCH(G132,INVOICE_PIUTANG!$A$5:$A$151,0)),""))</f>
        <v/>
      </c>
      <c r="E132" s="47" t="str">
        <f>IF(D132="","",IFERROR(INDEX(PERKARA!$B$5:$B$104,MATCH(D132,PERKARA!$A$5:$A$104,0)),"ID TIDAK TERDAFTAR"))</f>
        <v/>
      </c>
      <c r="F132" s="6"/>
      <c r="G132" s="6"/>
      <c r="H132" s="72"/>
      <c r="I132" s="72"/>
      <c r="J132" s="73" t="str">
        <f t="shared" si="17"/>
        <v/>
      </c>
      <c r="K132" s="6"/>
      <c r="L132" s="6"/>
      <c r="M132" s="9" t="str">
        <f t="shared" si="18"/>
        <v/>
      </c>
      <c r="N132" s="6"/>
      <c r="O132" s="6"/>
      <c r="P132" s="103"/>
      <c r="Q132" s="6"/>
      <c r="R132" s="67" t="str">
        <f>IF(B132="","",IF(AND(G132&lt;&gt;"",COUNTIF(INVOICE_PIUTANG!$A$5:$A$151,G132)=0),"INVOICE BELUM TERDAFTAR",IF(AND(D132&lt;&gt;"",E132="ID TIDAK TERDAFTAR"),"PERKARA TIDAK VALID",IF(K132="","AKUN BELUM DIISI",IF(AND(G132&lt;&gt;"",D132&lt;&gt;IFERROR(INDEX(INVOICE_PIUTANG!$D$5:$D$151,MATCH(G132,INVOICE_PIUTANG!$A$5:$A$151,0)),"")),"PERKARA TIDAK SESUAI INVOICE",IF(V132&lt;&gt;"LENGKAP","PENERIMAAN BELUM DIKONFIRMASI","OK"))))))</f>
        <v/>
      </c>
      <c r="S132" s="98"/>
      <c r="T132" s="105"/>
      <c r="U132" s="98"/>
      <c r="V132" s="104" t="str">
        <f t="shared" si="19"/>
        <v/>
      </c>
    </row>
    <row r="133" spans="1:22">
      <c r="A133" s="9" t="str">
        <f t="shared" ref="A133:A164" si="20">IF(B133="","",IFERROR("INC-"&amp;TEXT(B133,"yyyymmdd")&amp;"-"&amp;TEXT(ROW()-4,"000"),"TANGGAL TIDAK VALID"))</f>
        <v/>
      </c>
      <c r="B133" s="80"/>
      <c r="C133" s="9" t="str">
        <f t="shared" ref="C133:C164" si="21">IF(B133="","",IFERROR(TEXT(B133,"yyyy-mm"),"TANGGAL TIDAK VALID"))</f>
        <v/>
      </c>
      <c r="D133" s="46" t="str">
        <f>IF(G133="","",IFERROR(INDEX(INVOICE_PIUTANG!$D$5:$D$151,MATCH(G133,INVOICE_PIUTANG!$A$5:$A$151,0)),""))</f>
        <v/>
      </c>
      <c r="E133" s="47" t="str">
        <f>IF(D133="","",IFERROR(INDEX(PERKARA!$B$5:$B$104,MATCH(D133,PERKARA!$A$5:$A$104,0)),"ID TIDAK TERDAFTAR"))</f>
        <v/>
      </c>
      <c r="F133" s="6"/>
      <c r="G133" s="6"/>
      <c r="H133" s="72"/>
      <c r="I133" s="72"/>
      <c r="J133" s="73" t="str">
        <f t="shared" ref="J133:J164" si="22">IF(B133="","",MAX(H133-I133,0))</f>
        <v/>
      </c>
      <c r="K133" s="6"/>
      <c r="L133" s="6"/>
      <c r="M133" s="9" t="str">
        <f t="shared" ref="M133:M164" si="23">IF(F133="","",IF(F133="Reimburse dari Klien","Penggantian Biaya",IF(F133="Dana Titipan Klien","Dana Klien",IF(F133="Setoran Modal Partner","Modal Partner",IF(F133="Pinjaman","Pinjaman","Pendapatan Operasional")))))</f>
        <v/>
      </c>
      <c r="N133" s="6"/>
      <c r="O133" s="6"/>
      <c r="P133" s="103"/>
      <c r="Q133" s="6"/>
      <c r="R133" s="67" t="str">
        <f>IF(B133="","",IF(AND(G133&lt;&gt;"",COUNTIF(INVOICE_PIUTANG!$A$5:$A$151,G133)=0),"INVOICE BELUM TERDAFTAR",IF(AND(D133&lt;&gt;"",E133="ID TIDAK TERDAFTAR"),"PERKARA TIDAK VALID",IF(K133="","AKUN BELUM DIISI",IF(AND(G133&lt;&gt;"",D133&lt;&gt;IFERROR(INDEX(INVOICE_PIUTANG!$D$5:$D$151,MATCH(G133,INVOICE_PIUTANG!$A$5:$A$151,0)),"")),"PERKARA TIDAK SESUAI INVOICE",IF(V133&lt;&gt;"LENGKAP","PENERIMAAN BELUM DIKONFIRMASI","OK"))))))</f>
        <v/>
      </c>
      <c r="S133" s="98"/>
      <c r="T133" s="105"/>
      <c r="U133" s="98"/>
      <c r="V133" s="104" t="str">
        <f t="shared" ref="V133:V164" si="24">IF(B133="","",IF(S133="Ditolak","DITOLAK",IF(AND(S133="Dikonfirmasi",P133&lt;&gt;""),"LENGKAP",IF(S133="Dikonfirmasi","NAMA PENYETUJU BELUM DIISI","MENUNGGU KONFIRMASI MANUAL"))))</f>
        <v/>
      </c>
    </row>
    <row r="134" spans="1:22">
      <c r="A134" s="9" t="str">
        <f t="shared" si="20"/>
        <v/>
      </c>
      <c r="B134" s="80"/>
      <c r="C134" s="9" t="str">
        <f t="shared" si="21"/>
        <v/>
      </c>
      <c r="D134" s="46" t="str">
        <f>IF(G134="","",IFERROR(INDEX(INVOICE_PIUTANG!$D$5:$D$151,MATCH(G134,INVOICE_PIUTANG!$A$5:$A$151,0)),""))</f>
        <v/>
      </c>
      <c r="E134" s="47" t="str">
        <f>IF(D134="","",IFERROR(INDEX(PERKARA!$B$5:$B$104,MATCH(D134,PERKARA!$A$5:$A$104,0)),"ID TIDAK TERDAFTAR"))</f>
        <v/>
      </c>
      <c r="F134" s="6"/>
      <c r="G134" s="6"/>
      <c r="H134" s="72"/>
      <c r="I134" s="72"/>
      <c r="J134" s="73" t="str">
        <f t="shared" si="22"/>
        <v/>
      </c>
      <c r="K134" s="6"/>
      <c r="L134" s="6"/>
      <c r="M134" s="9" t="str">
        <f t="shared" si="23"/>
        <v/>
      </c>
      <c r="N134" s="6"/>
      <c r="O134" s="6"/>
      <c r="P134" s="103"/>
      <c r="Q134" s="6"/>
      <c r="R134" s="67" t="str">
        <f>IF(B134="","",IF(AND(G134&lt;&gt;"",COUNTIF(INVOICE_PIUTANG!$A$5:$A$151,G134)=0),"INVOICE BELUM TERDAFTAR",IF(AND(D134&lt;&gt;"",E134="ID TIDAK TERDAFTAR"),"PERKARA TIDAK VALID",IF(K134="","AKUN BELUM DIISI",IF(AND(G134&lt;&gt;"",D134&lt;&gt;IFERROR(INDEX(INVOICE_PIUTANG!$D$5:$D$151,MATCH(G134,INVOICE_PIUTANG!$A$5:$A$151,0)),"")),"PERKARA TIDAK SESUAI INVOICE",IF(V134&lt;&gt;"LENGKAP","PENERIMAAN BELUM DIKONFIRMASI","OK"))))))</f>
        <v/>
      </c>
      <c r="S134" s="98"/>
      <c r="T134" s="105"/>
      <c r="U134" s="98"/>
      <c r="V134" s="104" t="str">
        <f t="shared" si="24"/>
        <v/>
      </c>
    </row>
    <row r="135" spans="1:22">
      <c r="A135" s="9" t="str">
        <f t="shared" si="20"/>
        <v/>
      </c>
      <c r="B135" s="80"/>
      <c r="C135" s="9" t="str">
        <f t="shared" si="21"/>
        <v/>
      </c>
      <c r="D135" s="46" t="str">
        <f>IF(G135="","",IFERROR(INDEX(INVOICE_PIUTANG!$D$5:$D$151,MATCH(G135,INVOICE_PIUTANG!$A$5:$A$151,0)),""))</f>
        <v/>
      </c>
      <c r="E135" s="47" t="str">
        <f>IF(D135="","",IFERROR(INDEX(PERKARA!$B$5:$B$104,MATCH(D135,PERKARA!$A$5:$A$104,0)),"ID TIDAK TERDAFTAR"))</f>
        <v/>
      </c>
      <c r="F135" s="6"/>
      <c r="G135" s="6"/>
      <c r="H135" s="72"/>
      <c r="I135" s="72"/>
      <c r="J135" s="73" t="str">
        <f t="shared" si="22"/>
        <v/>
      </c>
      <c r="K135" s="6"/>
      <c r="L135" s="6"/>
      <c r="M135" s="9" t="str">
        <f t="shared" si="23"/>
        <v/>
      </c>
      <c r="N135" s="6"/>
      <c r="O135" s="6"/>
      <c r="P135" s="103"/>
      <c r="Q135" s="6"/>
      <c r="R135" s="67" t="str">
        <f>IF(B135="","",IF(AND(G135&lt;&gt;"",COUNTIF(INVOICE_PIUTANG!$A$5:$A$151,G135)=0),"INVOICE BELUM TERDAFTAR",IF(AND(D135&lt;&gt;"",E135="ID TIDAK TERDAFTAR"),"PERKARA TIDAK VALID",IF(K135="","AKUN BELUM DIISI",IF(AND(G135&lt;&gt;"",D135&lt;&gt;IFERROR(INDEX(INVOICE_PIUTANG!$D$5:$D$151,MATCH(G135,INVOICE_PIUTANG!$A$5:$A$151,0)),"")),"PERKARA TIDAK SESUAI INVOICE",IF(V135&lt;&gt;"LENGKAP","PENERIMAAN BELUM DIKONFIRMASI","OK"))))))</f>
        <v/>
      </c>
      <c r="S135" s="98"/>
      <c r="T135" s="105"/>
      <c r="U135" s="98"/>
      <c r="V135" s="104" t="str">
        <f t="shared" si="24"/>
        <v/>
      </c>
    </row>
    <row r="136" spans="1:22">
      <c r="A136" s="9" t="str">
        <f t="shared" si="20"/>
        <v/>
      </c>
      <c r="B136" s="80"/>
      <c r="C136" s="9" t="str">
        <f t="shared" si="21"/>
        <v/>
      </c>
      <c r="D136" s="46" t="str">
        <f>IF(G136="","",IFERROR(INDEX(INVOICE_PIUTANG!$D$5:$D$151,MATCH(G136,INVOICE_PIUTANG!$A$5:$A$151,0)),""))</f>
        <v/>
      </c>
      <c r="E136" s="47" t="str">
        <f>IF(D136="","",IFERROR(INDEX(PERKARA!$B$5:$B$104,MATCH(D136,PERKARA!$A$5:$A$104,0)),"ID TIDAK TERDAFTAR"))</f>
        <v/>
      </c>
      <c r="F136" s="6"/>
      <c r="G136" s="6"/>
      <c r="H136" s="72"/>
      <c r="I136" s="72"/>
      <c r="J136" s="73" t="str">
        <f t="shared" si="22"/>
        <v/>
      </c>
      <c r="K136" s="6"/>
      <c r="L136" s="6"/>
      <c r="M136" s="9" t="str">
        <f t="shared" si="23"/>
        <v/>
      </c>
      <c r="N136" s="6"/>
      <c r="O136" s="6"/>
      <c r="P136" s="103"/>
      <c r="Q136" s="6"/>
      <c r="R136" s="67" t="str">
        <f>IF(B136="","",IF(AND(G136&lt;&gt;"",COUNTIF(INVOICE_PIUTANG!$A$5:$A$151,G136)=0),"INVOICE BELUM TERDAFTAR",IF(AND(D136&lt;&gt;"",E136="ID TIDAK TERDAFTAR"),"PERKARA TIDAK VALID",IF(K136="","AKUN BELUM DIISI",IF(AND(G136&lt;&gt;"",D136&lt;&gt;IFERROR(INDEX(INVOICE_PIUTANG!$D$5:$D$151,MATCH(G136,INVOICE_PIUTANG!$A$5:$A$151,0)),"")),"PERKARA TIDAK SESUAI INVOICE",IF(V136&lt;&gt;"LENGKAP","PENERIMAAN BELUM DIKONFIRMASI","OK"))))))</f>
        <v/>
      </c>
      <c r="S136" s="98"/>
      <c r="T136" s="105"/>
      <c r="U136" s="98"/>
      <c r="V136" s="104" t="str">
        <f t="shared" si="24"/>
        <v/>
      </c>
    </row>
    <row r="137" spans="1:22">
      <c r="A137" s="9" t="str">
        <f t="shared" si="20"/>
        <v/>
      </c>
      <c r="B137" s="80"/>
      <c r="C137" s="9" t="str">
        <f t="shared" si="21"/>
        <v/>
      </c>
      <c r="D137" s="46" t="str">
        <f>IF(G137="","",IFERROR(INDEX(INVOICE_PIUTANG!$D$5:$D$151,MATCH(G137,INVOICE_PIUTANG!$A$5:$A$151,0)),""))</f>
        <v/>
      </c>
      <c r="E137" s="47" t="str">
        <f>IF(D137="","",IFERROR(INDEX(PERKARA!$B$5:$B$104,MATCH(D137,PERKARA!$A$5:$A$104,0)),"ID TIDAK TERDAFTAR"))</f>
        <v/>
      </c>
      <c r="F137" s="6"/>
      <c r="G137" s="6"/>
      <c r="H137" s="72"/>
      <c r="I137" s="72"/>
      <c r="J137" s="73" t="str">
        <f t="shared" si="22"/>
        <v/>
      </c>
      <c r="K137" s="6"/>
      <c r="L137" s="6"/>
      <c r="M137" s="9" t="str">
        <f t="shared" si="23"/>
        <v/>
      </c>
      <c r="N137" s="6"/>
      <c r="O137" s="6"/>
      <c r="P137" s="103"/>
      <c r="Q137" s="6"/>
      <c r="R137" s="67" t="str">
        <f>IF(B137="","",IF(AND(G137&lt;&gt;"",COUNTIF(INVOICE_PIUTANG!$A$5:$A$151,G137)=0),"INVOICE BELUM TERDAFTAR",IF(AND(D137&lt;&gt;"",E137="ID TIDAK TERDAFTAR"),"PERKARA TIDAK VALID",IF(K137="","AKUN BELUM DIISI",IF(AND(G137&lt;&gt;"",D137&lt;&gt;IFERROR(INDEX(INVOICE_PIUTANG!$D$5:$D$151,MATCH(G137,INVOICE_PIUTANG!$A$5:$A$151,0)),"")),"PERKARA TIDAK SESUAI INVOICE",IF(V137&lt;&gt;"LENGKAP","PENERIMAAN BELUM DIKONFIRMASI","OK"))))))</f>
        <v/>
      </c>
      <c r="S137" s="98"/>
      <c r="T137" s="105"/>
      <c r="U137" s="98"/>
      <c r="V137" s="104" t="str">
        <f t="shared" si="24"/>
        <v/>
      </c>
    </row>
    <row r="138" spans="1:22">
      <c r="A138" s="9" t="str">
        <f t="shared" si="20"/>
        <v/>
      </c>
      <c r="B138" s="80"/>
      <c r="C138" s="9" t="str">
        <f t="shared" si="21"/>
        <v/>
      </c>
      <c r="D138" s="46" t="str">
        <f>IF(G138="","",IFERROR(INDEX(INVOICE_PIUTANG!$D$5:$D$151,MATCH(G138,INVOICE_PIUTANG!$A$5:$A$151,0)),""))</f>
        <v/>
      </c>
      <c r="E138" s="47" t="str">
        <f>IF(D138="","",IFERROR(INDEX(PERKARA!$B$5:$B$104,MATCH(D138,PERKARA!$A$5:$A$104,0)),"ID TIDAK TERDAFTAR"))</f>
        <v/>
      </c>
      <c r="F138" s="6"/>
      <c r="G138" s="6"/>
      <c r="H138" s="72"/>
      <c r="I138" s="72"/>
      <c r="J138" s="73" t="str">
        <f t="shared" si="22"/>
        <v/>
      </c>
      <c r="K138" s="6"/>
      <c r="L138" s="6"/>
      <c r="M138" s="9" t="str">
        <f t="shared" si="23"/>
        <v/>
      </c>
      <c r="N138" s="6"/>
      <c r="O138" s="6"/>
      <c r="P138" s="103"/>
      <c r="Q138" s="6"/>
      <c r="R138" s="67" t="str">
        <f>IF(B138="","",IF(AND(G138&lt;&gt;"",COUNTIF(INVOICE_PIUTANG!$A$5:$A$151,G138)=0),"INVOICE BELUM TERDAFTAR",IF(AND(D138&lt;&gt;"",E138="ID TIDAK TERDAFTAR"),"PERKARA TIDAK VALID",IF(K138="","AKUN BELUM DIISI",IF(AND(G138&lt;&gt;"",D138&lt;&gt;IFERROR(INDEX(INVOICE_PIUTANG!$D$5:$D$151,MATCH(G138,INVOICE_PIUTANG!$A$5:$A$151,0)),"")),"PERKARA TIDAK SESUAI INVOICE",IF(V138&lt;&gt;"LENGKAP","PENERIMAAN BELUM DIKONFIRMASI","OK"))))))</f>
        <v/>
      </c>
      <c r="S138" s="98"/>
      <c r="T138" s="105"/>
      <c r="U138" s="98"/>
      <c r="V138" s="104" t="str">
        <f t="shared" si="24"/>
        <v/>
      </c>
    </row>
    <row r="139" spans="1:22">
      <c r="A139" s="9" t="str">
        <f t="shared" si="20"/>
        <v/>
      </c>
      <c r="B139" s="80"/>
      <c r="C139" s="9" t="str">
        <f t="shared" si="21"/>
        <v/>
      </c>
      <c r="D139" s="46" t="str">
        <f>IF(G139="","",IFERROR(INDEX(INVOICE_PIUTANG!$D$5:$D$151,MATCH(G139,INVOICE_PIUTANG!$A$5:$A$151,0)),""))</f>
        <v/>
      </c>
      <c r="E139" s="47" t="str">
        <f>IF(D139="","",IFERROR(INDEX(PERKARA!$B$5:$B$104,MATCH(D139,PERKARA!$A$5:$A$104,0)),"ID TIDAK TERDAFTAR"))</f>
        <v/>
      </c>
      <c r="F139" s="6"/>
      <c r="G139" s="6"/>
      <c r="H139" s="72"/>
      <c r="I139" s="72"/>
      <c r="J139" s="73" t="str">
        <f t="shared" si="22"/>
        <v/>
      </c>
      <c r="K139" s="6"/>
      <c r="L139" s="6"/>
      <c r="M139" s="9" t="str">
        <f t="shared" si="23"/>
        <v/>
      </c>
      <c r="N139" s="6"/>
      <c r="O139" s="6"/>
      <c r="P139" s="103"/>
      <c r="Q139" s="6"/>
      <c r="R139" s="67" t="str">
        <f>IF(B139="","",IF(AND(G139&lt;&gt;"",COUNTIF(INVOICE_PIUTANG!$A$5:$A$151,G139)=0),"INVOICE BELUM TERDAFTAR",IF(AND(D139&lt;&gt;"",E139="ID TIDAK TERDAFTAR"),"PERKARA TIDAK VALID",IF(K139="","AKUN BELUM DIISI",IF(AND(G139&lt;&gt;"",D139&lt;&gt;IFERROR(INDEX(INVOICE_PIUTANG!$D$5:$D$151,MATCH(G139,INVOICE_PIUTANG!$A$5:$A$151,0)),"")),"PERKARA TIDAK SESUAI INVOICE",IF(V139&lt;&gt;"LENGKAP","PENERIMAAN BELUM DIKONFIRMASI","OK"))))))</f>
        <v/>
      </c>
      <c r="S139" s="98"/>
      <c r="T139" s="105"/>
      <c r="U139" s="98"/>
      <c r="V139" s="104" t="str">
        <f t="shared" si="24"/>
        <v/>
      </c>
    </row>
    <row r="140" spans="1:22">
      <c r="A140" s="9" t="str">
        <f t="shared" si="20"/>
        <v/>
      </c>
      <c r="B140" s="80"/>
      <c r="C140" s="9" t="str">
        <f t="shared" si="21"/>
        <v/>
      </c>
      <c r="D140" s="46" t="str">
        <f>IF(G140="","",IFERROR(INDEX(INVOICE_PIUTANG!$D$5:$D$151,MATCH(G140,INVOICE_PIUTANG!$A$5:$A$151,0)),""))</f>
        <v/>
      </c>
      <c r="E140" s="47" t="str">
        <f>IF(D140="","",IFERROR(INDEX(PERKARA!$B$5:$B$104,MATCH(D140,PERKARA!$A$5:$A$104,0)),"ID TIDAK TERDAFTAR"))</f>
        <v/>
      </c>
      <c r="F140" s="6"/>
      <c r="G140" s="6"/>
      <c r="H140" s="72"/>
      <c r="I140" s="72"/>
      <c r="J140" s="73" t="str">
        <f t="shared" si="22"/>
        <v/>
      </c>
      <c r="K140" s="6"/>
      <c r="L140" s="6"/>
      <c r="M140" s="9" t="str">
        <f t="shared" si="23"/>
        <v/>
      </c>
      <c r="N140" s="6"/>
      <c r="O140" s="6"/>
      <c r="P140" s="103"/>
      <c r="Q140" s="6"/>
      <c r="R140" s="67" t="str">
        <f>IF(B140="","",IF(AND(G140&lt;&gt;"",COUNTIF(INVOICE_PIUTANG!$A$5:$A$151,G140)=0),"INVOICE BELUM TERDAFTAR",IF(AND(D140&lt;&gt;"",E140="ID TIDAK TERDAFTAR"),"PERKARA TIDAK VALID",IF(K140="","AKUN BELUM DIISI",IF(AND(G140&lt;&gt;"",D140&lt;&gt;IFERROR(INDEX(INVOICE_PIUTANG!$D$5:$D$151,MATCH(G140,INVOICE_PIUTANG!$A$5:$A$151,0)),"")),"PERKARA TIDAK SESUAI INVOICE",IF(V140&lt;&gt;"LENGKAP","PENERIMAAN BELUM DIKONFIRMASI","OK"))))))</f>
        <v/>
      </c>
      <c r="S140" s="98"/>
      <c r="T140" s="105"/>
      <c r="U140" s="98"/>
      <c r="V140" s="104" t="str">
        <f t="shared" si="24"/>
        <v/>
      </c>
    </row>
    <row r="141" spans="1:22">
      <c r="A141" s="9" t="str">
        <f t="shared" si="20"/>
        <v/>
      </c>
      <c r="B141" s="80"/>
      <c r="C141" s="9" t="str">
        <f t="shared" si="21"/>
        <v/>
      </c>
      <c r="D141" s="46" t="str">
        <f>IF(G141="","",IFERROR(INDEX(INVOICE_PIUTANG!$D$5:$D$151,MATCH(G141,INVOICE_PIUTANG!$A$5:$A$151,0)),""))</f>
        <v/>
      </c>
      <c r="E141" s="47" t="str">
        <f>IF(D141="","",IFERROR(INDEX(PERKARA!$B$5:$B$104,MATCH(D141,PERKARA!$A$5:$A$104,0)),"ID TIDAK TERDAFTAR"))</f>
        <v/>
      </c>
      <c r="F141" s="6"/>
      <c r="G141" s="6"/>
      <c r="H141" s="72"/>
      <c r="I141" s="72"/>
      <c r="J141" s="73" t="str">
        <f t="shared" si="22"/>
        <v/>
      </c>
      <c r="K141" s="6"/>
      <c r="L141" s="6"/>
      <c r="M141" s="9" t="str">
        <f t="shared" si="23"/>
        <v/>
      </c>
      <c r="N141" s="6"/>
      <c r="O141" s="6"/>
      <c r="P141" s="103"/>
      <c r="Q141" s="6"/>
      <c r="R141" s="67" t="str">
        <f>IF(B141="","",IF(AND(G141&lt;&gt;"",COUNTIF(INVOICE_PIUTANG!$A$5:$A$151,G141)=0),"INVOICE BELUM TERDAFTAR",IF(AND(D141&lt;&gt;"",E141="ID TIDAK TERDAFTAR"),"PERKARA TIDAK VALID",IF(K141="","AKUN BELUM DIISI",IF(AND(G141&lt;&gt;"",D141&lt;&gt;IFERROR(INDEX(INVOICE_PIUTANG!$D$5:$D$151,MATCH(G141,INVOICE_PIUTANG!$A$5:$A$151,0)),"")),"PERKARA TIDAK SESUAI INVOICE",IF(V141&lt;&gt;"LENGKAP","PENERIMAAN BELUM DIKONFIRMASI","OK"))))))</f>
        <v/>
      </c>
      <c r="S141" s="98"/>
      <c r="T141" s="105"/>
      <c r="U141" s="98"/>
      <c r="V141" s="104" t="str">
        <f t="shared" si="24"/>
        <v/>
      </c>
    </row>
    <row r="142" spans="1:22">
      <c r="A142" s="9" t="str">
        <f t="shared" si="20"/>
        <v/>
      </c>
      <c r="B142" s="80"/>
      <c r="C142" s="9" t="str">
        <f t="shared" si="21"/>
        <v/>
      </c>
      <c r="D142" s="46" t="str">
        <f>IF(G142="","",IFERROR(INDEX(INVOICE_PIUTANG!$D$5:$D$151,MATCH(G142,INVOICE_PIUTANG!$A$5:$A$151,0)),""))</f>
        <v/>
      </c>
      <c r="E142" s="47" t="str">
        <f>IF(D142="","",IFERROR(INDEX(PERKARA!$B$5:$B$104,MATCH(D142,PERKARA!$A$5:$A$104,0)),"ID TIDAK TERDAFTAR"))</f>
        <v/>
      </c>
      <c r="F142" s="6"/>
      <c r="G142" s="6"/>
      <c r="H142" s="72"/>
      <c r="I142" s="72"/>
      <c r="J142" s="73" t="str">
        <f t="shared" si="22"/>
        <v/>
      </c>
      <c r="K142" s="6"/>
      <c r="L142" s="6"/>
      <c r="M142" s="9" t="str">
        <f t="shared" si="23"/>
        <v/>
      </c>
      <c r="N142" s="6"/>
      <c r="O142" s="6"/>
      <c r="P142" s="103"/>
      <c r="Q142" s="6"/>
      <c r="R142" s="67" t="str">
        <f>IF(B142="","",IF(AND(G142&lt;&gt;"",COUNTIF(INVOICE_PIUTANG!$A$5:$A$151,G142)=0),"INVOICE BELUM TERDAFTAR",IF(AND(D142&lt;&gt;"",E142="ID TIDAK TERDAFTAR"),"PERKARA TIDAK VALID",IF(K142="","AKUN BELUM DIISI",IF(AND(G142&lt;&gt;"",D142&lt;&gt;IFERROR(INDEX(INVOICE_PIUTANG!$D$5:$D$151,MATCH(G142,INVOICE_PIUTANG!$A$5:$A$151,0)),"")),"PERKARA TIDAK SESUAI INVOICE",IF(V142&lt;&gt;"LENGKAP","PENERIMAAN BELUM DIKONFIRMASI","OK"))))))</f>
        <v/>
      </c>
      <c r="S142" s="98"/>
      <c r="T142" s="105"/>
      <c r="U142" s="98"/>
      <c r="V142" s="104" t="str">
        <f t="shared" si="24"/>
        <v/>
      </c>
    </row>
    <row r="143" spans="1:22">
      <c r="A143" s="9" t="str">
        <f t="shared" si="20"/>
        <v/>
      </c>
      <c r="B143" s="80"/>
      <c r="C143" s="9" t="str">
        <f t="shared" si="21"/>
        <v/>
      </c>
      <c r="D143" s="46" t="str">
        <f>IF(G143="","",IFERROR(INDEX(INVOICE_PIUTANG!$D$5:$D$151,MATCH(G143,INVOICE_PIUTANG!$A$5:$A$151,0)),""))</f>
        <v/>
      </c>
      <c r="E143" s="47" t="str">
        <f>IF(D143="","",IFERROR(INDEX(PERKARA!$B$5:$B$104,MATCH(D143,PERKARA!$A$5:$A$104,0)),"ID TIDAK TERDAFTAR"))</f>
        <v/>
      </c>
      <c r="F143" s="6"/>
      <c r="G143" s="6"/>
      <c r="H143" s="72"/>
      <c r="I143" s="72"/>
      <c r="J143" s="73" t="str">
        <f t="shared" si="22"/>
        <v/>
      </c>
      <c r="K143" s="6"/>
      <c r="L143" s="6"/>
      <c r="M143" s="9" t="str">
        <f t="shared" si="23"/>
        <v/>
      </c>
      <c r="N143" s="6"/>
      <c r="O143" s="6"/>
      <c r="P143" s="103"/>
      <c r="Q143" s="6"/>
      <c r="R143" s="67" t="str">
        <f>IF(B143="","",IF(AND(G143&lt;&gt;"",COUNTIF(INVOICE_PIUTANG!$A$5:$A$151,G143)=0),"INVOICE BELUM TERDAFTAR",IF(AND(D143&lt;&gt;"",E143="ID TIDAK TERDAFTAR"),"PERKARA TIDAK VALID",IF(K143="","AKUN BELUM DIISI",IF(AND(G143&lt;&gt;"",D143&lt;&gt;IFERROR(INDEX(INVOICE_PIUTANG!$D$5:$D$151,MATCH(G143,INVOICE_PIUTANG!$A$5:$A$151,0)),"")),"PERKARA TIDAK SESUAI INVOICE",IF(V143&lt;&gt;"LENGKAP","PENERIMAAN BELUM DIKONFIRMASI","OK"))))))</f>
        <v/>
      </c>
      <c r="S143" s="98"/>
      <c r="T143" s="105"/>
      <c r="U143" s="98"/>
      <c r="V143" s="104" t="str">
        <f t="shared" si="24"/>
        <v/>
      </c>
    </row>
    <row r="144" spans="1:22">
      <c r="A144" s="9" t="str">
        <f t="shared" si="20"/>
        <v/>
      </c>
      <c r="B144" s="80"/>
      <c r="C144" s="9" t="str">
        <f t="shared" si="21"/>
        <v/>
      </c>
      <c r="D144" s="46" t="str">
        <f>IF(G144="","",IFERROR(INDEX(INVOICE_PIUTANG!$D$5:$D$151,MATCH(G144,INVOICE_PIUTANG!$A$5:$A$151,0)),""))</f>
        <v/>
      </c>
      <c r="E144" s="47" t="str">
        <f>IF(D144="","",IFERROR(INDEX(PERKARA!$B$5:$B$104,MATCH(D144,PERKARA!$A$5:$A$104,0)),"ID TIDAK TERDAFTAR"))</f>
        <v/>
      </c>
      <c r="F144" s="6"/>
      <c r="G144" s="6"/>
      <c r="H144" s="72"/>
      <c r="I144" s="72"/>
      <c r="J144" s="73" t="str">
        <f t="shared" si="22"/>
        <v/>
      </c>
      <c r="K144" s="6"/>
      <c r="L144" s="6"/>
      <c r="M144" s="9" t="str">
        <f t="shared" si="23"/>
        <v/>
      </c>
      <c r="N144" s="6"/>
      <c r="O144" s="6"/>
      <c r="P144" s="103"/>
      <c r="Q144" s="6"/>
      <c r="R144" s="67" t="str">
        <f>IF(B144="","",IF(AND(G144&lt;&gt;"",COUNTIF(INVOICE_PIUTANG!$A$5:$A$151,G144)=0),"INVOICE BELUM TERDAFTAR",IF(AND(D144&lt;&gt;"",E144="ID TIDAK TERDAFTAR"),"PERKARA TIDAK VALID",IF(K144="","AKUN BELUM DIISI",IF(AND(G144&lt;&gt;"",D144&lt;&gt;IFERROR(INDEX(INVOICE_PIUTANG!$D$5:$D$151,MATCH(G144,INVOICE_PIUTANG!$A$5:$A$151,0)),"")),"PERKARA TIDAK SESUAI INVOICE",IF(V144&lt;&gt;"LENGKAP","PENERIMAAN BELUM DIKONFIRMASI","OK"))))))</f>
        <v/>
      </c>
      <c r="S144" s="98"/>
      <c r="T144" s="105"/>
      <c r="U144" s="98"/>
      <c r="V144" s="104" t="str">
        <f t="shared" si="24"/>
        <v/>
      </c>
    </row>
    <row r="145" spans="1:22">
      <c r="A145" s="9" t="str">
        <f t="shared" si="20"/>
        <v/>
      </c>
      <c r="B145" s="80"/>
      <c r="C145" s="9" t="str">
        <f t="shared" si="21"/>
        <v/>
      </c>
      <c r="D145" s="46" t="str">
        <f>IF(G145="","",IFERROR(INDEX(INVOICE_PIUTANG!$D$5:$D$151,MATCH(G145,INVOICE_PIUTANG!$A$5:$A$151,0)),""))</f>
        <v/>
      </c>
      <c r="E145" s="47" t="str">
        <f>IF(D145="","",IFERROR(INDEX(PERKARA!$B$5:$B$104,MATCH(D145,PERKARA!$A$5:$A$104,0)),"ID TIDAK TERDAFTAR"))</f>
        <v/>
      </c>
      <c r="F145" s="6"/>
      <c r="G145" s="6"/>
      <c r="H145" s="72"/>
      <c r="I145" s="72"/>
      <c r="J145" s="73" t="str">
        <f t="shared" si="22"/>
        <v/>
      </c>
      <c r="K145" s="6"/>
      <c r="L145" s="6"/>
      <c r="M145" s="9" t="str">
        <f t="shared" si="23"/>
        <v/>
      </c>
      <c r="N145" s="6"/>
      <c r="O145" s="6"/>
      <c r="P145" s="103"/>
      <c r="Q145" s="6"/>
      <c r="R145" s="67" t="str">
        <f>IF(B145="","",IF(AND(G145&lt;&gt;"",COUNTIF(INVOICE_PIUTANG!$A$5:$A$151,G145)=0),"INVOICE BELUM TERDAFTAR",IF(AND(D145&lt;&gt;"",E145="ID TIDAK TERDAFTAR"),"PERKARA TIDAK VALID",IF(K145="","AKUN BELUM DIISI",IF(AND(G145&lt;&gt;"",D145&lt;&gt;IFERROR(INDEX(INVOICE_PIUTANG!$D$5:$D$151,MATCH(G145,INVOICE_PIUTANG!$A$5:$A$151,0)),"")),"PERKARA TIDAK SESUAI INVOICE",IF(V145&lt;&gt;"LENGKAP","PENERIMAAN BELUM DIKONFIRMASI","OK"))))))</f>
        <v/>
      </c>
      <c r="S145" s="98"/>
      <c r="T145" s="105"/>
      <c r="U145" s="98"/>
      <c r="V145" s="104" t="str">
        <f t="shared" si="24"/>
        <v/>
      </c>
    </row>
    <row r="146" spans="1:22">
      <c r="A146" s="9" t="str">
        <f t="shared" si="20"/>
        <v/>
      </c>
      <c r="B146" s="80"/>
      <c r="C146" s="9" t="str">
        <f t="shared" si="21"/>
        <v/>
      </c>
      <c r="D146" s="46" t="str">
        <f>IF(G146="","",IFERROR(INDEX(INVOICE_PIUTANG!$D$5:$D$151,MATCH(G146,INVOICE_PIUTANG!$A$5:$A$151,0)),""))</f>
        <v/>
      </c>
      <c r="E146" s="47" t="str">
        <f>IF(D146="","",IFERROR(INDEX(PERKARA!$B$5:$B$104,MATCH(D146,PERKARA!$A$5:$A$104,0)),"ID TIDAK TERDAFTAR"))</f>
        <v/>
      </c>
      <c r="F146" s="6"/>
      <c r="G146" s="6"/>
      <c r="H146" s="72"/>
      <c r="I146" s="72"/>
      <c r="J146" s="73" t="str">
        <f t="shared" si="22"/>
        <v/>
      </c>
      <c r="K146" s="6"/>
      <c r="L146" s="6"/>
      <c r="M146" s="9" t="str">
        <f t="shared" si="23"/>
        <v/>
      </c>
      <c r="N146" s="6"/>
      <c r="O146" s="6"/>
      <c r="P146" s="103"/>
      <c r="Q146" s="6"/>
      <c r="R146" s="67" t="str">
        <f>IF(B146="","",IF(AND(G146&lt;&gt;"",COUNTIF(INVOICE_PIUTANG!$A$5:$A$151,G146)=0),"INVOICE BELUM TERDAFTAR",IF(AND(D146&lt;&gt;"",E146="ID TIDAK TERDAFTAR"),"PERKARA TIDAK VALID",IF(K146="","AKUN BELUM DIISI",IF(AND(G146&lt;&gt;"",D146&lt;&gt;IFERROR(INDEX(INVOICE_PIUTANG!$D$5:$D$151,MATCH(G146,INVOICE_PIUTANG!$A$5:$A$151,0)),"")),"PERKARA TIDAK SESUAI INVOICE",IF(V146&lt;&gt;"LENGKAP","PENERIMAAN BELUM DIKONFIRMASI","OK"))))))</f>
        <v/>
      </c>
      <c r="S146" s="98"/>
      <c r="T146" s="105"/>
      <c r="U146" s="98"/>
      <c r="V146" s="104" t="str">
        <f t="shared" si="24"/>
        <v/>
      </c>
    </row>
    <row r="147" spans="1:22">
      <c r="A147" s="9" t="str">
        <f t="shared" si="20"/>
        <v/>
      </c>
      <c r="B147" s="80"/>
      <c r="C147" s="9" t="str">
        <f t="shared" si="21"/>
        <v/>
      </c>
      <c r="D147" s="46" t="str">
        <f>IF(G147="","",IFERROR(INDEX(INVOICE_PIUTANG!$D$5:$D$151,MATCH(G147,INVOICE_PIUTANG!$A$5:$A$151,0)),""))</f>
        <v/>
      </c>
      <c r="E147" s="47" t="str">
        <f>IF(D147="","",IFERROR(INDEX(PERKARA!$B$5:$B$104,MATCH(D147,PERKARA!$A$5:$A$104,0)),"ID TIDAK TERDAFTAR"))</f>
        <v/>
      </c>
      <c r="F147" s="6"/>
      <c r="G147" s="6"/>
      <c r="H147" s="72"/>
      <c r="I147" s="72"/>
      <c r="J147" s="73" t="str">
        <f t="shared" si="22"/>
        <v/>
      </c>
      <c r="K147" s="6"/>
      <c r="L147" s="6"/>
      <c r="M147" s="9" t="str">
        <f t="shared" si="23"/>
        <v/>
      </c>
      <c r="N147" s="6"/>
      <c r="O147" s="6"/>
      <c r="P147" s="103"/>
      <c r="Q147" s="6"/>
      <c r="R147" s="67" t="str">
        <f>IF(B147="","",IF(AND(G147&lt;&gt;"",COUNTIF(INVOICE_PIUTANG!$A$5:$A$151,G147)=0),"INVOICE BELUM TERDAFTAR",IF(AND(D147&lt;&gt;"",E147="ID TIDAK TERDAFTAR"),"PERKARA TIDAK VALID",IF(K147="","AKUN BELUM DIISI",IF(AND(G147&lt;&gt;"",D147&lt;&gt;IFERROR(INDEX(INVOICE_PIUTANG!$D$5:$D$151,MATCH(G147,INVOICE_PIUTANG!$A$5:$A$151,0)),"")),"PERKARA TIDAK SESUAI INVOICE",IF(V147&lt;&gt;"LENGKAP","PENERIMAAN BELUM DIKONFIRMASI","OK"))))))</f>
        <v/>
      </c>
      <c r="S147" s="98"/>
      <c r="T147" s="105"/>
      <c r="U147" s="98"/>
      <c r="V147" s="104" t="str">
        <f t="shared" si="24"/>
        <v/>
      </c>
    </row>
    <row r="148" spans="1:22">
      <c r="A148" s="9" t="str">
        <f t="shared" si="20"/>
        <v/>
      </c>
      <c r="B148" s="80"/>
      <c r="C148" s="9" t="str">
        <f t="shared" si="21"/>
        <v/>
      </c>
      <c r="D148" s="46" t="str">
        <f>IF(G148="","",IFERROR(INDEX(INVOICE_PIUTANG!$D$5:$D$151,MATCH(G148,INVOICE_PIUTANG!$A$5:$A$151,0)),""))</f>
        <v/>
      </c>
      <c r="E148" s="47" t="str">
        <f>IF(D148="","",IFERROR(INDEX(PERKARA!$B$5:$B$104,MATCH(D148,PERKARA!$A$5:$A$104,0)),"ID TIDAK TERDAFTAR"))</f>
        <v/>
      </c>
      <c r="F148" s="6"/>
      <c r="G148" s="6"/>
      <c r="H148" s="72"/>
      <c r="I148" s="72"/>
      <c r="J148" s="73" t="str">
        <f t="shared" si="22"/>
        <v/>
      </c>
      <c r="K148" s="6"/>
      <c r="L148" s="6"/>
      <c r="M148" s="9" t="str">
        <f t="shared" si="23"/>
        <v/>
      </c>
      <c r="N148" s="6"/>
      <c r="O148" s="6"/>
      <c r="P148" s="103"/>
      <c r="Q148" s="6"/>
      <c r="R148" s="67" t="str">
        <f>IF(B148="","",IF(AND(G148&lt;&gt;"",COUNTIF(INVOICE_PIUTANG!$A$5:$A$151,G148)=0),"INVOICE BELUM TERDAFTAR",IF(AND(D148&lt;&gt;"",E148="ID TIDAK TERDAFTAR"),"PERKARA TIDAK VALID",IF(K148="","AKUN BELUM DIISI",IF(AND(G148&lt;&gt;"",D148&lt;&gt;IFERROR(INDEX(INVOICE_PIUTANG!$D$5:$D$151,MATCH(G148,INVOICE_PIUTANG!$A$5:$A$151,0)),"")),"PERKARA TIDAK SESUAI INVOICE",IF(V148&lt;&gt;"LENGKAP","PENERIMAAN BELUM DIKONFIRMASI","OK"))))))</f>
        <v/>
      </c>
      <c r="S148" s="98"/>
      <c r="T148" s="105"/>
      <c r="U148" s="98"/>
      <c r="V148" s="104" t="str">
        <f t="shared" si="24"/>
        <v/>
      </c>
    </row>
    <row r="149" spans="1:22">
      <c r="A149" s="9" t="str">
        <f t="shared" si="20"/>
        <v/>
      </c>
      <c r="B149" s="80"/>
      <c r="C149" s="9" t="str">
        <f t="shared" si="21"/>
        <v/>
      </c>
      <c r="D149" s="46" t="str">
        <f>IF(G149="","",IFERROR(INDEX(INVOICE_PIUTANG!$D$5:$D$151,MATCH(G149,INVOICE_PIUTANG!$A$5:$A$151,0)),""))</f>
        <v/>
      </c>
      <c r="E149" s="47" t="str">
        <f>IF(D149="","",IFERROR(INDEX(PERKARA!$B$5:$B$104,MATCH(D149,PERKARA!$A$5:$A$104,0)),"ID TIDAK TERDAFTAR"))</f>
        <v/>
      </c>
      <c r="F149" s="6"/>
      <c r="G149" s="6"/>
      <c r="H149" s="72"/>
      <c r="I149" s="72"/>
      <c r="J149" s="73" t="str">
        <f t="shared" si="22"/>
        <v/>
      </c>
      <c r="K149" s="6"/>
      <c r="L149" s="6"/>
      <c r="M149" s="9" t="str">
        <f t="shared" si="23"/>
        <v/>
      </c>
      <c r="N149" s="6"/>
      <c r="O149" s="6"/>
      <c r="P149" s="103"/>
      <c r="Q149" s="6"/>
      <c r="R149" s="67" t="str">
        <f>IF(B149="","",IF(AND(G149&lt;&gt;"",COUNTIF(INVOICE_PIUTANG!$A$5:$A$151,G149)=0),"INVOICE BELUM TERDAFTAR",IF(AND(D149&lt;&gt;"",E149="ID TIDAK TERDAFTAR"),"PERKARA TIDAK VALID",IF(K149="","AKUN BELUM DIISI",IF(AND(G149&lt;&gt;"",D149&lt;&gt;IFERROR(INDEX(INVOICE_PIUTANG!$D$5:$D$151,MATCH(G149,INVOICE_PIUTANG!$A$5:$A$151,0)),"")),"PERKARA TIDAK SESUAI INVOICE",IF(V149&lt;&gt;"LENGKAP","PENERIMAAN BELUM DIKONFIRMASI","OK"))))))</f>
        <v/>
      </c>
      <c r="S149" s="98"/>
      <c r="T149" s="105"/>
      <c r="U149" s="98"/>
      <c r="V149" s="104" t="str">
        <f t="shared" si="24"/>
        <v/>
      </c>
    </row>
    <row r="150" spans="1:22">
      <c r="A150" s="9" t="str">
        <f t="shared" si="20"/>
        <v/>
      </c>
      <c r="B150" s="80"/>
      <c r="C150" s="9" t="str">
        <f t="shared" si="21"/>
        <v/>
      </c>
      <c r="D150" s="46" t="str">
        <f>IF(G150="","",IFERROR(INDEX(INVOICE_PIUTANG!$D$5:$D$151,MATCH(G150,INVOICE_PIUTANG!$A$5:$A$151,0)),""))</f>
        <v/>
      </c>
      <c r="E150" s="47" t="str">
        <f>IF(D150="","",IFERROR(INDEX(PERKARA!$B$5:$B$104,MATCH(D150,PERKARA!$A$5:$A$104,0)),"ID TIDAK TERDAFTAR"))</f>
        <v/>
      </c>
      <c r="F150" s="6"/>
      <c r="G150" s="6"/>
      <c r="H150" s="72"/>
      <c r="I150" s="72"/>
      <c r="J150" s="73" t="str">
        <f t="shared" si="22"/>
        <v/>
      </c>
      <c r="K150" s="6"/>
      <c r="L150" s="6"/>
      <c r="M150" s="9" t="str">
        <f t="shared" si="23"/>
        <v/>
      </c>
      <c r="N150" s="6"/>
      <c r="O150" s="6"/>
      <c r="P150" s="103"/>
      <c r="Q150" s="6"/>
      <c r="R150" s="67" t="str">
        <f>IF(B150="","",IF(AND(G150&lt;&gt;"",COUNTIF(INVOICE_PIUTANG!$A$5:$A$151,G150)=0),"INVOICE BELUM TERDAFTAR",IF(AND(D150&lt;&gt;"",E150="ID TIDAK TERDAFTAR"),"PERKARA TIDAK VALID",IF(K150="","AKUN BELUM DIISI",IF(AND(G150&lt;&gt;"",D150&lt;&gt;IFERROR(INDEX(INVOICE_PIUTANG!$D$5:$D$151,MATCH(G150,INVOICE_PIUTANG!$A$5:$A$151,0)),"")),"PERKARA TIDAK SESUAI INVOICE",IF(V150&lt;&gt;"LENGKAP","PENERIMAAN BELUM DIKONFIRMASI","OK"))))))</f>
        <v/>
      </c>
      <c r="S150" s="98"/>
      <c r="T150" s="105"/>
      <c r="U150" s="98"/>
      <c r="V150" s="104" t="str">
        <f t="shared" si="24"/>
        <v/>
      </c>
    </row>
    <row r="151" spans="1:22">
      <c r="A151" s="9" t="str">
        <f t="shared" si="20"/>
        <v/>
      </c>
      <c r="B151" s="80"/>
      <c r="C151" s="9" t="str">
        <f t="shared" si="21"/>
        <v/>
      </c>
      <c r="D151" s="46" t="str">
        <f>IF(G151="","",IFERROR(INDEX(INVOICE_PIUTANG!$D$5:$D$151,MATCH(G151,INVOICE_PIUTANG!$A$5:$A$151,0)),""))</f>
        <v/>
      </c>
      <c r="E151" s="47" t="str">
        <f>IF(D151="","",IFERROR(INDEX(PERKARA!$B$5:$B$104,MATCH(D151,PERKARA!$A$5:$A$104,0)),"ID TIDAK TERDAFTAR"))</f>
        <v/>
      </c>
      <c r="F151" s="6"/>
      <c r="G151" s="6"/>
      <c r="H151" s="72"/>
      <c r="I151" s="72"/>
      <c r="J151" s="73" t="str">
        <f t="shared" si="22"/>
        <v/>
      </c>
      <c r="K151" s="6"/>
      <c r="L151" s="6"/>
      <c r="M151" s="9" t="str">
        <f t="shared" si="23"/>
        <v/>
      </c>
      <c r="N151" s="6"/>
      <c r="O151" s="6"/>
      <c r="P151" s="103"/>
      <c r="Q151" s="6"/>
      <c r="R151" s="67" t="str">
        <f>IF(B151="","",IF(AND(G151&lt;&gt;"",COUNTIF(INVOICE_PIUTANG!$A$5:$A$151,G151)=0),"INVOICE BELUM TERDAFTAR",IF(AND(D151&lt;&gt;"",E151="ID TIDAK TERDAFTAR"),"PERKARA TIDAK VALID",IF(K151="","AKUN BELUM DIISI",IF(AND(G151&lt;&gt;"",D151&lt;&gt;IFERROR(INDEX(INVOICE_PIUTANG!$D$5:$D$151,MATCH(G151,INVOICE_PIUTANG!$A$5:$A$151,0)),"")),"PERKARA TIDAK SESUAI INVOICE",IF(V151&lt;&gt;"LENGKAP","PENERIMAAN BELUM DIKONFIRMASI","OK"))))))</f>
        <v/>
      </c>
      <c r="S151" s="98"/>
      <c r="T151" s="105"/>
      <c r="U151" s="98"/>
      <c r="V151" s="104" t="str">
        <f t="shared" si="24"/>
        <v/>
      </c>
    </row>
    <row r="152" spans="1:22">
      <c r="A152" s="9" t="str">
        <f t="shared" si="20"/>
        <v/>
      </c>
      <c r="B152" s="80"/>
      <c r="C152" s="9" t="str">
        <f t="shared" si="21"/>
        <v/>
      </c>
      <c r="D152" s="46" t="str">
        <f>IF(G152="","",IFERROR(INDEX(INVOICE_PIUTANG!$D$5:$D$151,MATCH(G152,INVOICE_PIUTANG!$A$5:$A$151,0)),""))</f>
        <v/>
      </c>
      <c r="E152" s="47" t="str">
        <f>IF(D152="","",IFERROR(INDEX(PERKARA!$B$5:$B$104,MATCH(D152,PERKARA!$A$5:$A$104,0)),"ID TIDAK TERDAFTAR"))</f>
        <v/>
      </c>
      <c r="F152" s="6"/>
      <c r="G152" s="6"/>
      <c r="H152" s="72"/>
      <c r="I152" s="72"/>
      <c r="J152" s="73" t="str">
        <f t="shared" si="22"/>
        <v/>
      </c>
      <c r="K152" s="6"/>
      <c r="L152" s="6"/>
      <c r="M152" s="9" t="str">
        <f t="shared" si="23"/>
        <v/>
      </c>
      <c r="N152" s="6"/>
      <c r="O152" s="6"/>
      <c r="P152" s="103"/>
      <c r="Q152" s="6"/>
      <c r="R152" s="67" t="str">
        <f>IF(B152="","",IF(AND(G152&lt;&gt;"",COUNTIF(INVOICE_PIUTANG!$A$5:$A$151,G152)=0),"INVOICE BELUM TERDAFTAR",IF(AND(D152&lt;&gt;"",E152="ID TIDAK TERDAFTAR"),"PERKARA TIDAK VALID",IF(K152="","AKUN BELUM DIISI",IF(AND(G152&lt;&gt;"",D152&lt;&gt;IFERROR(INDEX(INVOICE_PIUTANG!$D$5:$D$151,MATCH(G152,INVOICE_PIUTANG!$A$5:$A$151,0)),"")),"PERKARA TIDAK SESUAI INVOICE",IF(V152&lt;&gt;"LENGKAP","PENERIMAAN BELUM DIKONFIRMASI","OK"))))))</f>
        <v/>
      </c>
      <c r="S152" s="98"/>
      <c r="T152" s="105"/>
      <c r="U152" s="98"/>
      <c r="V152" s="104" t="str">
        <f t="shared" si="24"/>
        <v/>
      </c>
    </row>
    <row r="153" spans="1:22">
      <c r="A153" s="9" t="str">
        <f t="shared" si="20"/>
        <v/>
      </c>
      <c r="B153" s="80"/>
      <c r="C153" s="9" t="str">
        <f t="shared" si="21"/>
        <v/>
      </c>
      <c r="D153" s="46" t="str">
        <f>IF(G153="","",IFERROR(INDEX(INVOICE_PIUTANG!$D$5:$D$151,MATCH(G153,INVOICE_PIUTANG!$A$5:$A$151,0)),""))</f>
        <v/>
      </c>
      <c r="E153" s="47" t="str">
        <f>IF(D153="","",IFERROR(INDEX(PERKARA!$B$5:$B$104,MATCH(D153,PERKARA!$A$5:$A$104,0)),"ID TIDAK TERDAFTAR"))</f>
        <v/>
      </c>
      <c r="F153" s="6"/>
      <c r="G153" s="6"/>
      <c r="H153" s="72"/>
      <c r="I153" s="72"/>
      <c r="J153" s="73" t="str">
        <f t="shared" si="22"/>
        <v/>
      </c>
      <c r="K153" s="6"/>
      <c r="L153" s="6"/>
      <c r="M153" s="9" t="str">
        <f t="shared" si="23"/>
        <v/>
      </c>
      <c r="N153" s="6"/>
      <c r="O153" s="6"/>
      <c r="P153" s="103"/>
      <c r="Q153" s="6"/>
      <c r="R153" s="67" t="str">
        <f>IF(B153="","",IF(AND(G153&lt;&gt;"",COUNTIF(INVOICE_PIUTANG!$A$5:$A$151,G153)=0),"INVOICE BELUM TERDAFTAR",IF(AND(D153&lt;&gt;"",E153="ID TIDAK TERDAFTAR"),"PERKARA TIDAK VALID",IF(K153="","AKUN BELUM DIISI",IF(AND(G153&lt;&gt;"",D153&lt;&gt;IFERROR(INDEX(INVOICE_PIUTANG!$D$5:$D$151,MATCH(G153,INVOICE_PIUTANG!$A$5:$A$151,0)),"")),"PERKARA TIDAK SESUAI INVOICE",IF(V153&lt;&gt;"LENGKAP","PENERIMAAN BELUM DIKONFIRMASI","OK"))))))</f>
        <v/>
      </c>
      <c r="S153" s="98"/>
      <c r="T153" s="105"/>
      <c r="U153" s="98"/>
      <c r="V153" s="104" t="str">
        <f t="shared" si="24"/>
        <v/>
      </c>
    </row>
    <row r="154" spans="1:22">
      <c r="A154" s="9" t="str">
        <f t="shared" si="20"/>
        <v/>
      </c>
      <c r="B154" s="80"/>
      <c r="C154" s="9" t="str">
        <f t="shared" si="21"/>
        <v/>
      </c>
      <c r="D154" s="46" t="str">
        <f>IF(G154="","",IFERROR(INDEX(INVOICE_PIUTANG!$D$5:$D$151,MATCH(G154,INVOICE_PIUTANG!$A$5:$A$151,0)),""))</f>
        <v/>
      </c>
      <c r="E154" s="47" t="str">
        <f>IF(D154="","",IFERROR(INDEX(PERKARA!$B$5:$B$104,MATCH(D154,PERKARA!$A$5:$A$104,0)),"ID TIDAK TERDAFTAR"))</f>
        <v/>
      </c>
      <c r="F154" s="6"/>
      <c r="G154" s="6"/>
      <c r="H154" s="72"/>
      <c r="I154" s="72"/>
      <c r="J154" s="73" t="str">
        <f t="shared" si="22"/>
        <v/>
      </c>
      <c r="K154" s="6"/>
      <c r="L154" s="6"/>
      <c r="M154" s="9" t="str">
        <f t="shared" si="23"/>
        <v/>
      </c>
      <c r="N154" s="6"/>
      <c r="O154" s="6"/>
      <c r="P154" s="103"/>
      <c r="Q154" s="6"/>
      <c r="R154" s="67" t="str">
        <f>IF(B154="","",IF(AND(G154&lt;&gt;"",COUNTIF(INVOICE_PIUTANG!$A$5:$A$151,G154)=0),"INVOICE BELUM TERDAFTAR",IF(AND(D154&lt;&gt;"",E154="ID TIDAK TERDAFTAR"),"PERKARA TIDAK VALID",IF(K154="","AKUN BELUM DIISI",IF(AND(G154&lt;&gt;"",D154&lt;&gt;IFERROR(INDEX(INVOICE_PIUTANG!$D$5:$D$151,MATCH(G154,INVOICE_PIUTANG!$A$5:$A$151,0)),"")),"PERKARA TIDAK SESUAI INVOICE",IF(V154&lt;&gt;"LENGKAP","PENERIMAAN BELUM DIKONFIRMASI","OK"))))))</f>
        <v/>
      </c>
      <c r="S154" s="98"/>
      <c r="T154" s="105"/>
      <c r="U154" s="98"/>
      <c r="V154" s="104" t="str">
        <f t="shared" si="24"/>
        <v/>
      </c>
    </row>
    <row r="155" spans="1:22">
      <c r="A155" s="9" t="str">
        <f t="shared" si="20"/>
        <v/>
      </c>
      <c r="B155" s="80"/>
      <c r="C155" s="9" t="str">
        <f t="shared" si="21"/>
        <v/>
      </c>
      <c r="D155" s="46" t="str">
        <f>IF(G155="","",IFERROR(INDEX(INVOICE_PIUTANG!$D$5:$D$151,MATCH(G155,INVOICE_PIUTANG!$A$5:$A$151,0)),""))</f>
        <v/>
      </c>
      <c r="E155" s="47" t="str">
        <f>IF(D155="","",IFERROR(INDEX(PERKARA!$B$5:$B$104,MATCH(D155,PERKARA!$A$5:$A$104,0)),"ID TIDAK TERDAFTAR"))</f>
        <v/>
      </c>
      <c r="F155" s="6"/>
      <c r="G155" s="6"/>
      <c r="H155" s="72"/>
      <c r="I155" s="72"/>
      <c r="J155" s="73" t="str">
        <f t="shared" si="22"/>
        <v/>
      </c>
      <c r="K155" s="6"/>
      <c r="L155" s="6"/>
      <c r="M155" s="9" t="str">
        <f t="shared" si="23"/>
        <v/>
      </c>
      <c r="N155" s="6"/>
      <c r="O155" s="6"/>
      <c r="P155" s="103"/>
      <c r="Q155" s="6"/>
      <c r="R155" s="67" t="str">
        <f>IF(B155="","",IF(AND(G155&lt;&gt;"",COUNTIF(INVOICE_PIUTANG!$A$5:$A$151,G155)=0),"INVOICE BELUM TERDAFTAR",IF(AND(D155&lt;&gt;"",E155="ID TIDAK TERDAFTAR"),"PERKARA TIDAK VALID",IF(K155="","AKUN BELUM DIISI",IF(AND(G155&lt;&gt;"",D155&lt;&gt;IFERROR(INDEX(INVOICE_PIUTANG!$D$5:$D$151,MATCH(G155,INVOICE_PIUTANG!$A$5:$A$151,0)),"")),"PERKARA TIDAK SESUAI INVOICE",IF(V155&lt;&gt;"LENGKAP","PENERIMAAN BELUM DIKONFIRMASI","OK"))))))</f>
        <v/>
      </c>
      <c r="S155" s="98"/>
      <c r="T155" s="105"/>
      <c r="U155" s="98"/>
      <c r="V155" s="104" t="str">
        <f t="shared" si="24"/>
        <v/>
      </c>
    </row>
    <row r="156" spans="1:22">
      <c r="A156" s="9" t="str">
        <f t="shared" si="20"/>
        <v/>
      </c>
      <c r="B156" s="80"/>
      <c r="C156" s="9" t="str">
        <f t="shared" si="21"/>
        <v/>
      </c>
      <c r="D156" s="46" t="str">
        <f>IF(G156="","",IFERROR(INDEX(INVOICE_PIUTANG!$D$5:$D$151,MATCH(G156,INVOICE_PIUTANG!$A$5:$A$151,0)),""))</f>
        <v/>
      </c>
      <c r="E156" s="47" t="str">
        <f>IF(D156="","",IFERROR(INDEX(PERKARA!$B$5:$B$104,MATCH(D156,PERKARA!$A$5:$A$104,0)),"ID TIDAK TERDAFTAR"))</f>
        <v/>
      </c>
      <c r="F156" s="6"/>
      <c r="G156" s="6"/>
      <c r="H156" s="72"/>
      <c r="I156" s="72"/>
      <c r="J156" s="73" t="str">
        <f t="shared" si="22"/>
        <v/>
      </c>
      <c r="K156" s="6"/>
      <c r="L156" s="6"/>
      <c r="M156" s="9" t="str">
        <f t="shared" si="23"/>
        <v/>
      </c>
      <c r="N156" s="6"/>
      <c r="O156" s="6"/>
      <c r="P156" s="103"/>
      <c r="Q156" s="6"/>
      <c r="R156" s="67" t="str">
        <f>IF(B156="","",IF(AND(G156&lt;&gt;"",COUNTIF(INVOICE_PIUTANG!$A$5:$A$151,G156)=0),"INVOICE BELUM TERDAFTAR",IF(AND(D156&lt;&gt;"",E156="ID TIDAK TERDAFTAR"),"PERKARA TIDAK VALID",IF(K156="","AKUN BELUM DIISI",IF(AND(G156&lt;&gt;"",D156&lt;&gt;IFERROR(INDEX(INVOICE_PIUTANG!$D$5:$D$151,MATCH(G156,INVOICE_PIUTANG!$A$5:$A$151,0)),"")),"PERKARA TIDAK SESUAI INVOICE",IF(V156&lt;&gt;"LENGKAP","PENERIMAAN BELUM DIKONFIRMASI","OK"))))))</f>
        <v/>
      </c>
      <c r="S156" s="98"/>
      <c r="T156" s="105"/>
      <c r="U156" s="98"/>
      <c r="V156" s="104" t="str">
        <f t="shared" si="24"/>
        <v/>
      </c>
    </row>
    <row r="157" spans="1:22">
      <c r="A157" s="9" t="str">
        <f t="shared" si="20"/>
        <v/>
      </c>
      <c r="B157" s="80"/>
      <c r="C157" s="9" t="str">
        <f t="shared" si="21"/>
        <v/>
      </c>
      <c r="D157" s="46" t="str">
        <f>IF(G157="","",IFERROR(INDEX(INVOICE_PIUTANG!$D$5:$D$151,MATCH(G157,INVOICE_PIUTANG!$A$5:$A$151,0)),""))</f>
        <v/>
      </c>
      <c r="E157" s="47" t="str">
        <f>IF(D157="","",IFERROR(INDEX(PERKARA!$B$5:$B$104,MATCH(D157,PERKARA!$A$5:$A$104,0)),"ID TIDAK TERDAFTAR"))</f>
        <v/>
      </c>
      <c r="F157" s="6"/>
      <c r="G157" s="6"/>
      <c r="H157" s="72"/>
      <c r="I157" s="72"/>
      <c r="J157" s="73" t="str">
        <f t="shared" si="22"/>
        <v/>
      </c>
      <c r="K157" s="6"/>
      <c r="L157" s="6"/>
      <c r="M157" s="9" t="str">
        <f t="shared" si="23"/>
        <v/>
      </c>
      <c r="N157" s="6"/>
      <c r="O157" s="6"/>
      <c r="P157" s="103"/>
      <c r="Q157" s="6"/>
      <c r="R157" s="67" t="str">
        <f>IF(B157="","",IF(AND(G157&lt;&gt;"",COUNTIF(INVOICE_PIUTANG!$A$5:$A$151,G157)=0),"INVOICE BELUM TERDAFTAR",IF(AND(D157&lt;&gt;"",E157="ID TIDAK TERDAFTAR"),"PERKARA TIDAK VALID",IF(K157="","AKUN BELUM DIISI",IF(AND(G157&lt;&gt;"",D157&lt;&gt;IFERROR(INDEX(INVOICE_PIUTANG!$D$5:$D$151,MATCH(G157,INVOICE_PIUTANG!$A$5:$A$151,0)),"")),"PERKARA TIDAK SESUAI INVOICE",IF(V157&lt;&gt;"LENGKAP","PENERIMAAN BELUM DIKONFIRMASI","OK"))))))</f>
        <v/>
      </c>
      <c r="S157" s="98"/>
      <c r="T157" s="105"/>
      <c r="U157" s="98"/>
      <c r="V157" s="104" t="str">
        <f t="shared" si="24"/>
        <v/>
      </c>
    </row>
    <row r="158" spans="1:22">
      <c r="A158" s="9" t="str">
        <f t="shared" si="20"/>
        <v/>
      </c>
      <c r="B158" s="80"/>
      <c r="C158" s="9" t="str">
        <f t="shared" si="21"/>
        <v/>
      </c>
      <c r="D158" s="46" t="str">
        <f>IF(G158="","",IFERROR(INDEX(INVOICE_PIUTANG!$D$5:$D$151,MATCH(G158,INVOICE_PIUTANG!$A$5:$A$151,0)),""))</f>
        <v/>
      </c>
      <c r="E158" s="47" t="str">
        <f>IF(D158="","",IFERROR(INDEX(PERKARA!$B$5:$B$104,MATCH(D158,PERKARA!$A$5:$A$104,0)),"ID TIDAK TERDAFTAR"))</f>
        <v/>
      </c>
      <c r="F158" s="6"/>
      <c r="G158" s="6"/>
      <c r="H158" s="72"/>
      <c r="I158" s="72"/>
      <c r="J158" s="73" t="str">
        <f t="shared" si="22"/>
        <v/>
      </c>
      <c r="K158" s="6"/>
      <c r="L158" s="6"/>
      <c r="M158" s="9" t="str">
        <f t="shared" si="23"/>
        <v/>
      </c>
      <c r="N158" s="6"/>
      <c r="O158" s="6"/>
      <c r="P158" s="103"/>
      <c r="Q158" s="6"/>
      <c r="R158" s="67" t="str">
        <f>IF(B158="","",IF(AND(G158&lt;&gt;"",COUNTIF(INVOICE_PIUTANG!$A$5:$A$151,G158)=0),"INVOICE BELUM TERDAFTAR",IF(AND(D158&lt;&gt;"",E158="ID TIDAK TERDAFTAR"),"PERKARA TIDAK VALID",IF(K158="","AKUN BELUM DIISI",IF(AND(G158&lt;&gt;"",D158&lt;&gt;IFERROR(INDEX(INVOICE_PIUTANG!$D$5:$D$151,MATCH(G158,INVOICE_PIUTANG!$A$5:$A$151,0)),"")),"PERKARA TIDAK SESUAI INVOICE",IF(V158&lt;&gt;"LENGKAP","PENERIMAAN BELUM DIKONFIRMASI","OK"))))))</f>
        <v/>
      </c>
      <c r="S158" s="98"/>
      <c r="T158" s="105"/>
      <c r="U158" s="98"/>
      <c r="V158" s="104" t="str">
        <f t="shared" si="24"/>
        <v/>
      </c>
    </row>
    <row r="159" spans="1:22">
      <c r="A159" s="9" t="str">
        <f t="shared" si="20"/>
        <v/>
      </c>
      <c r="B159" s="80"/>
      <c r="C159" s="9" t="str">
        <f t="shared" si="21"/>
        <v/>
      </c>
      <c r="D159" s="46" t="str">
        <f>IF(G159="","",IFERROR(INDEX(INVOICE_PIUTANG!$D$5:$D$151,MATCH(G159,INVOICE_PIUTANG!$A$5:$A$151,0)),""))</f>
        <v/>
      </c>
      <c r="E159" s="47" t="str">
        <f>IF(D159="","",IFERROR(INDEX(PERKARA!$B$5:$B$104,MATCH(D159,PERKARA!$A$5:$A$104,0)),"ID TIDAK TERDAFTAR"))</f>
        <v/>
      </c>
      <c r="F159" s="6"/>
      <c r="G159" s="6"/>
      <c r="H159" s="72"/>
      <c r="I159" s="72"/>
      <c r="J159" s="73" t="str">
        <f t="shared" si="22"/>
        <v/>
      </c>
      <c r="K159" s="6"/>
      <c r="L159" s="6"/>
      <c r="M159" s="9" t="str">
        <f t="shared" si="23"/>
        <v/>
      </c>
      <c r="N159" s="6"/>
      <c r="O159" s="6"/>
      <c r="P159" s="103"/>
      <c r="Q159" s="6"/>
      <c r="R159" s="67" t="str">
        <f>IF(B159="","",IF(AND(G159&lt;&gt;"",COUNTIF(INVOICE_PIUTANG!$A$5:$A$151,G159)=0),"INVOICE BELUM TERDAFTAR",IF(AND(D159&lt;&gt;"",E159="ID TIDAK TERDAFTAR"),"PERKARA TIDAK VALID",IF(K159="","AKUN BELUM DIISI",IF(AND(G159&lt;&gt;"",D159&lt;&gt;IFERROR(INDEX(INVOICE_PIUTANG!$D$5:$D$151,MATCH(G159,INVOICE_PIUTANG!$A$5:$A$151,0)),"")),"PERKARA TIDAK SESUAI INVOICE",IF(V159&lt;&gt;"LENGKAP","PENERIMAAN BELUM DIKONFIRMASI","OK"))))))</f>
        <v/>
      </c>
      <c r="S159" s="98"/>
      <c r="T159" s="105"/>
      <c r="U159" s="98"/>
      <c r="V159" s="104" t="str">
        <f t="shared" si="24"/>
        <v/>
      </c>
    </row>
    <row r="160" spans="1:22">
      <c r="A160" s="9" t="str">
        <f t="shared" si="20"/>
        <v/>
      </c>
      <c r="B160" s="80"/>
      <c r="C160" s="9" t="str">
        <f t="shared" si="21"/>
        <v/>
      </c>
      <c r="D160" s="46" t="str">
        <f>IF(G160="","",IFERROR(INDEX(INVOICE_PIUTANG!$D$5:$D$151,MATCH(G160,INVOICE_PIUTANG!$A$5:$A$151,0)),""))</f>
        <v/>
      </c>
      <c r="E160" s="47" t="str">
        <f>IF(D160="","",IFERROR(INDEX(PERKARA!$B$5:$B$104,MATCH(D160,PERKARA!$A$5:$A$104,0)),"ID TIDAK TERDAFTAR"))</f>
        <v/>
      </c>
      <c r="F160" s="6"/>
      <c r="G160" s="6"/>
      <c r="H160" s="72"/>
      <c r="I160" s="72"/>
      <c r="J160" s="73" t="str">
        <f t="shared" si="22"/>
        <v/>
      </c>
      <c r="K160" s="6"/>
      <c r="L160" s="6"/>
      <c r="M160" s="9" t="str">
        <f t="shared" si="23"/>
        <v/>
      </c>
      <c r="N160" s="6"/>
      <c r="O160" s="6"/>
      <c r="P160" s="103"/>
      <c r="Q160" s="6"/>
      <c r="R160" s="67" t="str">
        <f>IF(B160="","",IF(AND(G160&lt;&gt;"",COUNTIF(INVOICE_PIUTANG!$A$5:$A$151,G160)=0),"INVOICE BELUM TERDAFTAR",IF(AND(D160&lt;&gt;"",E160="ID TIDAK TERDAFTAR"),"PERKARA TIDAK VALID",IF(K160="","AKUN BELUM DIISI",IF(AND(G160&lt;&gt;"",D160&lt;&gt;IFERROR(INDEX(INVOICE_PIUTANG!$D$5:$D$151,MATCH(G160,INVOICE_PIUTANG!$A$5:$A$151,0)),"")),"PERKARA TIDAK SESUAI INVOICE",IF(V160&lt;&gt;"LENGKAP","PENERIMAAN BELUM DIKONFIRMASI","OK"))))))</f>
        <v/>
      </c>
      <c r="S160" s="98"/>
      <c r="T160" s="105"/>
      <c r="U160" s="98"/>
      <c r="V160" s="104" t="str">
        <f t="shared" si="24"/>
        <v/>
      </c>
    </row>
    <row r="161" spans="1:22">
      <c r="A161" s="9" t="str">
        <f t="shared" si="20"/>
        <v/>
      </c>
      <c r="B161" s="80"/>
      <c r="C161" s="9" t="str">
        <f t="shared" si="21"/>
        <v/>
      </c>
      <c r="D161" s="46" t="str">
        <f>IF(G161="","",IFERROR(INDEX(INVOICE_PIUTANG!$D$5:$D$151,MATCH(G161,INVOICE_PIUTANG!$A$5:$A$151,0)),""))</f>
        <v/>
      </c>
      <c r="E161" s="47" t="str">
        <f>IF(D161="","",IFERROR(INDEX(PERKARA!$B$5:$B$104,MATCH(D161,PERKARA!$A$5:$A$104,0)),"ID TIDAK TERDAFTAR"))</f>
        <v/>
      </c>
      <c r="F161" s="6"/>
      <c r="G161" s="6"/>
      <c r="H161" s="72"/>
      <c r="I161" s="72"/>
      <c r="J161" s="73" t="str">
        <f t="shared" si="22"/>
        <v/>
      </c>
      <c r="K161" s="6"/>
      <c r="L161" s="6"/>
      <c r="M161" s="9" t="str">
        <f t="shared" si="23"/>
        <v/>
      </c>
      <c r="N161" s="6"/>
      <c r="O161" s="6"/>
      <c r="P161" s="103"/>
      <c r="Q161" s="6"/>
      <c r="R161" s="67" t="str">
        <f>IF(B161="","",IF(AND(G161&lt;&gt;"",COUNTIF(INVOICE_PIUTANG!$A$5:$A$151,G161)=0),"INVOICE BELUM TERDAFTAR",IF(AND(D161&lt;&gt;"",E161="ID TIDAK TERDAFTAR"),"PERKARA TIDAK VALID",IF(K161="","AKUN BELUM DIISI",IF(AND(G161&lt;&gt;"",D161&lt;&gt;IFERROR(INDEX(INVOICE_PIUTANG!$D$5:$D$151,MATCH(G161,INVOICE_PIUTANG!$A$5:$A$151,0)),"")),"PERKARA TIDAK SESUAI INVOICE",IF(V161&lt;&gt;"LENGKAP","PENERIMAAN BELUM DIKONFIRMASI","OK"))))))</f>
        <v/>
      </c>
      <c r="S161" s="98"/>
      <c r="T161" s="105"/>
      <c r="U161" s="98"/>
      <c r="V161" s="104" t="str">
        <f t="shared" si="24"/>
        <v/>
      </c>
    </row>
    <row r="162" spans="1:22">
      <c r="A162" s="9" t="str">
        <f t="shared" si="20"/>
        <v/>
      </c>
      <c r="B162" s="80"/>
      <c r="C162" s="9" t="str">
        <f t="shared" si="21"/>
        <v/>
      </c>
      <c r="D162" s="46" t="str">
        <f>IF(G162="","",IFERROR(INDEX(INVOICE_PIUTANG!$D$5:$D$151,MATCH(G162,INVOICE_PIUTANG!$A$5:$A$151,0)),""))</f>
        <v/>
      </c>
      <c r="E162" s="47" t="str">
        <f>IF(D162="","",IFERROR(INDEX(PERKARA!$B$5:$B$104,MATCH(D162,PERKARA!$A$5:$A$104,0)),"ID TIDAK TERDAFTAR"))</f>
        <v/>
      </c>
      <c r="F162" s="6"/>
      <c r="G162" s="6"/>
      <c r="H162" s="72"/>
      <c r="I162" s="72"/>
      <c r="J162" s="73" t="str">
        <f t="shared" si="22"/>
        <v/>
      </c>
      <c r="K162" s="6"/>
      <c r="L162" s="6"/>
      <c r="M162" s="9" t="str">
        <f t="shared" si="23"/>
        <v/>
      </c>
      <c r="N162" s="6"/>
      <c r="O162" s="6"/>
      <c r="P162" s="103"/>
      <c r="Q162" s="6"/>
      <c r="R162" s="67" t="str">
        <f>IF(B162="","",IF(AND(G162&lt;&gt;"",COUNTIF(INVOICE_PIUTANG!$A$5:$A$151,G162)=0),"INVOICE BELUM TERDAFTAR",IF(AND(D162&lt;&gt;"",E162="ID TIDAK TERDAFTAR"),"PERKARA TIDAK VALID",IF(K162="","AKUN BELUM DIISI",IF(AND(G162&lt;&gt;"",D162&lt;&gt;IFERROR(INDEX(INVOICE_PIUTANG!$D$5:$D$151,MATCH(G162,INVOICE_PIUTANG!$A$5:$A$151,0)),"")),"PERKARA TIDAK SESUAI INVOICE",IF(V162&lt;&gt;"LENGKAP","PENERIMAAN BELUM DIKONFIRMASI","OK"))))))</f>
        <v/>
      </c>
      <c r="S162" s="98"/>
      <c r="T162" s="105"/>
      <c r="U162" s="98"/>
      <c r="V162" s="104" t="str">
        <f t="shared" si="24"/>
        <v/>
      </c>
    </row>
    <row r="163" spans="1:22">
      <c r="A163" s="9" t="str">
        <f t="shared" si="20"/>
        <v/>
      </c>
      <c r="B163" s="80"/>
      <c r="C163" s="9" t="str">
        <f t="shared" si="21"/>
        <v/>
      </c>
      <c r="D163" s="46" t="str">
        <f>IF(G163="","",IFERROR(INDEX(INVOICE_PIUTANG!$D$5:$D$151,MATCH(G163,INVOICE_PIUTANG!$A$5:$A$151,0)),""))</f>
        <v/>
      </c>
      <c r="E163" s="47" t="str">
        <f>IF(D163="","",IFERROR(INDEX(PERKARA!$B$5:$B$104,MATCH(D163,PERKARA!$A$5:$A$104,0)),"ID TIDAK TERDAFTAR"))</f>
        <v/>
      </c>
      <c r="F163" s="6"/>
      <c r="G163" s="6"/>
      <c r="H163" s="72"/>
      <c r="I163" s="72"/>
      <c r="J163" s="73" t="str">
        <f t="shared" si="22"/>
        <v/>
      </c>
      <c r="K163" s="6"/>
      <c r="L163" s="6"/>
      <c r="M163" s="9" t="str">
        <f t="shared" si="23"/>
        <v/>
      </c>
      <c r="N163" s="6"/>
      <c r="O163" s="6"/>
      <c r="P163" s="103"/>
      <c r="Q163" s="6"/>
      <c r="R163" s="67" t="str">
        <f>IF(B163="","",IF(AND(G163&lt;&gt;"",COUNTIF(INVOICE_PIUTANG!$A$5:$A$151,G163)=0),"INVOICE BELUM TERDAFTAR",IF(AND(D163&lt;&gt;"",E163="ID TIDAK TERDAFTAR"),"PERKARA TIDAK VALID",IF(K163="","AKUN BELUM DIISI",IF(AND(G163&lt;&gt;"",D163&lt;&gt;IFERROR(INDEX(INVOICE_PIUTANG!$D$5:$D$151,MATCH(G163,INVOICE_PIUTANG!$A$5:$A$151,0)),"")),"PERKARA TIDAK SESUAI INVOICE",IF(V163&lt;&gt;"LENGKAP","PENERIMAAN BELUM DIKONFIRMASI","OK"))))))</f>
        <v/>
      </c>
      <c r="S163" s="98"/>
      <c r="T163" s="105"/>
      <c r="U163" s="98"/>
      <c r="V163" s="104" t="str">
        <f t="shared" si="24"/>
        <v/>
      </c>
    </row>
    <row r="164" spans="1:22">
      <c r="A164" s="9" t="str">
        <f t="shared" si="20"/>
        <v/>
      </c>
      <c r="B164" s="80"/>
      <c r="C164" s="9" t="str">
        <f t="shared" si="21"/>
        <v/>
      </c>
      <c r="D164" s="46" t="str">
        <f>IF(G164="","",IFERROR(INDEX(INVOICE_PIUTANG!$D$5:$D$151,MATCH(G164,INVOICE_PIUTANG!$A$5:$A$151,0)),""))</f>
        <v/>
      </c>
      <c r="E164" s="47" t="str">
        <f>IF(D164="","",IFERROR(INDEX(PERKARA!$B$5:$B$104,MATCH(D164,PERKARA!$A$5:$A$104,0)),"ID TIDAK TERDAFTAR"))</f>
        <v/>
      </c>
      <c r="F164" s="6"/>
      <c r="G164" s="6"/>
      <c r="H164" s="72"/>
      <c r="I164" s="72"/>
      <c r="J164" s="73" t="str">
        <f t="shared" si="22"/>
        <v/>
      </c>
      <c r="K164" s="6"/>
      <c r="L164" s="6"/>
      <c r="M164" s="9" t="str">
        <f t="shared" si="23"/>
        <v/>
      </c>
      <c r="N164" s="6"/>
      <c r="O164" s="6"/>
      <c r="P164" s="103"/>
      <c r="Q164" s="6"/>
      <c r="R164" s="67" t="str">
        <f>IF(B164="","",IF(AND(G164&lt;&gt;"",COUNTIF(INVOICE_PIUTANG!$A$5:$A$151,G164)=0),"INVOICE BELUM TERDAFTAR",IF(AND(D164&lt;&gt;"",E164="ID TIDAK TERDAFTAR"),"PERKARA TIDAK VALID",IF(K164="","AKUN BELUM DIISI",IF(AND(G164&lt;&gt;"",D164&lt;&gt;IFERROR(INDEX(INVOICE_PIUTANG!$D$5:$D$151,MATCH(G164,INVOICE_PIUTANG!$A$5:$A$151,0)),"")),"PERKARA TIDAK SESUAI INVOICE",IF(V164&lt;&gt;"LENGKAP","PENERIMAAN BELUM DIKONFIRMASI","OK"))))))</f>
        <v/>
      </c>
      <c r="S164" s="98"/>
      <c r="T164" s="105"/>
      <c r="U164" s="98"/>
      <c r="V164" s="104" t="str">
        <f t="shared" si="24"/>
        <v/>
      </c>
    </row>
    <row r="165" spans="1:22">
      <c r="A165" s="9" t="str">
        <f t="shared" ref="A165:A196" si="25">IF(B165="","",IFERROR("INC-"&amp;TEXT(B165,"yyyymmdd")&amp;"-"&amp;TEXT(ROW()-4,"000"),"TANGGAL TIDAK VALID"))</f>
        <v/>
      </c>
      <c r="B165" s="80"/>
      <c r="C165" s="9" t="str">
        <f t="shared" ref="C165:C196" si="26">IF(B165="","",IFERROR(TEXT(B165,"yyyy-mm"),"TANGGAL TIDAK VALID"))</f>
        <v/>
      </c>
      <c r="D165" s="46" t="str">
        <f>IF(G165="","",IFERROR(INDEX(INVOICE_PIUTANG!$D$5:$D$151,MATCH(G165,INVOICE_PIUTANG!$A$5:$A$151,0)),""))</f>
        <v/>
      </c>
      <c r="E165" s="47" t="str">
        <f>IF(D165="","",IFERROR(INDEX(PERKARA!$B$5:$B$104,MATCH(D165,PERKARA!$A$5:$A$104,0)),"ID TIDAK TERDAFTAR"))</f>
        <v/>
      </c>
      <c r="F165" s="6"/>
      <c r="G165" s="6"/>
      <c r="H165" s="72"/>
      <c r="I165" s="72"/>
      <c r="J165" s="73" t="str">
        <f t="shared" ref="J165:J196" si="27">IF(B165="","",MAX(H165-I165,0))</f>
        <v/>
      </c>
      <c r="K165" s="6"/>
      <c r="L165" s="6"/>
      <c r="M165" s="9" t="str">
        <f t="shared" ref="M165:M196" si="28">IF(F165="","",IF(F165="Reimburse dari Klien","Penggantian Biaya",IF(F165="Dana Titipan Klien","Dana Klien",IF(F165="Setoran Modal Partner","Modal Partner",IF(F165="Pinjaman","Pinjaman","Pendapatan Operasional")))))</f>
        <v/>
      </c>
      <c r="N165" s="6"/>
      <c r="O165" s="6"/>
      <c r="P165" s="103"/>
      <c r="Q165" s="6"/>
      <c r="R165" s="67" t="str">
        <f>IF(B165="","",IF(AND(G165&lt;&gt;"",COUNTIF(INVOICE_PIUTANG!$A$5:$A$151,G165)=0),"INVOICE BELUM TERDAFTAR",IF(AND(D165&lt;&gt;"",E165="ID TIDAK TERDAFTAR"),"PERKARA TIDAK VALID",IF(K165="","AKUN BELUM DIISI",IF(AND(G165&lt;&gt;"",D165&lt;&gt;IFERROR(INDEX(INVOICE_PIUTANG!$D$5:$D$151,MATCH(G165,INVOICE_PIUTANG!$A$5:$A$151,0)),"")),"PERKARA TIDAK SESUAI INVOICE",IF(V165&lt;&gt;"LENGKAP","PENERIMAAN BELUM DIKONFIRMASI","OK"))))))</f>
        <v/>
      </c>
      <c r="S165" s="98"/>
      <c r="T165" s="105"/>
      <c r="U165" s="98"/>
      <c r="V165" s="104" t="str">
        <f t="shared" ref="V165:V196" si="29">IF(B165="","",IF(S165="Ditolak","DITOLAK",IF(AND(S165="Dikonfirmasi",P165&lt;&gt;""),"LENGKAP",IF(S165="Dikonfirmasi","NAMA PENYETUJU BELUM DIISI","MENUNGGU KONFIRMASI MANUAL"))))</f>
        <v/>
      </c>
    </row>
    <row r="166" spans="1:22">
      <c r="A166" s="9" t="str">
        <f t="shared" si="25"/>
        <v/>
      </c>
      <c r="B166" s="80"/>
      <c r="C166" s="9" t="str">
        <f t="shared" si="26"/>
        <v/>
      </c>
      <c r="D166" s="46" t="str">
        <f>IF(G166="","",IFERROR(INDEX(INVOICE_PIUTANG!$D$5:$D$151,MATCH(G166,INVOICE_PIUTANG!$A$5:$A$151,0)),""))</f>
        <v/>
      </c>
      <c r="E166" s="47" t="str">
        <f>IF(D166="","",IFERROR(INDEX(PERKARA!$B$5:$B$104,MATCH(D166,PERKARA!$A$5:$A$104,0)),"ID TIDAK TERDAFTAR"))</f>
        <v/>
      </c>
      <c r="F166" s="6"/>
      <c r="G166" s="6"/>
      <c r="H166" s="72"/>
      <c r="I166" s="72"/>
      <c r="J166" s="73" t="str">
        <f t="shared" si="27"/>
        <v/>
      </c>
      <c r="K166" s="6"/>
      <c r="L166" s="6"/>
      <c r="M166" s="9" t="str">
        <f t="shared" si="28"/>
        <v/>
      </c>
      <c r="N166" s="6"/>
      <c r="O166" s="6"/>
      <c r="P166" s="103"/>
      <c r="Q166" s="6"/>
      <c r="R166" s="67" t="str">
        <f>IF(B166="","",IF(AND(G166&lt;&gt;"",COUNTIF(INVOICE_PIUTANG!$A$5:$A$151,G166)=0),"INVOICE BELUM TERDAFTAR",IF(AND(D166&lt;&gt;"",E166="ID TIDAK TERDAFTAR"),"PERKARA TIDAK VALID",IF(K166="","AKUN BELUM DIISI",IF(AND(G166&lt;&gt;"",D166&lt;&gt;IFERROR(INDEX(INVOICE_PIUTANG!$D$5:$D$151,MATCH(G166,INVOICE_PIUTANG!$A$5:$A$151,0)),"")),"PERKARA TIDAK SESUAI INVOICE",IF(V166&lt;&gt;"LENGKAP","PENERIMAAN BELUM DIKONFIRMASI","OK"))))))</f>
        <v/>
      </c>
      <c r="S166" s="98"/>
      <c r="T166" s="105"/>
      <c r="U166" s="98"/>
      <c r="V166" s="104" t="str">
        <f t="shared" si="29"/>
        <v/>
      </c>
    </row>
    <row r="167" spans="1:22">
      <c r="A167" s="9" t="str">
        <f t="shared" si="25"/>
        <v/>
      </c>
      <c r="B167" s="80"/>
      <c r="C167" s="9" t="str">
        <f t="shared" si="26"/>
        <v/>
      </c>
      <c r="D167" s="46" t="str">
        <f>IF(G167="","",IFERROR(INDEX(INVOICE_PIUTANG!$D$5:$D$151,MATCH(G167,INVOICE_PIUTANG!$A$5:$A$151,0)),""))</f>
        <v/>
      </c>
      <c r="E167" s="47" t="str">
        <f>IF(D167="","",IFERROR(INDEX(PERKARA!$B$5:$B$104,MATCH(D167,PERKARA!$A$5:$A$104,0)),"ID TIDAK TERDAFTAR"))</f>
        <v/>
      </c>
      <c r="F167" s="6"/>
      <c r="G167" s="6"/>
      <c r="H167" s="72"/>
      <c r="I167" s="72"/>
      <c r="J167" s="73" t="str">
        <f t="shared" si="27"/>
        <v/>
      </c>
      <c r="K167" s="6"/>
      <c r="L167" s="6"/>
      <c r="M167" s="9" t="str">
        <f t="shared" si="28"/>
        <v/>
      </c>
      <c r="N167" s="6"/>
      <c r="O167" s="6"/>
      <c r="P167" s="103"/>
      <c r="Q167" s="6"/>
      <c r="R167" s="67" t="str">
        <f>IF(B167="","",IF(AND(G167&lt;&gt;"",COUNTIF(INVOICE_PIUTANG!$A$5:$A$151,G167)=0),"INVOICE BELUM TERDAFTAR",IF(AND(D167&lt;&gt;"",E167="ID TIDAK TERDAFTAR"),"PERKARA TIDAK VALID",IF(K167="","AKUN BELUM DIISI",IF(AND(G167&lt;&gt;"",D167&lt;&gt;IFERROR(INDEX(INVOICE_PIUTANG!$D$5:$D$151,MATCH(G167,INVOICE_PIUTANG!$A$5:$A$151,0)),"")),"PERKARA TIDAK SESUAI INVOICE",IF(V167&lt;&gt;"LENGKAP","PENERIMAAN BELUM DIKONFIRMASI","OK"))))))</f>
        <v/>
      </c>
      <c r="S167" s="98"/>
      <c r="T167" s="105"/>
      <c r="U167" s="98"/>
      <c r="V167" s="104" t="str">
        <f t="shared" si="29"/>
        <v/>
      </c>
    </row>
    <row r="168" spans="1:22">
      <c r="A168" s="9" t="str">
        <f t="shared" si="25"/>
        <v/>
      </c>
      <c r="B168" s="80"/>
      <c r="C168" s="9" t="str">
        <f t="shared" si="26"/>
        <v/>
      </c>
      <c r="D168" s="46" t="str">
        <f>IF(G168="","",IFERROR(INDEX(INVOICE_PIUTANG!$D$5:$D$151,MATCH(G168,INVOICE_PIUTANG!$A$5:$A$151,0)),""))</f>
        <v/>
      </c>
      <c r="E168" s="47" t="str">
        <f>IF(D168="","",IFERROR(INDEX(PERKARA!$B$5:$B$104,MATCH(D168,PERKARA!$A$5:$A$104,0)),"ID TIDAK TERDAFTAR"))</f>
        <v/>
      </c>
      <c r="F168" s="6"/>
      <c r="G168" s="6"/>
      <c r="H168" s="72"/>
      <c r="I168" s="72"/>
      <c r="J168" s="73" t="str">
        <f t="shared" si="27"/>
        <v/>
      </c>
      <c r="K168" s="6"/>
      <c r="L168" s="6"/>
      <c r="M168" s="9" t="str">
        <f t="shared" si="28"/>
        <v/>
      </c>
      <c r="N168" s="6"/>
      <c r="O168" s="6"/>
      <c r="P168" s="103"/>
      <c r="Q168" s="6"/>
      <c r="R168" s="67" t="str">
        <f>IF(B168="","",IF(AND(G168&lt;&gt;"",COUNTIF(INVOICE_PIUTANG!$A$5:$A$151,G168)=0),"INVOICE BELUM TERDAFTAR",IF(AND(D168&lt;&gt;"",E168="ID TIDAK TERDAFTAR"),"PERKARA TIDAK VALID",IF(K168="","AKUN BELUM DIISI",IF(AND(G168&lt;&gt;"",D168&lt;&gt;IFERROR(INDEX(INVOICE_PIUTANG!$D$5:$D$151,MATCH(G168,INVOICE_PIUTANG!$A$5:$A$151,0)),"")),"PERKARA TIDAK SESUAI INVOICE",IF(V168&lt;&gt;"LENGKAP","PENERIMAAN BELUM DIKONFIRMASI","OK"))))))</f>
        <v/>
      </c>
      <c r="S168" s="98"/>
      <c r="T168" s="105"/>
      <c r="U168" s="98"/>
      <c r="V168" s="104" t="str">
        <f t="shared" si="29"/>
        <v/>
      </c>
    </row>
    <row r="169" spans="1:22">
      <c r="A169" s="9" t="str">
        <f t="shared" si="25"/>
        <v/>
      </c>
      <c r="B169" s="80"/>
      <c r="C169" s="9" t="str">
        <f t="shared" si="26"/>
        <v/>
      </c>
      <c r="D169" s="46" t="str">
        <f>IF(G169="","",IFERROR(INDEX(INVOICE_PIUTANG!$D$5:$D$151,MATCH(G169,INVOICE_PIUTANG!$A$5:$A$151,0)),""))</f>
        <v/>
      </c>
      <c r="E169" s="47" t="str">
        <f>IF(D169="","",IFERROR(INDEX(PERKARA!$B$5:$B$104,MATCH(D169,PERKARA!$A$5:$A$104,0)),"ID TIDAK TERDAFTAR"))</f>
        <v/>
      </c>
      <c r="F169" s="6"/>
      <c r="G169" s="6"/>
      <c r="H169" s="72"/>
      <c r="I169" s="72"/>
      <c r="J169" s="73" t="str">
        <f t="shared" si="27"/>
        <v/>
      </c>
      <c r="K169" s="6"/>
      <c r="L169" s="6"/>
      <c r="M169" s="9" t="str">
        <f t="shared" si="28"/>
        <v/>
      </c>
      <c r="N169" s="6"/>
      <c r="O169" s="6"/>
      <c r="P169" s="103"/>
      <c r="Q169" s="6"/>
      <c r="R169" s="67" t="str">
        <f>IF(B169="","",IF(AND(G169&lt;&gt;"",COUNTIF(INVOICE_PIUTANG!$A$5:$A$151,G169)=0),"INVOICE BELUM TERDAFTAR",IF(AND(D169&lt;&gt;"",E169="ID TIDAK TERDAFTAR"),"PERKARA TIDAK VALID",IF(K169="","AKUN BELUM DIISI",IF(AND(G169&lt;&gt;"",D169&lt;&gt;IFERROR(INDEX(INVOICE_PIUTANG!$D$5:$D$151,MATCH(G169,INVOICE_PIUTANG!$A$5:$A$151,0)),"")),"PERKARA TIDAK SESUAI INVOICE",IF(V169&lt;&gt;"LENGKAP","PENERIMAAN BELUM DIKONFIRMASI","OK"))))))</f>
        <v/>
      </c>
      <c r="S169" s="98"/>
      <c r="T169" s="105"/>
      <c r="U169" s="98"/>
      <c r="V169" s="104" t="str">
        <f t="shared" si="29"/>
        <v/>
      </c>
    </row>
    <row r="170" spans="1:22">
      <c r="A170" s="9" t="str">
        <f t="shared" si="25"/>
        <v/>
      </c>
      <c r="B170" s="80"/>
      <c r="C170" s="9" t="str">
        <f t="shared" si="26"/>
        <v/>
      </c>
      <c r="D170" s="46" t="str">
        <f>IF(G170="","",IFERROR(INDEX(INVOICE_PIUTANG!$D$5:$D$151,MATCH(G170,INVOICE_PIUTANG!$A$5:$A$151,0)),""))</f>
        <v/>
      </c>
      <c r="E170" s="47" t="str">
        <f>IF(D170="","",IFERROR(INDEX(PERKARA!$B$5:$B$104,MATCH(D170,PERKARA!$A$5:$A$104,0)),"ID TIDAK TERDAFTAR"))</f>
        <v/>
      </c>
      <c r="F170" s="6"/>
      <c r="G170" s="6"/>
      <c r="H170" s="72"/>
      <c r="I170" s="72"/>
      <c r="J170" s="73" t="str">
        <f t="shared" si="27"/>
        <v/>
      </c>
      <c r="K170" s="6"/>
      <c r="L170" s="6"/>
      <c r="M170" s="9" t="str">
        <f t="shared" si="28"/>
        <v/>
      </c>
      <c r="N170" s="6"/>
      <c r="O170" s="6"/>
      <c r="P170" s="103"/>
      <c r="Q170" s="6"/>
      <c r="R170" s="67" t="str">
        <f>IF(B170="","",IF(AND(G170&lt;&gt;"",COUNTIF(INVOICE_PIUTANG!$A$5:$A$151,G170)=0),"INVOICE BELUM TERDAFTAR",IF(AND(D170&lt;&gt;"",E170="ID TIDAK TERDAFTAR"),"PERKARA TIDAK VALID",IF(K170="","AKUN BELUM DIISI",IF(AND(G170&lt;&gt;"",D170&lt;&gt;IFERROR(INDEX(INVOICE_PIUTANG!$D$5:$D$151,MATCH(G170,INVOICE_PIUTANG!$A$5:$A$151,0)),"")),"PERKARA TIDAK SESUAI INVOICE",IF(V170&lt;&gt;"LENGKAP","PENERIMAAN BELUM DIKONFIRMASI","OK"))))))</f>
        <v/>
      </c>
      <c r="S170" s="98"/>
      <c r="T170" s="105"/>
      <c r="U170" s="98"/>
      <c r="V170" s="104" t="str">
        <f t="shared" si="29"/>
        <v/>
      </c>
    </row>
    <row r="171" spans="1:22">
      <c r="A171" s="9" t="str">
        <f t="shared" si="25"/>
        <v/>
      </c>
      <c r="B171" s="80"/>
      <c r="C171" s="9" t="str">
        <f t="shared" si="26"/>
        <v/>
      </c>
      <c r="D171" s="46" t="str">
        <f>IF(G171="","",IFERROR(INDEX(INVOICE_PIUTANG!$D$5:$D$151,MATCH(G171,INVOICE_PIUTANG!$A$5:$A$151,0)),""))</f>
        <v/>
      </c>
      <c r="E171" s="47" t="str">
        <f>IF(D171="","",IFERROR(INDEX(PERKARA!$B$5:$B$104,MATCH(D171,PERKARA!$A$5:$A$104,0)),"ID TIDAK TERDAFTAR"))</f>
        <v/>
      </c>
      <c r="F171" s="6"/>
      <c r="G171" s="6"/>
      <c r="H171" s="72"/>
      <c r="I171" s="72"/>
      <c r="J171" s="73" t="str">
        <f t="shared" si="27"/>
        <v/>
      </c>
      <c r="K171" s="6"/>
      <c r="L171" s="6"/>
      <c r="M171" s="9" t="str">
        <f t="shared" si="28"/>
        <v/>
      </c>
      <c r="N171" s="6"/>
      <c r="O171" s="6"/>
      <c r="P171" s="103"/>
      <c r="Q171" s="6"/>
      <c r="R171" s="67" t="str">
        <f>IF(B171="","",IF(AND(G171&lt;&gt;"",COUNTIF(INVOICE_PIUTANG!$A$5:$A$151,G171)=0),"INVOICE BELUM TERDAFTAR",IF(AND(D171&lt;&gt;"",E171="ID TIDAK TERDAFTAR"),"PERKARA TIDAK VALID",IF(K171="","AKUN BELUM DIISI",IF(AND(G171&lt;&gt;"",D171&lt;&gt;IFERROR(INDEX(INVOICE_PIUTANG!$D$5:$D$151,MATCH(G171,INVOICE_PIUTANG!$A$5:$A$151,0)),"")),"PERKARA TIDAK SESUAI INVOICE",IF(V171&lt;&gt;"LENGKAP","PENERIMAAN BELUM DIKONFIRMASI","OK"))))))</f>
        <v/>
      </c>
      <c r="S171" s="98"/>
      <c r="T171" s="105"/>
      <c r="U171" s="98"/>
      <c r="V171" s="104" t="str">
        <f t="shared" si="29"/>
        <v/>
      </c>
    </row>
    <row r="172" spans="1:22">
      <c r="A172" s="9" t="str">
        <f t="shared" si="25"/>
        <v/>
      </c>
      <c r="B172" s="80"/>
      <c r="C172" s="9" t="str">
        <f t="shared" si="26"/>
        <v/>
      </c>
      <c r="D172" s="46" t="str">
        <f>IF(G172="","",IFERROR(INDEX(INVOICE_PIUTANG!$D$5:$D$151,MATCH(G172,INVOICE_PIUTANG!$A$5:$A$151,0)),""))</f>
        <v/>
      </c>
      <c r="E172" s="47" t="str">
        <f>IF(D172="","",IFERROR(INDEX(PERKARA!$B$5:$B$104,MATCH(D172,PERKARA!$A$5:$A$104,0)),"ID TIDAK TERDAFTAR"))</f>
        <v/>
      </c>
      <c r="F172" s="6"/>
      <c r="G172" s="6"/>
      <c r="H172" s="72"/>
      <c r="I172" s="72"/>
      <c r="J172" s="73" t="str">
        <f t="shared" si="27"/>
        <v/>
      </c>
      <c r="K172" s="6"/>
      <c r="L172" s="6"/>
      <c r="M172" s="9" t="str">
        <f t="shared" si="28"/>
        <v/>
      </c>
      <c r="N172" s="6"/>
      <c r="O172" s="6"/>
      <c r="P172" s="103"/>
      <c r="Q172" s="6"/>
      <c r="R172" s="67" t="str">
        <f>IF(B172="","",IF(AND(G172&lt;&gt;"",COUNTIF(INVOICE_PIUTANG!$A$5:$A$151,G172)=0),"INVOICE BELUM TERDAFTAR",IF(AND(D172&lt;&gt;"",E172="ID TIDAK TERDAFTAR"),"PERKARA TIDAK VALID",IF(K172="","AKUN BELUM DIISI",IF(AND(G172&lt;&gt;"",D172&lt;&gt;IFERROR(INDEX(INVOICE_PIUTANG!$D$5:$D$151,MATCH(G172,INVOICE_PIUTANG!$A$5:$A$151,0)),"")),"PERKARA TIDAK SESUAI INVOICE",IF(V172&lt;&gt;"LENGKAP","PENERIMAAN BELUM DIKONFIRMASI","OK"))))))</f>
        <v/>
      </c>
      <c r="S172" s="98"/>
      <c r="T172" s="105"/>
      <c r="U172" s="98"/>
      <c r="V172" s="104" t="str">
        <f t="shared" si="29"/>
        <v/>
      </c>
    </row>
    <row r="173" spans="1:22">
      <c r="A173" s="9" t="str">
        <f t="shared" si="25"/>
        <v/>
      </c>
      <c r="B173" s="80"/>
      <c r="C173" s="9" t="str">
        <f t="shared" si="26"/>
        <v/>
      </c>
      <c r="D173" s="46" t="str">
        <f>IF(G173="","",IFERROR(INDEX(INVOICE_PIUTANG!$D$5:$D$151,MATCH(G173,INVOICE_PIUTANG!$A$5:$A$151,0)),""))</f>
        <v/>
      </c>
      <c r="E173" s="47" t="str">
        <f>IF(D173="","",IFERROR(INDEX(PERKARA!$B$5:$B$104,MATCH(D173,PERKARA!$A$5:$A$104,0)),"ID TIDAK TERDAFTAR"))</f>
        <v/>
      </c>
      <c r="F173" s="6"/>
      <c r="G173" s="6"/>
      <c r="H173" s="72"/>
      <c r="I173" s="72"/>
      <c r="J173" s="73" t="str">
        <f t="shared" si="27"/>
        <v/>
      </c>
      <c r="K173" s="6"/>
      <c r="L173" s="6"/>
      <c r="M173" s="9" t="str">
        <f t="shared" si="28"/>
        <v/>
      </c>
      <c r="N173" s="6"/>
      <c r="O173" s="6"/>
      <c r="P173" s="103"/>
      <c r="Q173" s="6"/>
      <c r="R173" s="67" t="str">
        <f>IF(B173="","",IF(AND(G173&lt;&gt;"",COUNTIF(INVOICE_PIUTANG!$A$5:$A$151,G173)=0),"INVOICE BELUM TERDAFTAR",IF(AND(D173&lt;&gt;"",E173="ID TIDAK TERDAFTAR"),"PERKARA TIDAK VALID",IF(K173="","AKUN BELUM DIISI",IF(AND(G173&lt;&gt;"",D173&lt;&gt;IFERROR(INDEX(INVOICE_PIUTANG!$D$5:$D$151,MATCH(G173,INVOICE_PIUTANG!$A$5:$A$151,0)),"")),"PERKARA TIDAK SESUAI INVOICE",IF(V173&lt;&gt;"LENGKAP","PENERIMAAN BELUM DIKONFIRMASI","OK"))))))</f>
        <v/>
      </c>
      <c r="S173" s="98"/>
      <c r="T173" s="105"/>
      <c r="U173" s="98"/>
      <c r="V173" s="104" t="str">
        <f t="shared" si="29"/>
        <v/>
      </c>
    </row>
    <row r="174" spans="1:22">
      <c r="A174" s="9" t="str">
        <f t="shared" si="25"/>
        <v/>
      </c>
      <c r="B174" s="80"/>
      <c r="C174" s="9" t="str">
        <f t="shared" si="26"/>
        <v/>
      </c>
      <c r="D174" s="46" t="str">
        <f>IF(G174="","",IFERROR(INDEX(INVOICE_PIUTANG!$D$5:$D$151,MATCH(G174,INVOICE_PIUTANG!$A$5:$A$151,0)),""))</f>
        <v/>
      </c>
      <c r="E174" s="47" t="str">
        <f>IF(D174="","",IFERROR(INDEX(PERKARA!$B$5:$B$104,MATCH(D174,PERKARA!$A$5:$A$104,0)),"ID TIDAK TERDAFTAR"))</f>
        <v/>
      </c>
      <c r="F174" s="6"/>
      <c r="G174" s="6"/>
      <c r="H174" s="72"/>
      <c r="I174" s="72"/>
      <c r="J174" s="73" t="str">
        <f t="shared" si="27"/>
        <v/>
      </c>
      <c r="K174" s="6"/>
      <c r="L174" s="6"/>
      <c r="M174" s="9" t="str">
        <f t="shared" si="28"/>
        <v/>
      </c>
      <c r="N174" s="6"/>
      <c r="O174" s="6"/>
      <c r="P174" s="103"/>
      <c r="Q174" s="6"/>
      <c r="R174" s="67" t="str">
        <f>IF(B174="","",IF(AND(G174&lt;&gt;"",COUNTIF(INVOICE_PIUTANG!$A$5:$A$151,G174)=0),"INVOICE BELUM TERDAFTAR",IF(AND(D174&lt;&gt;"",E174="ID TIDAK TERDAFTAR"),"PERKARA TIDAK VALID",IF(K174="","AKUN BELUM DIISI",IF(AND(G174&lt;&gt;"",D174&lt;&gt;IFERROR(INDEX(INVOICE_PIUTANG!$D$5:$D$151,MATCH(G174,INVOICE_PIUTANG!$A$5:$A$151,0)),"")),"PERKARA TIDAK SESUAI INVOICE",IF(V174&lt;&gt;"LENGKAP","PENERIMAAN BELUM DIKONFIRMASI","OK"))))))</f>
        <v/>
      </c>
      <c r="S174" s="98"/>
      <c r="T174" s="105"/>
      <c r="U174" s="98"/>
      <c r="V174" s="104" t="str">
        <f t="shared" si="29"/>
        <v/>
      </c>
    </row>
    <row r="175" spans="1:22">
      <c r="A175" s="9" t="str">
        <f t="shared" si="25"/>
        <v/>
      </c>
      <c r="B175" s="80"/>
      <c r="C175" s="9" t="str">
        <f t="shared" si="26"/>
        <v/>
      </c>
      <c r="D175" s="46" t="str">
        <f>IF(G175="","",IFERROR(INDEX(INVOICE_PIUTANG!$D$5:$D$151,MATCH(G175,INVOICE_PIUTANG!$A$5:$A$151,0)),""))</f>
        <v/>
      </c>
      <c r="E175" s="47" t="str">
        <f>IF(D175="","",IFERROR(INDEX(PERKARA!$B$5:$B$104,MATCH(D175,PERKARA!$A$5:$A$104,0)),"ID TIDAK TERDAFTAR"))</f>
        <v/>
      </c>
      <c r="F175" s="6"/>
      <c r="G175" s="6"/>
      <c r="H175" s="72"/>
      <c r="I175" s="72"/>
      <c r="J175" s="73" t="str">
        <f t="shared" si="27"/>
        <v/>
      </c>
      <c r="K175" s="6"/>
      <c r="L175" s="6"/>
      <c r="M175" s="9" t="str">
        <f t="shared" si="28"/>
        <v/>
      </c>
      <c r="N175" s="6"/>
      <c r="O175" s="6"/>
      <c r="P175" s="103"/>
      <c r="Q175" s="6"/>
      <c r="R175" s="67" t="str">
        <f>IF(B175="","",IF(AND(G175&lt;&gt;"",COUNTIF(INVOICE_PIUTANG!$A$5:$A$151,G175)=0),"INVOICE BELUM TERDAFTAR",IF(AND(D175&lt;&gt;"",E175="ID TIDAK TERDAFTAR"),"PERKARA TIDAK VALID",IF(K175="","AKUN BELUM DIISI",IF(AND(G175&lt;&gt;"",D175&lt;&gt;IFERROR(INDEX(INVOICE_PIUTANG!$D$5:$D$151,MATCH(G175,INVOICE_PIUTANG!$A$5:$A$151,0)),"")),"PERKARA TIDAK SESUAI INVOICE",IF(V175&lt;&gt;"LENGKAP","PENERIMAAN BELUM DIKONFIRMASI","OK"))))))</f>
        <v/>
      </c>
      <c r="S175" s="98"/>
      <c r="T175" s="105"/>
      <c r="U175" s="98"/>
      <c r="V175" s="104" t="str">
        <f t="shared" si="29"/>
        <v/>
      </c>
    </row>
    <row r="176" spans="1:22">
      <c r="A176" s="9" t="str">
        <f t="shared" si="25"/>
        <v/>
      </c>
      <c r="B176" s="80"/>
      <c r="C176" s="9" t="str">
        <f t="shared" si="26"/>
        <v/>
      </c>
      <c r="D176" s="46" t="str">
        <f>IF(G176="","",IFERROR(INDEX(INVOICE_PIUTANG!$D$5:$D$151,MATCH(G176,INVOICE_PIUTANG!$A$5:$A$151,0)),""))</f>
        <v/>
      </c>
      <c r="E176" s="47" t="str">
        <f>IF(D176="","",IFERROR(INDEX(PERKARA!$B$5:$B$104,MATCH(D176,PERKARA!$A$5:$A$104,0)),"ID TIDAK TERDAFTAR"))</f>
        <v/>
      </c>
      <c r="F176" s="6"/>
      <c r="G176" s="6"/>
      <c r="H176" s="72"/>
      <c r="I176" s="72"/>
      <c r="J176" s="73" t="str">
        <f t="shared" si="27"/>
        <v/>
      </c>
      <c r="K176" s="6"/>
      <c r="L176" s="6"/>
      <c r="M176" s="9" t="str">
        <f t="shared" si="28"/>
        <v/>
      </c>
      <c r="N176" s="6"/>
      <c r="O176" s="6"/>
      <c r="P176" s="103"/>
      <c r="Q176" s="6"/>
      <c r="R176" s="67" t="str">
        <f>IF(B176="","",IF(AND(G176&lt;&gt;"",COUNTIF(INVOICE_PIUTANG!$A$5:$A$151,G176)=0),"INVOICE BELUM TERDAFTAR",IF(AND(D176&lt;&gt;"",E176="ID TIDAK TERDAFTAR"),"PERKARA TIDAK VALID",IF(K176="","AKUN BELUM DIISI",IF(AND(G176&lt;&gt;"",D176&lt;&gt;IFERROR(INDEX(INVOICE_PIUTANG!$D$5:$D$151,MATCH(G176,INVOICE_PIUTANG!$A$5:$A$151,0)),"")),"PERKARA TIDAK SESUAI INVOICE",IF(V176&lt;&gt;"LENGKAP","PENERIMAAN BELUM DIKONFIRMASI","OK"))))))</f>
        <v/>
      </c>
      <c r="S176" s="98"/>
      <c r="T176" s="105"/>
      <c r="U176" s="98"/>
      <c r="V176" s="104" t="str">
        <f t="shared" si="29"/>
        <v/>
      </c>
    </row>
    <row r="177" spans="1:22">
      <c r="A177" s="9" t="str">
        <f t="shared" si="25"/>
        <v/>
      </c>
      <c r="B177" s="80"/>
      <c r="C177" s="9" t="str">
        <f t="shared" si="26"/>
        <v/>
      </c>
      <c r="D177" s="46" t="str">
        <f>IF(G177="","",IFERROR(INDEX(INVOICE_PIUTANG!$D$5:$D$151,MATCH(G177,INVOICE_PIUTANG!$A$5:$A$151,0)),""))</f>
        <v/>
      </c>
      <c r="E177" s="47" t="str">
        <f>IF(D177="","",IFERROR(INDEX(PERKARA!$B$5:$B$104,MATCH(D177,PERKARA!$A$5:$A$104,0)),"ID TIDAK TERDAFTAR"))</f>
        <v/>
      </c>
      <c r="F177" s="6"/>
      <c r="G177" s="6"/>
      <c r="H177" s="72"/>
      <c r="I177" s="72"/>
      <c r="J177" s="73" t="str">
        <f t="shared" si="27"/>
        <v/>
      </c>
      <c r="K177" s="6"/>
      <c r="L177" s="6"/>
      <c r="M177" s="9" t="str">
        <f t="shared" si="28"/>
        <v/>
      </c>
      <c r="N177" s="6"/>
      <c r="O177" s="6"/>
      <c r="P177" s="103"/>
      <c r="Q177" s="6"/>
      <c r="R177" s="67" t="str">
        <f>IF(B177="","",IF(AND(G177&lt;&gt;"",COUNTIF(INVOICE_PIUTANG!$A$5:$A$151,G177)=0),"INVOICE BELUM TERDAFTAR",IF(AND(D177&lt;&gt;"",E177="ID TIDAK TERDAFTAR"),"PERKARA TIDAK VALID",IF(K177="","AKUN BELUM DIISI",IF(AND(G177&lt;&gt;"",D177&lt;&gt;IFERROR(INDEX(INVOICE_PIUTANG!$D$5:$D$151,MATCH(G177,INVOICE_PIUTANG!$A$5:$A$151,0)),"")),"PERKARA TIDAK SESUAI INVOICE",IF(V177&lt;&gt;"LENGKAP","PENERIMAAN BELUM DIKONFIRMASI","OK"))))))</f>
        <v/>
      </c>
      <c r="S177" s="98"/>
      <c r="T177" s="105"/>
      <c r="U177" s="98"/>
      <c r="V177" s="104" t="str">
        <f t="shared" si="29"/>
        <v/>
      </c>
    </row>
    <row r="178" spans="1:22">
      <c r="A178" s="9" t="str">
        <f t="shared" si="25"/>
        <v/>
      </c>
      <c r="B178" s="80"/>
      <c r="C178" s="9" t="str">
        <f t="shared" si="26"/>
        <v/>
      </c>
      <c r="D178" s="46" t="str">
        <f>IF(G178="","",IFERROR(INDEX(INVOICE_PIUTANG!$D$5:$D$151,MATCH(G178,INVOICE_PIUTANG!$A$5:$A$151,0)),""))</f>
        <v/>
      </c>
      <c r="E178" s="47" t="str">
        <f>IF(D178="","",IFERROR(INDEX(PERKARA!$B$5:$B$104,MATCH(D178,PERKARA!$A$5:$A$104,0)),"ID TIDAK TERDAFTAR"))</f>
        <v/>
      </c>
      <c r="F178" s="6"/>
      <c r="G178" s="6"/>
      <c r="H178" s="72"/>
      <c r="I178" s="72"/>
      <c r="J178" s="73" t="str">
        <f t="shared" si="27"/>
        <v/>
      </c>
      <c r="K178" s="6"/>
      <c r="L178" s="6"/>
      <c r="M178" s="9" t="str">
        <f t="shared" si="28"/>
        <v/>
      </c>
      <c r="N178" s="6"/>
      <c r="O178" s="6"/>
      <c r="P178" s="103"/>
      <c r="Q178" s="6"/>
      <c r="R178" s="67" t="str">
        <f>IF(B178="","",IF(AND(G178&lt;&gt;"",COUNTIF(INVOICE_PIUTANG!$A$5:$A$151,G178)=0),"INVOICE BELUM TERDAFTAR",IF(AND(D178&lt;&gt;"",E178="ID TIDAK TERDAFTAR"),"PERKARA TIDAK VALID",IF(K178="","AKUN BELUM DIISI",IF(AND(G178&lt;&gt;"",D178&lt;&gt;IFERROR(INDEX(INVOICE_PIUTANG!$D$5:$D$151,MATCH(G178,INVOICE_PIUTANG!$A$5:$A$151,0)),"")),"PERKARA TIDAK SESUAI INVOICE",IF(V178&lt;&gt;"LENGKAP","PENERIMAAN BELUM DIKONFIRMASI","OK"))))))</f>
        <v/>
      </c>
      <c r="S178" s="98"/>
      <c r="T178" s="105"/>
      <c r="U178" s="98"/>
      <c r="V178" s="104" t="str">
        <f t="shared" si="29"/>
        <v/>
      </c>
    </row>
    <row r="179" spans="1:22">
      <c r="A179" s="9" t="str">
        <f t="shared" si="25"/>
        <v/>
      </c>
      <c r="B179" s="80"/>
      <c r="C179" s="9" t="str">
        <f t="shared" si="26"/>
        <v/>
      </c>
      <c r="D179" s="46" t="str">
        <f>IF(G179="","",IFERROR(INDEX(INVOICE_PIUTANG!$D$5:$D$151,MATCH(G179,INVOICE_PIUTANG!$A$5:$A$151,0)),""))</f>
        <v/>
      </c>
      <c r="E179" s="47" t="str">
        <f>IF(D179="","",IFERROR(INDEX(PERKARA!$B$5:$B$104,MATCH(D179,PERKARA!$A$5:$A$104,0)),"ID TIDAK TERDAFTAR"))</f>
        <v/>
      </c>
      <c r="F179" s="6"/>
      <c r="G179" s="6"/>
      <c r="H179" s="72"/>
      <c r="I179" s="72"/>
      <c r="J179" s="73" t="str">
        <f t="shared" si="27"/>
        <v/>
      </c>
      <c r="K179" s="6"/>
      <c r="L179" s="6"/>
      <c r="M179" s="9" t="str">
        <f t="shared" si="28"/>
        <v/>
      </c>
      <c r="N179" s="6"/>
      <c r="O179" s="6"/>
      <c r="P179" s="103"/>
      <c r="Q179" s="6"/>
      <c r="R179" s="67" t="str">
        <f>IF(B179="","",IF(AND(G179&lt;&gt;"",COUNTIF(INVOICE_PIUTANG!$A$5:$A$151,G179)=0),"INVOICE BELUM TERDAFTAR",IF(AND(D179&lt;&gt;"",E179="ID TIDAK TERDAFTAR"),"PERKARA TIDAK VALID",IF(K179="","AKUN BELUM DIISI",IF(AND(G179&lt;&gt;"",D179&lt;&gt;IFERROR(INDEX(INVOICE_PIUTANG!$D$5:$D$151,MATCH(G179,INVOICE_PIUTANG!$A$5:$A$151,0)),"")),"PERKARA TIDAK SESUAI INVOICE",IF(V179&lt;&gt;"LENGKAP","PENERIMAAN BELUM DIKONFIRMASI","OK"))))))</f>
        <v/>
      </c>
      <c r="S179" s="98"/>
      <c r="T179" s="105"/>
      <c r="U179" s="98"/>
      <c r="V179" s="104" t="str">
        <f t="shared" si="29"/>
        <v/>
      </c>
    </row>
    <row r="180" spans="1:22">
      <c r="A180" s="9" t="str">
        <f t="shared" si="25"/>
        <v/>
      </c>
      <c r="B180" s="80"/>
      <c r="C180" s="9" t="str">
        <f t="shared" si="26"/>
        <v/>
      </c>
      <c r="D180" s="46" t="str">
        <f>IF(G180="","",IFERROR(INDEX(INVOICE_PIUTANG!$D$5:$D$151,MATCH(G180,INVOICE_PIUTANG!$A$5:$A$151,0)),""))</f>
        <v/>
      </c>
      <c r="E180" s="47" t="str">
        <f>IF(D180="","",IFERROR(INDEX(PERKARA!$B$5:$B$104,MATCH(D180,PERKARA!$A$5:$A$104,0)),"ID TIDAK TERDAFTAR"))</f>
        <v/>
      </c>
      <c r="F180" s="6"/>
      <c r="G180" s="6"/>
      <c r="H180" s="72"/>
      <c r="I180" s="72"/>
      <c r="J180" s="73" t="str">
        <f t="shared" si="27"/>
        <v/>
      </c>
      <c r="K180" s="6"/>
      <c r="L180" s="6"/>
      <c r="M180" s="9" t="str">
        <f t="shared" si="28"/>
        <v/>
      </c>
      <c r="N180" s="6"/>
      <c r="O180" s="6"/>
      <c r="P180" s="103"/>
      <c r="Q180" s="6"/>
      <c r="R180" s="67" t="str">
        <f>IF(B180="","",IF(AND(G180&lt;&gt;"",COUNTIF(INVOICE_PIUTANG!$A$5:$A$151,G180)=0),"INVOICE BELUM TERDAFTAR",IF(AND(D180&lt;&gt;"",E180="ID TIDAK TERDAFTAR"),"PERKARA TIDAK VALID",IF(K180="","AKUN BELUM DIISI",IF(AND(G180&lt;&gt;"",D180&lt;&gt;IFERROR(INDEX(INVOICE_PIUTANG!$D$5:$D$151,MATCH(G180,INVOICE_PIUTANG!$A$5:$A$151,0)),"")),"PERKARA TIDAK SESUAI INVOICE",IF(V180&lt;&gt;"LENGKAP","PENERIMAAN BELUM DIKONFIRMASI","OK"))))))</f>
        <v/>
      </c>
      <c r="S180" s="98"/>
      <c r="T180" s="105"/>
      <c r="U180" s="98"/>
      <c r="V180" s="104" t="str">
        <f t="shared" si="29"/>
        <v/>
      </c>
    </row>
    <row r="181" spans="1:22">
      <c r="A181" s="9" t="str">
        <f t="shared" si="25"/>
        <v/>
      </c>
      <c r="B181" s="80"/>
      <c r="C181" s="9" t="str">
        <f t="shared" si="26"/>
        <v/>
      </c>
      <c r="D181" s="46" t="str">
        <f>IF(G181="","",IFERROR(INDEX(INVOICE_PIUTANG!$D$5:$D$151,MATCH(G181,INVOICE_PIUTANG!$A$5:$A$151,0)),""))</f>
        <v/>
      </c>
      <c r="E181" s="47" t="str">
        <f>IF(D181="","",IFERROR(INDEX(PERKARA!$B$5:$B$104,MATCH(D181,PERKARA!$A$5:$A$104,0)),"ID TIDAK TERDAFTAR"))</f>
        <v/>
      </c>
      <c r="F181" s="6"/>
      <c r="G181" s="6"/>
      <c r="H181" s="72"/>
      <c r="I181" s="72"/>
      <c r="J181" s="73" t="str">
        <f t="shared" si="27"/>
        <v/>
      </c>
      <c r="K181" s="6"/>
      <c r="L181" s="6"/>
      <c r="M181" s="9" t="str">
        <f t="shared" si="28"/>
        <v/>
      </c>
      <c r="N181" s="6"/>
      <c r="O181" s="6"/>
      <c r="P181" s="103"/>
      <c r="Q181" s="6"/>
      <c r="R181" s="67" t="str">
        <f>IF(B181="","",IF(AND(G181&lt;&gt;"",COUNTIF(INVOICE_PIUTANG!$A$5:$A$151,G181)=0),"INVOICE BELUM TERDAFTAR",IF(AND(D181&lt;&gt;"",E181="ID TIDAK TERDAFTAR"),"PERKARA TIDAK VALID",IF(K181="","AKUN BELUM DIISI",IF(AND(G181&lt;&gt;"",D181&lt;&gt;IFERROR(INDEX(INVOICE_PIUTANG!$D$5:$D$151,MATCH(G181,INVOICE_PIUTANG!$A$5:$A$151,0)),"")),"PERKARA TIDAK SESUAI INVOICE",IF(V181&lt;&gt;"LENGKAP","PENERIMAAN BELUM DIKONFIRMASI","OK"))))))</f>
        <v/>
      </c>
      <c r="S181" s="98"/>
      <c r="T181" s="105"/>
      <c r="U181" s="98"/>
      <c r="V181" s="104" t="str">
        <f t="shared" si="29"/>
        <v/>
      </c>
    </row>
    <row r="182" spans="1:22">
      <c r="A182" s="9" t="str">
        <f t="shared" si="25"/>
        <v/>
      </c>
      <c r="B182" s="80"/>
      <c r="C182" s="9" t="str">
        <f t="shared" si="26"/>
        <v/>
      </c>
      <c r="D182" s="46" t="str">
        <f>IF(G182="","",IFERROR(INDEX(INVOICE_PIUTANG!$D$5:$D$151,MATCH(G182,INVOICE_PIUTANG!$A$5:$A$151,0)),""))</f>
        <v/>
      </c>
      <c r="E182" s="47" t="str">
        <f>IF(D182="","",IFERROR(INDEX(PERKARA!$B$5:$B$104,MATCH(D182,PERKARA!$A$5:$A$104,0)),"ID TIDAK TERDAFTAR"))</f>
        <v/>
      </c>
      <c r="F182" s="6"/>
      <c r="G182" s="6"/>
      <c r="H182" s="72"/>
      <c r="I182" s="72"/>
      <c r="J182" s="73" t="str">
        <f t="shared" si="27"/>
        <v/>
      </c>
      <c r="K182" s="6"/>
      <c r="L182" s="6"/>
      <c r="M182" s="9" t="str">
        <f t="shared" si="28"/>
        <v/>
      </c>
      <c r="N182" s="6"/>
      <c r="O182" s="6"/>
      <c r="P182" s="103"/>
      <c r="Q182" s="6"/>
      <c r="R182" s="67" t="str">
        <f>IF(B182="","",IF(AND(G182&lt;&gt;"",COUNTIF(INVOICE_PIUTANG!$A$5:$A$151,G182)=0),"INVOICE BELUM TERDAFTAR",IF(AND(D182&lt;&gt;"",E182="ID TIDAK TERDAFTAR"),"PERKARA TIDAK VALID",IF(K182="","AKUN BELUM DIISI",IF(AND(G182&lt;&gt;"",D182&lt;&gt;IFERROR(INDEX(INVOICE_PIUTANG!$D$5:$D$151,MATCH(G182,INVOICE_PIUTANG!$A$5:$A$151,0)),"")),"PERKARA TIDAK SESUAI INVOICE",IF(V182&lt;&gt;"LENGKAP","PENERIMAAN BELUM DIKONFIRMASI","OK"))))))</f>
        <v/>
      </c>
      <c r="S182" s="98"/>
      <c r="T182" s="105"/>
      <c r="U182" s="98"/>
      <c r="V182" s="104" t="str">
        <f t="shared" si="29"/>
        <v/>
      </c>
    </row>
    <row r="183" spans="1:22">
      <c r="A183" s="9" t="str">
        <f t="shared" si="25"/>
        <v/>
      </c>
      <c r="B183" s="80"/>
      <c r="C183" s="9" t="str">
        <f t="shared" si="26"/>
        <v/>
      </c>
      <c r="D183" s="46" t="str">
        <f>IF(G183="","",IFERROR(INDEX(INVOICE_PIUTANG!$D$5:$D$151,MATCH(G183,INVOICE_PIUTANG!$A$5:$A$151,0)),""))</f>
        <v/>
      </c>
      <c r="E183" s="47" t="str">
        <f>IF(D183="","",IFERROR(INDEX(PERKARA!$B$5:$B$104,MATCH(D183,PERKARA!$A$5:$A$104,0)),"ID TIDAK TERDAFTAR"))</f>
        <v/>
      </c>
      <c r="F183" s="6"/>
      <c r="G183" s="6"/>
      <c r="H183" s="72"/>
      <c r="I183" s="72"/>
      <c r="J183" s="73" t="str">
        <f t="shared" si="27"/>
        <v/>
      </c>
      <c r="K183" s="6"/>
      <c r="L183" s="6"/>
      <c r="M183" s="9" t="str">
        <f t="shared" si="28"/>
        <v/>
      </c>
      <c r="N183" s="6"/>
      <c r="O183" s="6"/>
      <c r="P183" s="103"/>
      <c r="Q183" s="6"/>
      <c r="R183" s="67" t="str">
        <f>IF(B183="","",IF(AND(G183&lt;&gt;"",COUNTIF(INVOICE_PIUTANG!$A$5:$A$151,G183)=0),"INVOICE BELUM TERDAFTAR",IF(AND(D183&lt;&gt;"",E183="ID TIDAK TERDAFTAR"),"PERKARA TIDAK VALID",IF(K183="","AKUN BELUM DIISI",IF(AND(G183&lt;&gt;"",D183&lt;&gt;IFERROR(INDEX(INVOICE_PIUTANG!$D$5:$D$151,MATCH(G183,INVOICE_PIUTANG!$A$5:$A$151,0)),"")),"PERKARA TIDAK SESUAI INVOICE",IF(V183&lt;&gt;"LENGKAP","PENERIMAAN BELUM DIKONFIRMASI","OK"))))))</f>
        <v/>
      </c>
      <c r="S183" s="98"/>
      <c r="T183" s="105"/>
      <c r="U183" s="98"/>
      <c r="V183" s="104" t="str">
        <f t="shared" si="29"/>
        <v/>
      </c>
    </row>
    <row r="184" spans="1:22">
      <c r="A184" s="9" t="str">
        <f t="shared" si="25"/>
        <v/>
      </c>
      <c r="B184" s="80"/>
      <c r="C184" s="9" t="str">
        <f t="shared" si="26"/>
        <v/>
      </c>
      <c r="D184" s="46" t="str">
        <f>IF(G184="","",IFERROR(INDEX(INVOICE_PIUTANG!$D$5:$D$151,MATCH(G184,INVOICE_PIUTANG!$A$5:$A$151,0)),""))</f>
        <v/>
      </c>
      <c r="E184" s="47" t="str">
        <f>IF(D184="","",IFERROR(INDEX(PERKARA!$B$5:$B$104,MATCH(D184,PERKARA!$A$5:$A$104,0)),"ID TIDAK TERDAFTAR"))</f>
        <v/>
      </c>
      <c r="F184" s="6"/>
      <c r="G184" s="6"/>
      <c r="H184" s="72"/>
      <c r="I184" s="72"/>
      <c r="J184" s="73" t="str">
        <f t="shared" si="27"/>
        <v/>
      </c>
      <c r="K184" s="6"/>
      <c r="L184" s="6"/>
      <c r="M184" s="9" t="str">
        <f t="shared" si="28"/>
        <v/>
      </c>
      <c r="N184" s="6"/>
      <c r="O184" s="6"/>
      <c r="P184" s="103"/>
      <c r="Q184" s="6"/>
      <c r="R184" s="67" t="str">
        <f>IF(B184="","",IF(AND(G184&lt;&gt;"",COUNTIF(INVOICE_PIUTANG!$A$5:$A$151,G184)=0),"INVOICE BELUM TERDAFTAR",IF(AND(D184&lt;&gt;"",E184="ID TIDAK TERDAFTAR"),"PERKARA TIDAK VALID",IF(K184="","AKUN BELUM DIISI",IF(AND(G184&lt;&gt;"",D184&lt;&gt;IFERROR(INDEX(INVOICE_PIUTANG!$D$5:$D$151,MATCH(G184,INVOICE_PIUTANG!$A$5:$A$151,0)),"")),"PERKARA TIDAK SESUAI INVOICE",IF(V184&lt;&gt;"LENGKAP","PENERIMAAN BELUM DIKONFIRMASI","OK"))))))</f>
        <v/>
      </c>
      <c r="S184" s="98"/>
      <c r="T184" s="105"/>
      <c r="U184" s="98"/>
      <c r="V184" s="104" t="str">
        <f t="shared" si="29"/>
        <v/>
      </c>
    </row>
    <row r="185" spans="1:22">
      <c r="A185" s="9" t="str">
        <f t="shared" si="25"/>
        <v/>
      </c>
      <c r="B185" s="80"/>
      <c r="C185" s="9" t="str">
        <f t="shared" si="26"/>
        <v/>
      </c>
      <c r="D185" s="46" t="str">
        <f>IF(G185="","",IFERROR(INDEX(INVOICE_PIUTANG!$D$5:$D$151,MATCH(G185,INVOICE_PIUTANG!$A$5:$A$151,0)),""))</f>
        <v/>
      </c>
      <c r="E185" s="47" t="str">
        <f>IF(D185="","",IFERROR(INDEX(PERKARA!$B$5:$B$104,MATCH(D185,PERKARA!$A$5:$A$104,0)),"ID TIDAK TERDAFTAR"))</f>
        <v/>
      </c>
      <c r="F185" s="6"/>
      <c r="G185" s="6"/>
      <c r="H185" s="72"/>
      <c r="I185" s="72"/>
      <c r="J185" s="73" t="str">
        <f t="shared" si="27"/>
        <v/>
      </c>
      <c r="K185" s="6"/>
      <c r="L185" s="6"/>
      <c r="M185" s="9" t="str">
        <f t="shared" si="28"/>
        <v/>
      </c>
      <c r="N185" s="6"/>
      <c r="O185" s="6"/>
      <c r="P185" s="103"/>
      <c r="Q185" s="6"/>
      <c r="R185" s="67" t="str">
        <f>IF(B185="","",IF(AND(G185&lt;&gt;"",COUNTIF(INVOICE_PIUTANG!$A$5:$A$151,G185)=0),"INVOICE BELUM TERDAFTAR",IF(AND(D185&lt;&gt;"",E185="ID TIDAK TERDAFTAR"),"PERKARA TIDAK VALID",IF(K185="","AKUN BELUM DIISI",IF(AND(G185&lt;&gt;"",D185&lt;&gt;IFERROR(INDEX(INVOICE_PIUTANG!$D$5:$D$151,MATCH(G185,INVOICE_PIUTANG!$A$5:$A$151,0)),"")),"PERKARA TIDAK SESUAI INVOICE",IF(V185&lt;&gt;"LENGKAP","PENERIMAAN BELUM DIKONFIRMASI","OK"))))))</f>
        <v/>
      </c>
      <c r="S185" s="98"/>
      <c r="T185" s="105"/>
      <c r="U185" s="98"/>
      <c r="V185" s="104" t="str">
        <f t="shared" si="29"/>
        <v/>
      </c>
    </row>
    <row r="186" spans="1:22">
      <c r="A186" s="9" t="str">
        <f t="shared" si="25"/>
        <v/>
      </c>
      <c r="B186" s="80"/>
      <c r="C186" s="9" t="str">
        <f t="shared" si="26"/>
        <v/>
      </c>
      <c r="D186" s="46" t="str">
        <f>IF(G186="","",IFERROR(INDEX(INVOICE_PIUTANG!$D$5:$D$151,MATCH(G186,INVOICE_PIUTANG!$A$5:$A$151,0)),""))</f>
        <v/>
      </c>
      <c r="E186" s="47" t="str">
        <f>IF(D186="","",IFERROR(INDEX(PERKARA!$B$5:$B$104,MATCH(D186,PERKARA!$A$5:$A$104,0)),"ID TIDAK TERDAFTAR"))</f>
        <v/>
      </c>
      <c r="F186" s="6"/>
      <c r="G186" s="6"/>
      <c r="H186" s="72"/>
      <c r="I186" s="72"/>
      <c r="J186" s="73" t="str">
        <f t="shared" si="27"/>
        <v/>
      </c>
      <c r="K186" s="6"/>
      <c r="L186" s="6"/>
      <c r="M186" s="9" t="str">
        <f t="shared" si="28"/>
        <v/>
      </c>
      <c r="N186" s="6"/>
      <c r="O186" s="6"/>
      <c r="P186" s="103"/>
      <c r="Q186" s="6"/>
      <c r="R186" s="67" t="str">
        <f>IF(B186="","",IF(AND(G186&lt;&gt;"",COUNTIF(INVOICE_PIUTANG!$A$5:$A$151,G186)=0),"INVOICE BELUM TERDAFTAR",IF(AND(D186&lt;&gt;"",E186="ID TIDAK TERDAFTAR"),"PERKARA TIDAK VALID",IF(K186="","AKUN BELUM DIISI",IF(AND(G186&lt;&gt;"",D186&lt;&gt;IFERROR(INDEX(INVOICE_PIUTANG!$D$5:$D$151,MATCH(G186,INVOICE_PIUTANG!$A$5:$A$151,0)),"")),"PERKARA TIDAK SESUAI INVOICE",IF(V186&lt;&gt;"LENGKAP","PENERIMAAN BELUM DIKONFIRMASI","OK"))))))</f>
        <v/>
      </c>
      <c r="S186" s="98"/>
      <c r="T186" s="105"/>
      <c r="U186" s="98"/>
      <c r="V186" s="104" t="str">
        <f t="shared" si="29"/>
        <v/>
      </c>
    </row>
    <row r="187" spans="1:22">
      <c r="A187" s="9" t="str">
        <f t="shared" si="25"/>
        <v/>
      </c>
      <c r="B187" s="80"/>
      <c r="C187" s="9" t="str">
        <f t="shared" si="26"/>
        <v/>
      </c>
      <c r="D187" s="46" t="str">
        <f>IF(G187="","",IFERROR(INDEX(INVOICE_PIUTANG!$D$5:$D$151,MATCH(G187,INVOICE_PIUTANG!$A$5:$A$151,0)),""))</f>
        <v/>
      </c>
      <c r="E187" s="47" t="str">
        <f>IF(D187="","",IFERROR(INDEX(PERKARA!$B$5:$B$104,MATCH(D187,PERKARA!$A$5:$A$104,0)),"ID TIDAK TERDAFTAR"))</f>
        <v/>
      </c>
      <c r="F187" s="6"/>
      <c r="G187" s="6"/>
      <c r="H187" s="72"/>
      <c r="I187" s="72"/>
      <c r="J187" s="73" t="str">
        <f t="shared" si="27"/>
        <v/>
      </c>
      <c r="K187" s="6"/>
      <c r="L187" s="6"/>
      <c r="M187" s="9" t="str">
        <f t="shared" si="28"/>
        <v/>
      </c>
      <c r="N187" s="6"/>
      <c r="O187" s="6"/>
      <c r="P187" s="103"/>
      <c r="Q187" s="6"/>
      <c r="R187" s="67" t="str">
        <f>IF(B187="","",IF(AND(G187&lt;&gt;"",COUNTIF(INVOICE_PIUTANG!$A$5:$A$151,G187)=0),"INVOICE BELUM TERDAFTAR",IF(AND(D187&lt;&gt;"",E187="ID TIDAK TERDAFTAR"),"PERKARA TIDAK VALID",IF(K187="","AKUN BELUM DIISI",IF(AND(G187&lt;&gt;"",D187&lt;&gt;IFERROR(INDEX(INVOICE_PIUTANG!$D$5:$D$151,MATCH(G187,INVOICE_PIUTANG!$A$5:$A$151,0)),"")),"PERKARA TIDAK SESUAI INVOICE",IF(V187&lt;&gt;"LENGKAP","PENERIMAAN BELUM DIKONFIRMASI","OK"))))))</f>
        <v/>
      </c>
      <c r="S187" s="98"/>
      <c r="T187" s="105"/>
      <c r="U187" s="98"/>
      <c r="V187" s="104" t="str">
        <f t="shared" si="29"/>
        <v/>
      </c>
    </row>
    <row r="188" spans="1:22">
      <c r="A188" s="9" t="str">
        <f t="shared" si="25"/>
        <v/>
      </c>
      <c r="B188" s="80"/>
      <c r="C188" s="9" t="str">
        <f t="shared" si="26"/>
        <v/>
      </c>
      <c r="D188" s="46" t="str">
        <f>IF(G188="","",IFERROR(INDEX(INVOICE_PIUTANG!$D$5:$D$151,MATCH(G188,INVOICE_PIUTANG!$A$5:$A$151,0)),""))</f>
        <v/>
      </c>
      <c r="E188" s="47" t="str">
        <f>IF(D188="","",IFERROR(INDEX(PERKARA!$B$5:$B$104,MATCH(D188,PERKARA!$A$5:$A$104,0)),"ID TIDAK TERDAFTAR"))</f>
        <v/>
      </c>
      <c r="F188" s="6"/>
      <c r="G188" s="6"/>
      <c r="H188" s="72"/>
      <c r="I188" s="72"/>
      <c r="J188" s="73" t="str">
        <f t="shared" si="27"/>
        <v/>
      </c>
      <c r="K188" s="6"/>
      <c r="L188" s="6"/>
      <c r="M188" s="9" t="str">
        <f t="shared" si="28"/>
        <v/>
      </c>
      <c r="N188" s="6"/>
      <c r="O188" s="6"/>
      <c r="P188" s="103"/>
      <c r="Q188" s="6"/>
      <c r="R188" s="67" t="str">
        <f>IF(B188="","",IF(AND(G188&lt;&gt;"",COUNTIF(INVOICE_PIUTANG!$A$5:$A$151,G188)=0),"INVOICE BELUM TERDAFTAR",IF(AND(D188&lt;&gt;"",E188="ID TIDAK TERDAFTAR"),"PERKARA TIDAK VALID",IF(K188="","AKUN BELUM DIISI",IF(AND(G188&lt;&gt;"",D188&lt;&gt;IFERROR(INDEX(INVOICE_PIUTANG!$D$5:$D$151,MATCH(G188,INVOICE_PIUTANG!$A$5:$A$151,0)),"")),"PERKARA TIDAK SESUAI INVOICE",IF(V188&lt;&gt;"LENGKAP","PENERIMAAN BELUM DIKONFIRMASI","OK"))))))</f>
        <v/>
      </c>
      <c r="S188" s="98"/>
      <c r="T188" s="105"/>
      <c r="U188" s="98"/>
      <c r="V188" s="104" t="str">
        <f t="shared" si="29"/>
        <v/>
      </c>
    </row>
    <row r="189" spans="1:22">
      <c r="A189" s="9" t="str">
        <f t="shared" si="25"/>
        <v/>
      </c>
      <c r="B189" s="80"/>
      <c r="C189" s="9" t="str">
        <f t="shared" si="26"/>
        <v/>
      </c>
      <c r="D189" s="46" t="str">
        <f>IF(G189="","",IFERROR(INDEX(INVOICE_PIUTANG!$D$5:$D$151,MATCH(G189,INVOICE_PIUTANG!$A$5:$A$151,0)),""))</f>
        <v/>
      </c>
      <c r="E189" s="47" t="str">
        <f>IF(D189="","",IFERROR(INDEX(PERKARA!$B$5:$B$104,MATCH(D189,PERKARA!$A$5:$A$104,0)),"ID TIDAK TERDAFTAR"))</f>
        <v/>
      </c>
      <c r="F189" s="6"/>
      <c r="G189" s="6"/>
      <c r="H189" s="72"/>
      <c r="I189" s="72"/>
      <c r="J189" s="73" t="str">
        <f t="shared" si="27"/>
        <v/>
      </c>
      <c r="K189" s="6"/>
      <c r="L189" s="6"/>
      <c r="M189" s="9" t="str">
        <f t="shared" si="28"/>
        <v/>
      </c>
      <c r="N189" s="6"/>
      <c r="O189" s="6"/>
      <c r="P189" s="103"/>
      <c r="Q189" s="6"/>
      <c r="R189" s="67" t="str">
        <f>IF(B189="","",IF(AND(G189&lt;&gt;"",COUNTIF(INVOICE_PIUTANG!$A$5:$A$151,G189)=0),"INVOICE BELUM TERDAFTAR",IF(AND(D189&lt;&gt;"",E189="ID TIDAK TERDAFTAR"),"PERKARA TIDAK VALID",IF(K189="","AKUN BELUM DIISI",IF(AND(G189&lt;&gt;"",D189&lt;&gt;IFERROR(INDEX(INVOICE_PIUTANG!$D$5:$D$151,MATCH(G189,INVOICE_PIUTANG!$A$5:$A$151,0)),"")),"PERKARA TIDAK SESUAI INVOICE",IF(V189&lt;&gt;"LENGKAP","PENERIMAAN BELUM DIKONFIRMASI","OK"))))))</f>
        <v/>
      </c>
      <c r="S189" s="98"/>
      <c r="T189" s="105"/>
      <c r="U189" s="98"/>
      <c r="V189" s="104" t="str">
        <f t="shared" si="29"/>
        <v/>
      </c>
    </row>
    <row r="190" spans="1:22">
      <c r="A190" s="9" t="str">
        <f t="shared" si="25"/>
        <v/>
      </c>
      <c r="B190" s="80"/>
      <c r="C190" s="9" t="str">
        <f t="shared" si="26"/>
        <v/>
      </c>
      <c r="D190" s="46" t="str">
        <f>IF(G190="","",IFERROR(INDEX(INVOICE_PIUTANG!$D$5:$D$151,MATCH(G190,INVOICE_PIUTANG!$A$5:$A$151,0)),""))</f>
        <v/>
      </c>
      <c r="E190" s="47" t="str">
        <f>IF(D190="","",IFERROR(INDEX(PERKARA!$B$5:$B$104,MATCH(D190,PERKARA!$A$5:$A$104,0)),"ID TIDAK TERDAFTAR"))</f>
        <v/>
      </c>
      <c r="F190" s="6"/>
      <c r="G190" s="6"/>
      <c r="H190" s="72"/>
      <c r="I190" s="72"/>
      <c r="J190" s="73" t="str">
        <f t="shared" si="27"/>
        <v/>
      </c>
      <c r="K190" s="6"/>
      <c r="L190" s="6"/>
      <c r="M190" s="9" t="str">
        <f t="shared" si="28"/>
        <v/>
      </c>
      <c r="N190" s="6"/>
      <c r="O190" s="6"/>
      <c r="P190" s="103"/>
      <c r="Q190" s="6"/>
      <c r="R190" s="67" t="str">
        <f>IF(B190="","",IF(AND(G190&lt;&gt;"",COUNTIF(INVOICE_PIUTANG!$A$5:$A$151,G190)=0),"INVOICE BELUM TERDAFTAR",IF(AND(D190&lt;&gt;"",E190="ID TIDAK TERDAFTAR"),"PERKARA TIDAK VALID",IF(K190="","AKUN BELUM DIISI",IF(AND(G190&lt;&gt;"",D190&lt;&gt;IFERROR(INDEX(INVOICE_PIUTANG!$D$5:$D$151,MATCH(G190,INVOICE_PIUTANG!$A$5:$A$151,0)),"")),"PERKARA TIDAK SESUAI INVOICE",IF(V190&lt;&gt;"LENGKAP","PENERIMAAN BELUM DIKONFIRMASI","OK"))))))</f>
        <v/>
      </c>
      <c r="S190" s="98"/>
      <c r="T190" s="105"/>
      <c r="U190" s="98"/>
      <c r="V190" s="104" t="str">
        <f t="shared" si="29"/>
        <v/>
      </c>
    </row>
    <row r="191" spans="1:22">
      <c r="A191" s="9" t="str">
        <f t="shared" si="25"/>
        <v/>
      </c>
      <c r="B191" s="80"/>
      <c r="C191" s="9" t="str">
        <f t="shared" si="26"/>
        <v/>
      </c>
      <c r="D191" s="46" t="str">
        <f>IF(G191="","",IFERROR(INDEX(INVOICE_PIUTANG!$D$5:$D$151,MATCH(G191,INVOICE_PIUTANG!$A$5:$A$151,0)),""))</f>
        <v/>
      </c>
      <c r="E191" s="47" t="str">
        <f>IF(D191="","",IFERROR(INDEX(PERKARA!$B$5:$B$104,MATCH(D191,PERKARA!$A$5:$A$104,0)),"ID TIDAK TERDAFTAR"))</f>
        <v/>
      </c>
      <c r="F191" s="6"/>
      <c r="G191" s="6"/>
      <c r="H191" s="72"/>
      <c r="I191" s="72"/>
      <c r="J191" s="73" t="str">
        <f t="shared" si="27"/>
        <v/>
      </c>
      <c r="K191" s="6"/>
      <c r="L191" s="6"/>
      <c r="M191" s="9" t="str">
        <f t="shared" si="28"/>
        <v/>
      </c>
      <c r="N191" s="6"/>
      <c r="O191" s="6"/>
      <c r="P191" s="103"/>
      <c r="Q191" s="6"/>
      <c r="R191" s="67" t="str">
        <f>IF(B191="","",IF(AND(G191&lt;&gt;"",COUNTIF(INVOICE_PIUTANG!$A$5:$A$151,G191)=0),"INVOICE BELUM TERDAFTAR",IF(AND(D191&lt;&gt;"",E191="ID TIDAK TERDAFTAR"),"PERKARA TIDAK VALID",IF(K191="","AKUN BELUM DIISI",IF(AND(G191&lt;&gt;"",D191&lt;&gt;IFERROR(INDEX(INVOICE_PIUTANG!$D$5:$D$151,MATCH(G191,INVOICE_PIUTANG!$A$5:$A$151,0)),"")),"PERKARA TIDAK SESUAI INVOICE",IF(V191&lt;&gt;"LENGKAP","PENERIMAAN BELUM DIKONFIRMASI","OK"))))))</f>
        <v/>
      </c>
      <c r="S191" s="98"/>
      <c r="T191" s="105"/>
      <c r="U191" s="98"/>
      <c r="V191" s="104" t="str">
        <f t="shared" si="29"/>
        <v/>
      </c>
    </row>
    <row r="192" spans="1:22">
      <c r="A192" s="9" t="str">
        <f t="shared" si="25"/>
        <v/>
      </c>
      <c r="B192" s="80"/>
      <c r="C192" s="9" t="str">
        <f t="shared" si="26"/>
        <v/>
      </c>
      <c r="D192" s="46" t="str">
        <f>IF(G192="","",IFERROR(INDEX(INVOICE_PIUTANG!$D$5:$D$151,MATCH(G192,INVOICE_PIUTANG!$A$5:$A$151,0)),""))</f>
        <v/>
      </c>
      <c r="E192" s="47" t="str">
        <f>IF(D192="","",IFERROR(INDEX(PERKARA!$B$5:$B$104,MATCH(D192,PERKARA!$A$5:$A$104,0)),"ID TIDAK TERDAFTAR"))</f>
        <v/>
      </c>
      <c r="F192" s="6"/>
      <c r="G192" s="6"/>
      <c r="H192" s="72"/>
      <c r="I192" s="72"/>
      <c r="J192" s="73" t="str">
        <f t="shared" si="27"/>
        <v/>
      </c>
      <c r="K192" s="6"/>
      <c r="L192" s="6"/>
      <c r="M192" s="9" t="str">
        <f t="shared" si="28"/>
        <v/>
      </c>
      <c r="N192" s="6"/>
      <c r="O192" s="6"/>
      <c r="P192" s="103"/>
      <c r="Q192" s="6"/>
      <c r="R192" s="67" t="str">
        <f>IF(B192="","",IF(AND(G192&lt;&gt;"",COUNTIF(INVOICE_PIUTANG!$A$5:$A$151,G192)=0),"INVOICE BELUM TERDAFTAR",IF(AND(D192&lt;&gt;"",E192="ID TIDAK TERDAFTAR"),"PERKARA TIDAK VALID",IF(K192="","AKUN BELUM DIISI",IF(AND(G192&lt;&gt;"",D192&lt;&gt;IFERROR(INDEX(INVOICE_PIUTANG!$D$5:$D$151,MATCH(G192,INVOICE_PIUTANG!$A$5:$A$151,0)),"")),"PERKARA TIDAK SESUAI INVOICE",IF(V192&lt;&gt;"LENGKAP","PENERIMAAN BELUM DIKONFIRMASI","OK"))))))</f>
        <v/>
      </c>
      <c r="S192" s="98"/>
      <c r="T192" s="105"/>
      <c r="U192" s="98"/>
      <c r="V192" s="104" t="str">
        <f t="shared" si="29"/>
        <v/>
      </c>
    </row>
    <row r="193" spans="1:22">
      <c r="A193" s="9" t="str">
        <f t="shared" si="25"/>
        <v/>
      </c>
      <c r="B193" s="80"/>
      <c r="C193" s="9" t="str">
        <f t="shared" si="26"/>
        <v/>
      </c>
      <c r="D193" s="46" t="str">
        <f>IF(G193="","",IFERROR(INDEX(INVOICE_PIUTANG!$D$5:$D$151,MATCH(G193,INVOICE_PIUTANG!$A$5:$A$151,0)),""))</f>
        <v/>
      </c>
      <c r="E193" s="47" t="str">
        <f>IF(D193="","",IFERROR(INDEX(PERKARA!$B$5:$B$104,MATCH(D193,PERKARA!$A$5:$A$104,0)),"ID TIDAK TERDAFTAR"))</f>
        <v/>
      </c>
      <c r="F193" s="6"/>
      <c r="G193" s="6"/>
      <c r="H193" s="72"/>
      <c r="I193" s="72"/>
      <c r="J193" s="73" t="str">
        <f t="shared" si="27"/>
        <v/>
      </c>
      <c r="K193" s="6"/>
      <c r="L193" s="6"/>
      <c r="M193" s="9" t="str">
        <f t="shared" si="28"/>
        <v/>
      </c>
      <c r="N193" s="6"/>
      <c r="O193" s="6"/>
      <c r="P193" s="103"/>
      <c r="Q193" s="6"/>
      <c r="R193" s="67" t="str">
        <f>IF(B193="","",IF(AND(G193&lt;&gt;"",COUNTIF(INVOICE_PIUTANG!$A$5:$A$151,G193)=0),"INVOICE BELUM TERDAFTAR",IF(AND(D193&lt;&gt;"",E193="ID TIDAK TERDAFTAR"),"PERKARA TIDAK VALID",IF(K193="","AKUN BELUM DIISI",IF(AND(G193&lt;&gt;"",D193&lt;&gt;IFERROR(INDEX(INVOICE_PIUTANG!$D$5:$D$151,MATCH(G193,INVOICE_PIUTANG!$A$5:$A$151,0)),"")),"PERKARA TIDAK SESUAI INVOICE",IF(V193&lt;&gt;"LENGKAP","PENERIMAAN BELUM DIKONFIRMASI","OK"))))))</f>
        <v/>
      </c>
      <c r="S193" s="98"/>
      <c r="T193" s="105"/>
      <c r="U193" s="98"/>
      <c r="V193" s="104" t="str">
        <f t="shared" si="29"/>
        <v/>
      </c>
    </row>
    <row r="194" spans="1:22">
      <c r="A194" s="9" t="str">
        <f t="shared" si="25"/>
        <v/>
      </c>
      <c r="B194" s="80"/>
      <c r="C194" s="9" t="str">
        <f t="shared" si="26"/>
        <v/>
      </c>
      <c r="D194" s="46" t="str">
        <f>IF(G194="","",IFERROR(INDEX(INVOICE_PIUTANG!$D$5:$D$151,MATCH(G194,INVOICE_PIUTANG!$A$5:$A$151,0)),""))</f>
        <v/>
      </c>
      <c r="E194" s="47" t="str">
        <f>IF(D194="","",IFERROR(INDEX(PERKARA!$B$5:$B$104,MATCH(D194,PERKARA!$A$5:$A$104,0)),"ID TIDAK TERDAFTAR"))</f>
        <v/>
      </c>
      <c r="F194" s="6"/>
      <c r="G194" s="6"/>
      <c r="H194" s="72"/>
      <c r="I194" s="72"/>
      <c r="J194" s="73" t="str">
        <f t="shared" si="27"/>
        <v/>
      </c>
      <c r="K194" s="6"/>
      <c r="L194" s="6"/>
      <c r="M194" s="9" t="str">
        <f t="shared" si="28"/>
        <v/>
      </c>
      <c r="N194" s="6"/>
      <c r="O194" s="6"/>
      <c r="P194" s="103"/>
      <c r="Q194" s="6"/>
      <c r="R194" s="67" t="str">
        <f>IF(B194="","",IF(AND(G194&lt;&gt;"",COUNTIF(INVOICE_PIUTANG!$A$5:$A$151,G194)=0),"INVOICE BELUM TERDAFTAR",IF(AND(D194&lt;&gt;"",E194="ID TIDAK TERDAFTAR"),"PERKARA TIDAK VALID",IF(K194="","AKUN BELUM DIISI",IF(AND(G194&lt;&gt;"",D194&lt;&gt;IFERROR(INDEX(INVOICE_PIUTANG!$D$5:$D$151,MATCH(G194,INVOICE_PIUTANG!$A$5:$A$151,0)),"")),"PERKARA TIDAK SESUAI INVOICE",IF(V194&lt;&gt;"LENGKAP","PENERIMAAN BELUM DIKONFIRMASI","OK"))))))</f>
        <v/>
      </c>
      <c r="S194" s="98"/>
      <c r="T194" s="105"/>
      <c r="U194" s="98"/>
      <c r="V194" s="104" t="str">
        <f t="shared" si="29"/>
        <v/>
      </c>
    </row>
    <row r="195" spans="1:22">
      <c r="A195" s="9" t="str">
        <f t="shared" si="25"/>
        <v/>
      </c>
      <c r="B195" s="80"/>
      <c r="C195" s="9" t="str">
        <f t="shared" si="26"/>
        <v/>
      </c>
      <c r="D195" s="46" t="str">
        <f>IF(G195="","",IFERROR(INDEX(INVOICE_PIUTANG!$D$5:$D$151,MATCH(G195,INVOICE_PIUTANG!$A$5:$A$151,0)),""))</f>
        <v/>
      </c>
      <c r="E195" s="47" t="str">
        <f>IF(D195="","",IFERROR(INDEX(PERKARA!$B$5:$B$104,MATCH(D195,PERKARA!$A$5:$A$104,0)),"ID TIDAK TERDAFTAR"))</f>
        <v/>
      </c>
      <c r="F195" s="6"/>
      <c r="G195" s="6"/>
      <c r="H195" s="72"/>
      <c r="I195" s="72"/>
      <c r="J195" s="73" t="str">
        <f t="shared" si="27"/>
        <v/>
      </c>
      <c r="K195" s="6"/>
      <c r="L195" s="6"/>
      <c r="M195" s="9" t="str">
        <f t="shared" si="28"/>
        <v/>
      </c>
      <c r="N195" s="6"/>
      <c r="O195" s="6"/>
      <c r="P195" s="103"/>
      <c r="Q195" s="6"/>
      <c r="R195" s="67" t="str">
        <f>IF(B195="","",IF(AND(G195&lt;&gt;"",COUNTIF(INVOICE_PIUTANG!$A$5:$A$151,G195)=0),"INVOICE BELUM TERDAFTAR",IF(AND(D195&lt;&gt;"",E195="ID TIDAK TERDAFTAR"),"PERKARA TIDAK VALID",IF(K195="","AKUN BELUM DIISI",IF(AND(G195&lt;&gt;"",D195&lt;&gt;IFERROR(INDEX(INVOICE_PIUTANG!$D$5:$D$151,MATCH(G195,INVOICE_PIUTANG!$A$5:$A$151,0)),"")),"PERKARA TIDAK SESUAI INVOICE",IF(V195&lt;&gt;"LENGKAP","PENERIMAAN BELUM DIKONFIRMASI","OK"))))))</f>
        <v/>
      </c>
      <c r="S195" s="98"/>
      <c r="T195" s="105"/>
      <c r="U195" s="98"/>
      <c r="V195" s="104" t="str">
        <f t="shared" si="29"/>
        <v/>
      </c>
    </row>
    <row r="196" spans="1:22">
      <c r="A196" s="9" t="str">
        <f t="shared" si="25"/>
        <v/>
      </c>
      <c r="B196" s="80"/>
      <c r="C196" s="9" t="str">
        <f t="shared" si="26"/>
        <v/>
      </c>
      <c r="D196" s="46" t="str">
        <f>IF(G196="","",IFERROR(INDEX(INVOICE_PIUTANG!$D$5:$D$151,MATCH(G196,INVOICE_PIUTANG!$A$5:$A$151,0)),""))</f>
        <v/>
      </c>
      <c r="E196" s="47" t="str">
        <f>IF(D196="","",IFERROR(INDEX(PERKARA!$B$5:$B$104,MATCH(D196,PERKARA!$A$5:$A$104,0)),"ID TIDAK TERDAFTAR"))</f>
        <v/>
      </c>
      <c r="F196" s="6"/>
      <c r="G196" s="6"/>
      <c r="H196" s="72"/>
      <c r="I196" s="72"/>
      <c r="J196" s="73" t="str">
        <f t="shared" si="27"/>
        <v/>
      </c>
      <c r="K196" s="6"/>
      <c r="L196" s="6"/>
      <c r="M196" s="9" t="str">
        <f t="shared" si="28"/>
        <v/>
      </c>
      <c r="N196" s="6"/>
      <c r="O196" s="6"/>
      <c r="P196" s="103"/>
      <c r="Q196" s="6"/>
      <c r="R196" s="67" t="str">
        <f>IF(B196="","",IF(AND(G196&lt;&gt;"",COUNTIF(INVOICE_PIUTANG!$A$5:$A$151,G196)=0),"INVOICE BELUM TERDAFTAR",IF(AND(D196&lt;&gt;"",E196="ID TIDAK TERDAFTAR"),"PERKARA TIDAK VALID",IF(K196="","AKUN BELUM DIISI",IF(AND(G196&lt;&gt;"",D196&lt;&gt;IFERROR(INDEX(INVOICE_PIUTANG!$D$5:$D$151,MATCH(G196,INVOICE_PIUTANG!$A$5:$A$151,0)),"")),"PERKARA TIDAK SESUAI INVOICE",IF(V196&lt;&gt;"LENGKAP","PENERIMAAN BELUM DIKONFIRMASI","OK"))))))</f>
        <v/>
      </c>
      <c r="S196" s="98"/>
      <c r="T196" s="105"/>
      <c r="U196" s="98"/>
      <c r="V196" s="104" t="str">
        <f t="shared" si="29"/>
        <v/>
      </c>
    </row>
    <row r="197" spans="1:22">
      <c r="A197" s="9" t="str">
        <f t="shared" ref="A197:A204" si="30">IF(B197="","",IFERROR("INC-"&amp;TEXT(B197,"yyyymmdd")&amp;"-"&amp;TEXT(ROW()-4,"000"),"TANGGAL TIDAK VALID"))</f>
        <v/>
      </c>
      <c r="B197" s="80"/>
      <c r="C197" s="9" t="str">
        <f t="shared" ref="C197:C204" si="31">IF(B197="","",IFERROR(TEXT(B197,"yyyy-mm"),"TANGGAL TIDAK VALID"))</f>
        <v/>
      </c>
      <c r="D197" s="46" t="str">
        <f>IF(G197="","",IFERROR(INDEX(INVOICE_PIUTANG!$D$5:$D$151,MATCH(G197,INVOICE_PIUTANG!$A$5:$A$151,0)),""))</f>
        <v/>
      </c>
      <c r="E197" s="47" t="str">
        <f>IF(D197="","",IFERROR(INDEX(PERKARA!$B$5:$B$104,MATCH(D197,PERKARA!$A$5:$A$104,0)),"ID TIDAK TERDAFTAR"))</f>
        <v/>
      </c>
      <c r="F197" s="6"/>
      <c r="G197" s="6"/>
      <c r="H197" s="72"/>
      <c r="I197" s="72"/>
      <c r="J197" s="73" t="str">
        <f t="shared" ref="J197:J204" si="32">IF(B197="","",MAX(H197-I197,0))</f>
        <v/>
      </c>
      <c r="K197" s="6"/>
      <c r="L197" s="6"/>
      <c r="M197" s="9" t="str">
        <f t="shared" ref="M197:M204" si="33">IF(F197="","",IF(F197="Reimburse dari Klien","Penggantian Biaya",IF(F197="Dana Titipan Klien","Dana Klien",IF(F197="Setoran Modal Partner","Modal Partner",IF(F197="Pinjaman","Pinjaman","Pendapatan Operasional")))))</f>
        <v/>
      </c>
      <c r="N197" s="6"/>
      <c r="O197" s="6"/>
      <c r="P197" s="103"/>
      <c r="Q197" s="6"/>
      <c r="R197" s="67" t="str">
        <f>IF(B197="","",IF(AND(G197&lt;&gt;"",COUNTIF(INVOICE_PIUTANG!$A$5:$A$151,G197)=0),"INVOICE BELUM TERDAFTAR",IF(AND(D197&lt;&gt;"",E197="ID TIDAK TERDAFTAR"),"PERKARA TIDAK VALID",IF(K197="","AKUN BELUM DIISI",IF(AND(G197&lt;&gt;"",D197&lt;&gt;IFERROR(INDEX(INVOICE_PIUTANG!$D$5:$D$151,MATCH(G197,INVOICE_PIUTANG!$A$5:$A$151,0)),"")),"PERKARA TIDAK SESUAI INVOICE",IF(V197&lt;&gt;"LENGKAP","PENERIMAAN BELUM DIKONFIRMASI","OK"))))))</f>
        <v/>
      </c>
      <c r="S197" s="98"/>
      <c r="T197" s="105"/>
      <c r="U197" s="98"/>
      <c r="V197" s="104" t="str">
        <f t="shared" ref="V197:V204" si="34">IF(B197="","",IF(S197="Ditolak","DITOLAK",IF(AND(S197="Dikonfirmasi",P197&lt;&gt;""),"LENGKAP",IF(S197="Dikonfirmasi","NAMA PENYETUJU BELUM DIISI","MENUNGGU KONFIRMASI MANUAL"))))</f>
        <v/>
      </c>
    </row>
    <row r="198" spans="1:22">
      <c r="A198" s="9" t="str">
        <f t="shared" si="30"/>
        <v/>
      </c>
      <c r="B198" s="80"/>
      <c r="C198" s="9" t="str">
        <f t="shared" si="31"/>
        <v/>
      </c>
      <c r="D198" s="46" t="str">
        <f>IF(G198="","",IFERROR(INDEX(INVOICE_PIUTANG!$D$5:$D$151,MATCH(G198,INVOICE_PIUTANG!$A$5:$A$151,0)),""))</f>
        <v/>
      </c>
      <c r="E198" s="47" t="str">
        <f>IF(D198="","",IFERROR(INDEX(PERKARA!$B$5:$B$104,MATCH(D198,PERKARA!$A$5:$A$104,0)),"ID TIDAK TERDAFTAR"))</f>
        <v/>
      </c>
      <c r="F198" s="6"/>
      <c r="G198" s="6"/>
      <c r="H198" s="72"/>
      <c r="I198" s="72"/>
      <c r="J198" s="73" t="str">
        <f t="shared" si="32"/>
        <v/>
      </c>
      <c r="K198" s="6"/>
      <c r="L198" s="6"/>
      <c r="M198" s="9" t="str">
        <f t="shared" si="33"/>
        <v/>
      </c>
      <c r="N198" s="6"/>
      <c r="O198" s="6"/>
      <c r="P198" s="103"/>
      <c r="Q198" s="6"/>
      <c r="R198" s="67" t="str">
        <f>IF(B198="","",IF(AND(G198&lt;&gt;"",COUNTIF(INVOICE_PIUTANG!$A$5:$A$151,G198)=0),"INVOICE BELUM TERDAFTAR",IF(AND(D198&lt;&gt;"",E198="ID TIDAK TERDAFTAR"),"PERKARA TIDAK VALID",IF(K198="","AKUN BELUM DIISI",IF(AND(G198&lt;&gt;"",D198&lt;&gt;IFERROR(INDEX(INVOICE_PIUTANG!$D$5:$D$151,MATCH(G198,INVOICE_PIUTANG!$A$5:$A$151,0)),"")),"PERKARA TIDAK SESUAI INVOICE",IF(V198&lt;&gt;"LENGKAP","PENERIMAAN BELUM DIKONFIRMASI","OK"))))))</f>
        <v/>
      </c>
      <c r="S198" s="98"/>
      <c r="T198" s="105"/>
      <c r="U198" s="98"/>
      <c r="V198" s="104" t="str">
        <f t="shared" si="34"/>
        <v/>
      </c>
    </row>
    <row r="199" spans="1:22">
      <c r="A199" s="9" t="str">
        <f t="shared" si="30"/>
        <v/>
      </c>
      <c r="B199" s="80"/>
      <c r="C199" s="9" t="str">
        <f t="shared" si="31"/>
        <v/>
      </c>
      <c r="D199" s="46" t="str">
        <f>IF(G199="","",IFERROR(INDEX(INVOICE_PIUTANG!$D$5:$D$151,MATCH(G199,INVOICE_PIUTANG!$A$5:$A$151,0)),""))</f>
        <v/>
      </c>
      <c r="E199" s="47" t="str">
        <f>IF(D199="","",IFERROR(INDEX(PERKARA!$B$5:$B$104,MATCH(D199,PERKARA!$A$5:$A$104,0)),"ID TIDAK TERDAFTAR"))</f>
        <v/>
      </c>
      <c r="F199" s="6"/>
      <c r="G199" s="6"/>
      <c r="H199" s="72"/>
      <c r="I199" s="72"/>
      <c r="J199" s="73" t="str">
        <f t="shared" si="32"/>
        <v/>
      </c>
      <c r="K199" s="6"/>
      <c r="L199" s="6"/>
      <c r="M199" s="9" t="str">
        <f t="shared" si="33"/>
        <v/>
      </c>
      <c r="N199" s="6"/>
      <c r="O199" s="6"/>
      <c r="P199" s="103"/>
      <c r="Q199" s="6"/>
      <c r="R199" s="67" t="str">
        <f>IF(B199="","",IF(AND(G199&lt;&gt;"",COUNTIF(INVOICE_PIUTANG!$A$5:$A$151,G199)=0),"INVOICE BELUM TERDAFTAR",IF(AND(D199&lt;&gt;"",E199="ID TIDAK TERDAFTAR"),"PERKARA TIDAK VALID",IF(K199="","AKUN BELUM DIISI",IF(AND(G199&lt;&gt;"",D199&lt;&gt;IFERROR(INDEX(INVOICE_PIUTANG!$D$5:$D$151,MATCH(G199,INVOICE_PIUTANG!$A$5:$A$151,0)),"")),"PERKARA TIDAK SESUAI INVOICE",IF(V199&lt;&gt;"LENGKAP","PENERIMAAN BELUM DIKONFIRMASI","OK"))))))</f>
        <v/>
      </c>
      <c r="S199" s="98"/>
      <c r="T199" s="105"/>
      <c r="U199" s="98"/>
      <c r="V199" s="104" t="str">
        <f t="shared" si="34"/>
        <v/>
      </c>
    </row>
    <row r="200" spans="1:22">
      <c r="A200" s="9" t="str">
        <f t="shared" si="30"/>
        <v/>
      </c>
      <c r="B200" s="80"/>
      <c r="C200" s="9" t="str">
        <f t="shared" si="31"/>
        <v/>
      </c>
      <c r="D200" s="46" t="str">
        <f>IF(G200="","",IFERROR(INDEX(INVOICE_PIUTANG!$D$5:$D$151,MATCH(G200,INVOICE_PIUTANG!$A$5:$A$151,0)),""))</f>
        <v/>
      </c>
      <c r="E200" s="47" t="str">
        <f>IF(D200="","",IFERROR(INDEX(PERKARA!$B$5:$B$104,MATCH(D200,PERKARA!$A$5:$A$104,0)),"ID TIDAK TERDAFTAR"))</f>
        <v/>
      </c>
      <c r="F200" s="6"/>
      <c r="G200" s="6"/>
      <c r="H200" s="72"/>
      <c r="I200" s="72"/>
      <c r="J200" s="73" t="str">
        <f t="shared" si="32"/>
        <v/>
      </c>
      <c r="K200" s="6"/>
      <c r="L200" s="6"/>
      <c r="M200" s="9" t="str">
        <f t="shared" si="33"/>
        <v/>
      </c>
      <c r="N200" s="6"/>
      <c r="O200" s="6"/>
      <c r="P200" s="103"/>
      <c r="Q200" s="6"/>
      <c r="R200" s="67" t="str">
        <f>IF(B200="","",IF(AND(G200&lt;&gt;"",COUNTIF(INVOICE_PIUTANG!$A$5:$A$151,G200)=0),"INVOICE BELUM TERDAFTAR",IF(AND(D200&lt;&gt;"",E200="ID TIDAK TERDAFTAR"),"PERKARA TIDAK VALID",IF(K200="","AKUN BELUM DIISI",IF(AND(G200&lt;&gt;"",D200&lt;&gt;IFERROR(INDEX(INVOICE_PIUTANG!$D$5:$D$151,MATCH(G200,INVOICE_PIUTANG!$A$5:$A$151,0)),"")),"PERKARA TIDAK SESUAI INVOICE",IF(V200&lt;&gt;"LENGKAP","PENERIMAAN BELUM DIKONFIRMASI","OK"))))))</f>
        <v/>
      </c>
      <c r="S200" s="98"/>
      <c r="T200" s="105"/>
      <c r="U200" s="98"/>
      <c r="V200" s="104" t="str">
        <f t="shared" si="34"/>
        <v/>
      </c>
    </row>
    <row r="201" spans="1:22">
      <c r="A201" s="9" t="str">
        <f t="shared" si="30"/>
        <v/>
      </c>
      <c r="B201" s="80"/>
      <c r="C201" s="9" t="str">
        <f t="shared" si="31"/>
        <v/>
      </c>
      <c r="D201" s="46" t="str">
        <f>IF(G201="","",IFERROR(INDEX(INVOICE_PIUTANG!$D$5:$D$151,MATCH(G201,INVOICE_PIUTANG!$A$5:$A$151,0)),""))</f>
        <v/>
      </c>
      <c r="E201" s="47" t="str">
        <f>IF(D201="","",IFERROR(INDEX(PERKARA!$B$5:$B$104,MATCH(D201,PERKARA!$A$5:$A$104,0)),"ID TIDAK TERDAFTAR"))</f>
        <v/>
      </c>
      <c r="F201" s="6"/>
      <c r="G201" s="6"/>
      <c r="H201" s="72"/>
      <c r="I201" s="72"/>
      <c r="J201" s="73" t="str">
        <f t="shared" si="32"/>
        <v/>
      </c>
      <c r="K201" s="6"/>
      <c r="L201" s="6"/>
      <c r="M201" s="9" t="str">
        <f t="shared" si="33"/>
        <v/>
      </c>
      <c r="N201" s="6"/>
      <c r="O201" s="6"/>
      <c r="P201" s="103"/>
      <c r="Q201" s="6"/>
      <c r="R201" s="67" t="str">
        <f>IF(B201="","",IF(AND(G201&lt;&gt;"",COUNTIF(INVOICE_PIUTANG!$A$5:$A$151,G201)=0),"INVOICE BELUM TERDAFTAR",IF(AND(D201&lt;&gt;"",E201="ID TIDAK TERDAFTAR"),"PERKARA TIDAK VALID",IF(K201="","AKUN BELUM DIISI",IF(AND(G201&lt;&gt;"",D201&lt;&gt;IFERROR(INDEX(INVOICE_PIUTANG!$D$5:$D$151,MATCH(G201,INVOICE_PIUTANG!$A$5:$A$151,0)),"")),"PERKARA TIDAK SESUAI INVOICE",IF(V201&lt;&gt;"LENGKAP","PENERIMAAN BELUM DIKONFIRMASI","OK"))))))</f>
        <v/>
      </c>
      <c r="S201" s="98"/>
      <c r="T201" s="105"/>
      <c r="U201" s="98"/>
      <c r="V201" s="104" t="str">
        <f t="shared" si="34"/>
        <v/>
      </c>
    </row>
    <row r="202" spans="1:22">
      <c r="A202" s="9" t="str">
        <f t="shared" si="30"/>
        <v/>
      </c>
      <c r="B202" s="80"/>
      <c r="C202" s="9" t="str">
        <f t="shared" si="31"/>
        <v/>
      </c>
      <c r="D202" s="46" t="str">
        <f>IF(G202="","",IFERROR(INDEX(INVOICE_PIUTANG!$D$5:$D$151,MATCH(G202,INVOICE_PIUTANG!$A$5:$A$151,0)),""))</f>
        <v/>
      </c>
      <c r="E202" s="47" t="str">
        <f>IF(D202="","",IFERROR(INDEX(PERKARA!$B$5:$B$104,MATCH(D202,PERKARA!$A$5:$A$104,0)),"ID TIDAK TERDAFTAR"))</f>
        <v/>
      </c>
      <c r="F202" s="6"/>
      <c r="G202" s="6"/>
      <c r="H202" s="72"/>
      <c r="I202" s="72"/>
      <c r="J202" s="73" t="str">
        <f t="shared" si="32"/>
        <v/>
      </c>
      <c r="K202" s="6"/>
      <c r="L202" s="6"/>
      <c r="M202" s="9" t="str">
        <f t="shared" si="33"/>
        <v/>
      </c>
      <c r="N202" s="6"/>
      <c r="O202" s="6"/>
      <c r="P202" s="103"/>
      <c r="Q202" s="6"/>
      <c r="R202" s="67" t="str">
        <f>IF(B202="","",IF(AND(G202&lt;&gt;"",COUNTIF(INVOICE_PIUTANG!$A$5:$A$151,G202)=0),"INVOICE BELUM TERDAFTAR",IF(AND(D202&lt;&gt;"",E202="ID TIDAK TERDAFTAR"),"PERKARA TIDAK VALID",IF(K202="","AKUN BELUM DIISI",IF(AND(G202&lt;&gt;"",D202&lt;&gt;IFERROR(INDEX(INVOICE_PIUTANG!$D$5:$D$151,MATCH(G202,INVOICE_PIUTANG!$A$5:$A$151,0)),"")),"PERKARA TIDAK SESUAI INVOICE",IF(V202&lt;&gt;"LENGKAP","PENERIMAAN BELUM DIKONFIRMASI","OK"))))))</f>
        <v/>
      </c>
      <c r="S202" s="98"/>
      <c r="T202" s="105"/>
      <c r="U202" s="98"/>
      <c r="V202" s="104" t="str">
        <f t="shared" si="34"/>
        <v/>
      </c>
    </row>
    <row r="203" spans="1:22">
      <c r="A203" s="9" t="str">
        <f t="shared" si="30"/>
        <v/>
      </c>
      <c r="B203" s="80"/>
      <c r="C203" s="9" t="str">
        <f t="shared" si="31"/>
        <v/>
      </c>
      <c r="D203" s="46" t="str">
        <f>IF(G203="","",IFERROR(INDEX(INVOICE_PIUTANG!$D$5:$D$151,MATCH(G203,INVOICE_PIUTANG!$A$5:$A$151,0)),""))</f>
        <v/>
      </c>
      <c r="E203" s="47" t="str">
        <f>IF(D203="","",IFERROR(INDEX(PERKARA!$B$5:$B$104,MATCH(D203,PERKARA!$A$5:$A$104,0)),"ID TIDAK TERDAFTAR"))</f>
        <v/>
      </c>
      <c r="F203" s="6"/>
      <c r="G203" s="6"/>
      <c r="H203" s="72"/>
      <c r="I203" s="72"/>
      <c r="J203" s="73" t="str">
        <f t="shared" si="32"/>
        <v/>
      </c>
      <c r="K203" s="6"/>
      <c r="L203" s="6"/>
      <c r="M203" s="9" t="str">
        <f t="shared" si="33"/>
        <v/>
      </c>
      <c r="N203" s="6"/>
      <c r="O203" s="6"/>
      <c r="P203" s="103"/>
      <c r="Q203" s="6"/>
      <c r="R203" s="67" t="str">
        <f>IF(B203="","",IF(AND(G203&lt;&gt;"",COUNTIF(INVOICE_PIUTANG!$A$5:$A$151,G203)=0),"INVOICE BELUM TERDAFTAR",IF(AND(D203&lt;&gt;"",E203="ID TIDAK TERDAFTAR"),"PERKARA TIDAK VALID",IF(K203="","AKUN BELUM DIISI",IF(AND(G203&lt;&gt;"",D203&lt;&gt;IFERROR(INDEX(INVOICE_PIUTANG!$D$5:$D$151,MATCH(G203,INVOICE_PIUTANG!$A$5:$A$151,0)),"")),"PERKARA TIDAK SESUAI INVOICE",IF(V203&lt;&gt;"LENGKAP","PENERIMAAN BELUM DIKONFIRMASI","OK"))))))</f>
        <v/>
      </c>
      <c r="S203" s="98"/>
      <c r="T203" s="105"/>
      <c r="U203" s="98"/>
      <c r="V203" s="104" t="str">
        <f t="shared" si="34"/>
        <v/>
      </c>
    </row>
    <row r="204" spans="1:22">
      <c r="A204" s="9" t="str">
        <f t="shared" si="30"/>
        <v/>
      </c>
      <c r="B204" s="80"/>
      <c r="C204" s="9" t="str">
        <f t="shared" si="31"/>
        <v/>
      </c>
      <c r="D204" s="46" t="str">
        <f>IF(G204="","",IFERROR(INDEX(INVOICE_PIUTANG!$D$5:$D$151,MATCH(G204,INVOICE_PIUTANG!$A$5:$A$151,0)),""))</f>
        <v/>
      </c>
      <c r="E204" s="47" t="str">
        <f>IF(D204="","",IFERROR(INDEX(PERKARA!$B$5:$B$104,MATCH(D204,PERKARA!$A$5:$A$104,0)),"ID TIDAK TERDAFTAR"))</f>
        <v/>
      </c>
      <c r="F204" s="6"/>
      <c r="G204" s="6"/>
      <c r="H204" s="72"/>
      <c r="I204" s="72"/>
      <c r="J204" s="73" t="str">
        <f t="shared" si="32"/>
        <v/>
      </c>
      <c r="K204" s="6"/>
      <c r="L204" s="6"/>
      <c r="M204" s="9" t="str">
        <f t="shared" si="33"/>
        <v/>
      </c>
      <c r="N204" s="6"/>
      <c r="O204" s="6"/>
      <c r="P204" s="103"/>
      <c r="Q204" s="6"/>
      <c r="R204" s="67" t="str">
        <f>IF(B204="","",IF(AND(G204&lt;&gt;"",COUNTIF(INVOICE_PIUTANG!$A$5:$A$151,G204)=0),"INVOICE BELUM TERDAFTAR",IF(AND(D204&lt;&gt;"",E204="ID TIDAK TERDAFTAR"),"PERKARA TIDAK VALID",IF(K204="","AKUN BELUM DIISI",IF(AND(G204&lt;&gt;"",D204&lt;&gt;IFERROR(INDEX(INVOICE_PIUTANG!$D$5:$D$151,MATCH(G204,INVOICE_PIUTANG!$A$5:$A$151,0)),"")),"PERKARA TIDAK SESUAI INVOICE",IF(V204&lt;&gt;"LENGKAP","PENERIMAAN BELUM DIKONFIRMASI","OK"))))))</f>
        <v/>
      </c>
      <c r="S204" s="98"/>
      <c r="T204" s="105"/>
      <c r="U204" s="98"/>
      <c r="V204" s="104" t="str">
        <f t="shared" si="34"/>
        <v/>
      </c>
    </row>
  </sheetData>
  <mergeCells count="2">
    <mergeCell ref="A1:V2"/>
    <mergeCell ref="A3:V3"/>
  </mergeCells>
  <conditionalFormatting sqref="E5:E204">
    <cfRule type="containsText" dxfId="41" priority="13" operator="containsText" text="ID TIDAK TERDAFTAR"/>
  </conditionalFormatting>
  <conditionalFormatting sqref="O5:O204">
    <cfRule type="containsText" dxfId="40" priority="1" operator="containsText" text="Lunas"/>
    <cfRule type="containsText" dxfId="39" priority="5" operator="containsText" text="Jatuh Tempo"/>
    <cfRule type="containsText" dxfId="38" priority="10" operator="containsText" text="Sebagian"/>
  </conditionalFormatting>
  <dataValidations count="1">
    <dataValidation type="list" sqref="S5:S204" xr:uid="{00000000-0002-0000-0300-000007000000}">
      <formula1>"Menunggu,Dikonfirmasi,Ditolak"</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7">
        <x14:dataValidation type="list" xr:uid="{00000000-0002-0000-0300-000000000000}">
          <x14:formula1>
            <xm:f>PERKARA!$A$5:$A$104</xm:f>
          </x14:formula1>
          <xm:sqref>D5:D204</xm:sqref>
        </x14:dataValidation>
        <x14:dataValidation type="list" xr:uid="{00000000-0002-0000-0300-000001000000}">
          <x14:formula1>
            <xm:f>MASTER!$C$5:$C$13</xm:f>
          </x14:formula1>
          <xm:sqref>F5:F204</xm:sqref>
        </x14:dataValidation>
        <x14:dataValidation type="list" xr:uid="{00000000-0002-0000-0300-000003000000}">
          <x14:formula1>
            <xm:f>MASTER!$G$5:$G$10</xm:f>
          </x14:formula1>
          <xm:sqref>K5:K204</xm:sqref>
        </x14:dataValidation>
        <x14:dataValidation type="list" xr:uid="{00000000-0002-0000-0300-000004000000}">
          <x14:formula1>
            <xm:f>MASTER!$I$5:$I$10</xm:f>
          </x14:formula1>
          <xm:sqref>L5:L204</xm:sqref>
        </x14:dataValidation>
        <x14:dataValidation type="list" xr:uid="{00000000-0002-0000-0300-000005000000}">
          <x14:formula1>
            <xm:f>MASTER!$K$5:$K$7</xm:f>
          </x14:formula1>
          <xm:sqref>O5:O204</xm:sqref>
        </x14:dataValidation>
        <x14:dataValidation type="list" xr:uid="{00000000-0002-0000-0300-000006000000}">
          <x14:formula1>
            <xm:f>MASTER!$A$5:$A$7</xm:f>
          </x14:formula1>
          <xm:sqref>P5:P204</xm:sqref>
        </x14:dataValidation>
        <x14:dataValidation type="list" xr:uid="{00000000-0002-0000-0300-000002000000}">
          <x14:formula1>
            <xm:f>INVOICE_PIUTANG!$A$5:$A$151</xm:f>
          </x14:formula1>
          <xm:sqref>G5:G204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04"/>
  <sheetViews>
    <sheetView showGridLines="0" tabSelected="1" topLeftCell="K1" workbookViewId="0">
      <selection activeCell="R16" sqref="R16"/>
    </sheetView>
  </sheetViews>
  <sheetFormatPr defaultRowHeight="13.8"/>
  <cols>
    <col min="1" max="1" width="20" customWidth="1"/>
    <col min="2" max="2" width="14" customWidth="1"/>
    <col min="3" max="3" width="12" customWidth="1"/>
    <col min="4" max="4" width="18" customWidth="1"/>
    <col min="5" max="5" width="23" customWidth="1"/>
    <col min="6" max="6" width="37" customWidth="1"/>
    <col min="7" max="7" width="23" customWidth="1"/>
    <col min="8" max="8" width="17" customWidth="1"/>
    <col min="9" max="9" width="23" customWidth="1"/>
    <col min="10" max="10" width="17" customWidth="1"/>
    <col min="11" max="11" width="19" customWidth="1"/>
    <col min="12" max="12" width="20" customWidth="1"/>
    <col min="13" max="13" width="19" customWidth="1"/>
    <col min="14" max="14" width="21" customWidth="1"/>
    <col min="15" max="15" width="19" customWidth="1"/>
    <col min="16" max="16" width="29" customWidth="1"/>
    <col min="17" max="18" width="21" customWidth="1"/>
    <col min="19" max="20" width="20" customWidth="1"/>
    <col min="21" max="21" width="17" customWidth="1"/>
    <col min="22" max="23" width="22" customWidth="1"/>
    <col min="24" max="24" width="34" customWidth="1"/>
    <col min="26" max="29" width="21" customWidth="1"/>
  </cols>
  <sheetData>
    <row r="1" spans="1:29" ht="25.05" customHeight="1">
      <c r="A1" s="282" t="s">
        <v>96</v>
      </c>
      <c r="B1" s="282" t="s">
        <v>96</v>
      </c>
      <c r="C1" s="282" t="s">
        <v>96</v>
      </c>
      <c r="D1" s="282" t="s">
        <v>96</v>
      </c>
      <c r="E1" s="282" t="s">
        <v>96</v>
      </c>
      <c r="F1" s="282" t="s">
        <v>96</v>
      </c>
      <c r="G1" s="282" t="s">
        <v>96</v>
      </c>
      <c r="H1" s="282" t="s">
        <v>96</v>
      </c>
      <c r="I1" s="282" t="s">
        <v>96</v>
      </c>
      <c r="J1" s="282" t="s">
        <v>96</v>
      </c>
      <c r="K1" s="282" t="s">
        <v>96</v>
      </c>
      <c r="L1" s="282" t="s">
        <v>96</v>
      </c>
      <c r="M1" s="282" t="s">
        <v>96</v>
      </c>
      <c r="N1" s="282" t="s">
        <v>96</v>
      </c>
      <c r="O1" s="282" t="s">
        <v>96</v>
      </c>
      <c r="P1" s="282" t="s">
        <v>96</v>
      </c>
      <c r="Q1" s="282" t="s">
        <v>96</v>
      </c>
      <c r="R1" s="282" t="s">
        <v>96</v>
      </c>
      <c r="S1" s="282" t="s">
        <v>96</v>
      </c>
      <c r="T1" s="282" t="s">
        <v>96</v>
      </c>
      <c r="U1" s="282" t="s">
        <v>96</v>
      </c>
      <c r="V1" s="282" t="s">
        <v>96</v>
      </c>
      <c r="W1" s="282" t="s">
        <v>96</v>
      </c>
      <c r="X1" s="282" t="s">
        <v>96</v>
      </c>
      <c r="Y1" s="283"/>
      <c r="Z1" s="283"/>
      <c r="AA1" s="283"/>
      <c r="AB1" s="283"/>
      <c r="AC1" s="283"/>
    </row>
    <row r="2" spans="1:29" ht="25.05" customHeight="1">
      <c r="A2" s="282" t="s">
        <v>96</v>
      </c>
      <c r="B2" s="282" t="s">
        <v>96</v>
      </c>
      <c r="C2" s="282" t="s">
        <v>96</v>
      </c>
      <c r="D2" s="282" t="s">
        <v>96</v>
      </c>
      <c r="E2" s="282" t="s">
        <v>96</v>
      </c>
      <c r="F2" s="282" t="s">
        <v>96</v>
      </c>
      <c r="G2" s="282" t="s">
        <v>96</v>
      </c>
      <c r="H2" s="282" t="s">
        <v>96</v>
      </c>
      <c r="I2" s="282" t="s">
        <v>96</v>
      </c>
      <c r="J2" s="282" t="s">
        <v>96</v>
      </c>
      <c r="K2" s="282" t="s">
        <v>96</v>
      </c>
      <c r="L2" s="282" t="s">
        <v>96</v>
      </c>
      <c r="M2" s="282" t="s">
        <v>96</v>
      </c>
      <c r="N2" s="282" t="s">
        <v>96</v>
      </c>
      <c r="O2" s="282" t="s">
        <v>96</v>
      </c>
      <c r="P2" s="282" t="s">
        <v>96</v>
      </c>
      <c r="Q2" s="282" t="s">
        <v>96</v>
      </c>
      <c r="R2" s="282" t="s">
        <v>96</v>
      </c>
      <c r="S2" s="282" t="s">
        <v>96</v>
      </c>
      <c r="T2" s="282" t="s">
        <v>96</v>
      </c>
      <c r="U2" s="282" t="s">
        <v>96</v>
      </c>
      <c r="V2" s="282" t="s">
        <v>96</v>
      </c>
      <c r="W2" s="282" t="s">
        <v>96</v>
      </c>
      <c r="X2" s="282" t="s">
        <v>96</v>
      </c>
      <c r="Y2" s="283"/>
      <c r="Z2" s="283"/>
      <c r="AA2" s="283"/>
      <c r="AB2" s="283"/>
      <c r="AC2" s="283"/>
    </row>
    <row r="3" spans="1:29" ht="30" customHeight="1">
      <c r="A3" s="284" t="s">
        <v>586</v>
      </c>
      <c r="B3" s="284" t="s">
        <v>97</v>
      </c>
      <c r="C3" s="284" t="s">
        <v>97</v>
      </c>
      <c r="D3" s="284" t="s">
        <v>97</v>
      </c>
      <c r="E3" s="284" t="s">
        <v>97</v>
      </c>
      <c r="F3" s="284" t="s">
        <v>97</v>
      </c>
      <c r="G3" s="284" t="s">
        <v>97</v>
      </c>
      <c r="H3" s="284" t="s">
        <v>97</v>
      </c>
      <c r="I3" s="284" t="s">
        <v>97</v>
      </c>
      <c r="J3" s="284" t="s">
        <v>97</v>
      </c>
      <c r="K3" s="284" t="s">
        <v>97</v>
      </c>
      <c r="L3" s="284" t="s">
        <v>97</v>
      </c>
      <c r="M3" s="284" t="s">
        <v>97</v>
      </c>
      <c r="N3" s="284" t="s">
        <v>97</v>
      </c>
      <c r="O3" s="284" t="s">
        <v>97</v>
      </c>
      <c r="P3" s="284" t="s">
        <v>97</v>
      </c>
      <c r="Q3" s="284" t="s">
        <v>97</v>
      </c>
      <c r="R3" s="284" t="s">
        <v>97</v>
      </c>
      <c r="S3" s="284" t="s">
        <v>97</v>
      </c>
      <c r="T3" s="284" t="s">
        <v>97</v>
      </c>
      <c r="U3" s="284" t="s">
        <v>97</v>
      </c>
      <c r="V3" s="284" t="s">
        <v>97</v>
      </c>
      <c r="W3" s="284" t="s">
        <v>97</v>
      </c>
      <c r="X3" s="284" t="s">
        <v>97</v>
      </c>
      <c r="Y3" s="285"/>
      <c r="Z3" s="285"/>
      <c r="AA3" s="285"/>
      <c r="AB3" s="285"/>
      <c r="AC3" s="285"/>
    </row>
    <row r="4" spans="1:29" ht="34.950000000000003" customHeight="1">
      <c r="A4" s="7" t="s">
        <v>98</v>
      </c>
      <c r="B4" s="7" t="s">
        <v>99</v>
      </c>
      <c r="C4" s="7" t="s">
        <v>84</v>
      </c>
      <c r="D4" s="7" t="s">
        <v>62</v>
      </c>
      <c r="E4" s="7" t="s">
        <v>100</v>
      </c>
      <c r="F4" s="7" t="s">
        <v>101</v>
      </c>
      <c r="G4" s="7" t="s">
        <v>102</v>
      </c>
      <c r="H4" s="7" t="s">
        <v>103</v>
      </c>
      <c r="I4" s="7" t="s">
        <v>104</v>
      </c>
      <c r="J4" s="7" t="s">
        <v>92</v>
      </c>
      <c r="K4" s="7" t="s">
        <v>105</v>
      </c>
      <c r="L4" s="7" t="s">
        <v>106</v>
      </c>
      <c r="M4" s="7" t="s">
        <v>107</v>
      </c>
      <c r="N4" s="7" t="s">
        <v>108</v>
      </c>
      <c r="O4" s="7" t="s">
        <v>95</v>
      </c>
      <c r="P4" s="7" t="s">
        <v>109</v>
      </c>
      <c r="Q4" s="100" t="s">
        <v>587</v>
      </c>
      <c r="R4" s="100" t="s">
        <v>588</v>
      </c>
      <c r="S4" s="7" t="s">
        <v>110</v>
      </c>
      <c r="T4" s="7" t="s">
        <v>111</v>
      </c>
      <c r="U4" s="7" t="s">
        <v>112</v>
      </c>
      <c r="V4" s="7" t="s">
        <v>113</v>
      </c>
      <c r="W4" s="7" t="s">
        <v>114</v>
      </c>
      <c r="X4" s="7" t="s">
        <v>79</v>
      </c>
      <c r="Y4" s="66" t="s">
        <v>581</v>
      </c>
      <c r="Z4" s="101" t="s">
        <v>589</v>
      </c>
      <c r="AA4" s="101" t="s">
        <v>590</v>
      </c>
      <c r="AB4" s="101" t="s">
        <v>591</v>
      </c>
      <c r="AC4" s="101" t="s">
        <v>585</v>
      </c>
    </row>
    <row r="5" spans="1:29" s="57" customFormat="1">
      <c r="A5" s="58" t="str">
        <f t="shared" ref="A5:A36" si="0">IF(B5="","","EXP-"&amp;TEXT(B5,"yyyymmdd")&amp;"-"&amp;TEXT(ROW()-4,"000"))</f>
        <v>EXP-20260729-001</v>
      </c>
      <c r="B5" s="209">
        <v>46232</v>
      </c>
      <c r="C5" s="58" t="str">
        <f t="shared" ref="C5:C15" si="1">IF(B5="","",TEXT(B5,"yyyy-mm"))</f>
        <v>2026-07</v>
      </c>
      <c r="D5" s="52" t="s">
        <v>576</v>
      </c>
      <c r="E5" s="59" t="str">
        <f>IF(D5="","",IFERROR(INDEX([1]PERKARA!$B$5:$B$104,MATCH(D5,[1]PERKARA!$A$5:$A$104,0)),"ID TIDAK TERDAFTAR"))</f>
        <v>PT KEMBANG KEMBAR GRUP</v>
      </c>
      <c r="F5" s="210" t="s">
        <v>837</v>
      </c>
      <c r="G5" s="210" t="s">
        <v>846</v>
      </c>
      <c r="H5" s="210" t="s">
        <v>182</v>
      </c>
      <c r="I5" s="210" t="s">
        <v>182</v>
      </c>
      <c r="J5" s="210" t="s">
        <v>800</v>
      </c>
      <c r="K5" s="211">
        <v>128600</v>
      </c>
      <c r="L5" s="210" t="s">
        <v>780</v>
      </c>
      <c r="M5" s="210" t="s">
        <v>792</v>
      </c>
      <c r="N5" s="210"/>
      <c r="O5" s="210" t="s">
        <v>778</v>
      </c>
      <c r="P5" s="210" t="s">
        <v>997</v>
      </c>
      <c r="Q5" s="212" t="s">
        <v>646</v>
      </c>
      <c r="R5" s="213">
        <v>128600</v>
      </c>
      <c r="S5" s="55">
        <v>0</v>
      </c>
      <c r="T5" s="56">
        <f t="shared" ref="T5:T36" si="2">IF(B5="","",IF(M5&lt;&gt;"Ya",0,MAX(IF(R5="",K5,R5)-S5,0)))</f>
        <v>0</v>
      </c>
      <c r="U5" s="54"/>
      <c r="V5" s="58" t="str">
        <f t="shared" ref="V5:V36" si="3">IF(B5="","",IF(M5&lt;&gt;"Ya","Tidak Perlu",IF(Q5="Ditolak","Ditolak",IF(S5=0,IF(Q5="Disetujui","Belum Dibayar","Belum Diajukan"),IF(T5=0,"Lunas","Dibayar Sebagian")))))</f>
        <v>Tidak Perlu</v>
      </c>
      <c r="W5" s="53" t="s">
        <v>792</v>
      </c>
      <c r="X5" s="53"/>
      <c r="Y5" s="186" t="str">
        <f>IF(B5="","",IF(AND(D5&lt;&gt;"",E5="ID TIDAK TERDAFTAR"),"PERKARA TIDAK VALID",IF(I5="","AKUN BELUM DIISI",IF(AND(M5="Ya",N5=""),"KLAIM BELUM DIHUBUNGKAN",IF(AND(N5&lt;&gt;"",COUNTIF(REIMBURSE!$A$5:$A$124,N5)=0),"ID KLAIM TIDAK TERDAFTAR",IF(Q5="Ditolak","PENGELUARAN DITOLAK",IF(R5&gt;K5,"NILAI DISETUJUI MELEBIHI BIAYA",IF(AND(Q5="Disetujui",Z5=""),"PENYETUJU BELUM DIISI",IF(Q5&lt;&gt;"Disetujui","MENUNGGU PERSETUJUAN","OK")))))))))</f>
        <v>OK</v>
      </c>
      <c r="Z5" s="187" t="s">
        <v>577</v>
      </c>
      <c r="AA5" s="188">
        <v>46258</v>
      </c>
      <c r="AB5" s="187"/>
      <c r="AC5" s="189" t="str">
        <f t="shared" ref="AC5:AC36" si="4">IF(B5="","",IF(Q5="Ditolak","DITOLAK",IF(AND(Q5="Disetujui",R5&gt;K5),"NILAI DISETUJUI MELEBIHI BIAYA",IF(AND(Q5="Disetujui",R5=""),"NILAI PERSETUJUAN BELUM DIISI",IF(AND(Q5="Disetujui",Z5&lt;&gt;""),"LENGKAP",IF(Q5="Disetujui","NAMA PENYETUJU BELUM DIISI","MENUNGGU PERSETUJUAN MANUAL"))))))</f>
        <v>LENGKAP</v>
      </c>
    </row>
    <row r="6" spans="1:29" s="57" customFormat="1">
      <c r="A6" s="58" t="str">
        <f t="shared" si="0"/>
        <v>EXP-20260729-002</v>
      </c>
      <c r="B6" s="209">
        <v>46232</v>
      </c>
      <c r="C6" s="58" t="str">
        <f t="shared" si="1"/>
        <v>2026-07</v>
      </c>
      <c r="D6" s="52" t="s">
        <v>576</v>
      </c>
      <c r="E6" s="59" t="str">
        <f>IF(D6="","",IFERROR(INDEX([1]PERKARA!$B$5:$B$104,MATCH(D6,[1]PERKARA!$A$5:$A$104,0)),"ID TIDAK TERDAFTAR"))</f>
        <v>PT KEMBANG KEMBAR GRUP</v>
      </c>
      <c r="F6" s="210" t="s">
        <v>998</v>
      </c>
      <c r="G6" s="210" t="s">
        <v>846</v>
      </c>
      <c r="H6" s="210" t="s">
        <v>182</v>
      </c>
      <c r="I6" s="210" t="s">
        <v>182</v>
      </c>
      <c r="J6" s="210" t="s">
        <v>800</v>
      </c>
      <c r="K6" s="211">
        <v>163000</v>
      </c>
      <c r="L6" s="210" t="s">
        <v>780</v>
      </c>
      <c r="M6" s="210" t="s">
        <v>792</v>
      </c>
      <c r="N6" s="210"/>
      <c r="O6" s="210" t="s">
        <v>778</v>
      </c>
      <c r="P6" s="210" t="s">
        <v>999</v>
      </c>
      <c r="Q6" s="212" t="s">
        <v>646</v>
      </c>
      <c r="R6" s="213">
        <v>163000</v>
      </c>
      <c r="S6" s="55">
        <v>0</v>
      </c>
      <c r="T6" s="56">
        <f t="shared" si="2"/>
        <v>0</v>
      </c>
      <c r="U6" s="54"/>
      <c r="V6" s="58" t="str">
        <f t="shared" si="3"/>
        <v>Tidak Perlu</v>
      </c>
      <c r="W6" s="53" t="s">
        <v>792</v>
      </c>
      <c r="X6" s="53"/>
      <c r="Y6" s="186" t="str">
        <f>IF(B6="","",IF(AND(D6&lt;&gt;"",E6="ID TIDAK TERDAFTAR"),"PERKARA TIDAK VALID",IF(I6="","AKUN BELUM DIISI",IF(AND(M6="Ya",N6=""),"KLAIM BELUM DIHUBUNGKAN",IF(AND(N6&lt;&gt;"",COUNTIF(REIMBURSE!$A$5:$A$124,N6)=0),"ID KLAIM TIDAK TERDAFTAR",IF(Q6="Ditolak","PENGELUARAN DITOLAK",IF(R6&gt;K6,"NILAI DISETUJUI MELEBIHI BIAYA",IF(AND(Q6="Disetujui",Z6=""),"PENYETUJU BELUM DIISI",IF(Q6&lt;&gt;"Disetujui","MENUNGGU PERSETUJUAN","OK")))))))))</f>
        <v>OK</v>
      </c>
      <c r="Z6" s="187" t="s">
        <v>577</v>
      </c>
      <c r="AA6" s="188">
        <v>46259</v>
      </c>
      <c r="AB6" s="187"/>
      <c r="AC6" s="189" t="str">
        <f t="shared" si="4"/>
        <v>LENGKAP</v>
      </c>
    </row>
    <row r="7" spans="1:29" s="57" customFormat="1">
      <c r="A7" s="58" t="str">
        <f t="shared" si="0"/>
        <v>EXP-20260729-003</v>
      </c>
      <c r="B7" s="209">
        <v>46232</v>
      </c>
      <c r="C7" s="58" t="str">
        <f t="shared" si="1"/>
        <v>2026-07</v>
      </c>
      <c r="D7" s="52" t="s">
        <v>576</v>
      </c>
      <c r="E7" s="59" t="str">
        <f>IF(D7="","",IFERROR(INDEX([1]PERKARA!$B$5:$B$104,MATCH(D7,[1]PERKARA!$A$5:$A$104,0)),"ID TIDAK TERDAFTAR"))</f>
        <v>PT KEMBANG KEMBAR GRUP</v>
      </c>
      <c r="F7" s="210" t="s">
        <v>1000</v>
      </c>
      <c r="G7" s="210" t="s">
        <v>846</v>
      </c>
      <c r="H7" s="210" t="s">
        <v>182</v>
      </c>
      <c r="I7" s="210" t="s">
        <v>182</v>
      </c>
      <c r="J7" s="210" t="s">
        <v>800</v>
      </c>
      <c r="K7" s="211">
        <v>2099000</v>
      </c>
      <c r="L7" s="210" t="s">
        <v>780</v>
      </c>
      <c r="M7" s="210" t="s">
        <v>792</v>
      </c>
      <c r="N7" s="210"/>
      <c r="O7" s="210" t="s">
        <v>778</v>
      </c>
      <c r="P7" s="210" t="s">
        <v>1001</v>
      </c>
      <c r="Q7" s="212" t="s">
        <v>646</v>
      </c>
      <c r="R7" s="213">
        <v>2099000</v>
      </c>
      <c r="S7" s="55">
        <v>0</v>
      </c>
      <c r="T7" s="56">
        <f t="shared" si="2"/>
        <v>0</v>
      </c>
      <c r="U7" s="54"/>
      <c r="V7" s="58" t="str">
        <f t="shared" si="3"/>
        <v>Tidak Perlu</v>
      </c>
      <c r="W7" s="53" t="s">
        <v>792</v>
      </c>
      <c r="X7" s="53"/>
      <c r="Y7" s="186" t="str">
        <f>IF(B7="","",IF(AND(D7&lt;&gt;"",E7="ID TIDAK TERDAFTAR"),"PERKARA TIDAK VALID",IF(I7="","AKUN BELUM DIISI",IF(AND(M7="Ya",N7=""),"KLAIM BELUM DIHUBUNGKAN",IF(AND(N7&lt;&gt;"",COUNTIF(REIMBURSE!$A$5:$A$124,N7)=0),"ID KLAIM TIDAK TERDAFTAR",IF(Q7="Ditolak","PENGELUARAN DITOLAK",IF(R7&gt;K7,"NILAI DISETUJUI MELEBIHI BIAYA",IF(AND(Q7="Disetujui",Z7=""),"PENYETUJU BELUM DIISI",IF(Q7&lt;&gt;"Disetujui","MENUNGGU PERSETUJUAN","OK")))))))))</f>
        <v>OK</v>
      </c>
      <c r="Z7" s="187" t="s">
        <v>577</v>
      </c>
      <c r="AA7" s="188">
        <v>46260</v>
      </c>
      <c r="AB7" s="187"/>
      <c r="AC7" s="189" t="str">
        <f t="shared" si="4"/>
        <v>LENGKAP</v>
      </c>
    </row>
    <row r="8" spans="1:29" s="57" customFormat="1">
      <c r="A8" s="58" t="str">
        <f t="shared" si="0"/>
        <v>EXP-20260815-004</v>
      </c>
      <c r="B8" s="209">
        <v>46249</v>
      </c>
      <c r="C8" s="58" t="str">
        <f t="shared" si="1"/>
        <v>2026-08</v>
      </c>
      <c r="D8" s="52" t="s">
        <v>576</v>
      </c>
      <c r="E8" s="59" t="str">
        <f>IF(D8="","",IFERROR(INDEX([1]PERKARA!$B$5:$B$104,MATCH(D8,[1]PERKARA!$A$5:$A$104,0)),"ID TIDAK TERDAFTAR"))</f>
        <v>PT KEMBANG KEMBAR GRUP</v>
      </c>
      <c r="F8" s="210" t="s">
        <v>1002</v>
      </c>
      <c r="G8" s="210" t="s">
        <v>288</v>
      </c>
      <c r="H8" s="210" t="s">
        <v>182</v>
      </c>
      <c r="I8" s="210" t="s">
        <v>182</v>
      </c>
      <c r="J8" s="210" t="s">
        <v>800</v>
      </c>
      <c r="K8" s="211">
        <v>325000</v>
      </c>
      <c r="L8" s="210" t="s">
        <v>780</v>
      </c>
      <c r="M8" s="210" t="s">
        <v>792</v>
      </c>
      <c r="N8" s="210"/>
      <c r="O8" s="210" t="s">
        <v>778</v>
      </c>
      <c r="P8" s="210" t="s">
        <v>1003</v>
      </c>
      <c r="Q8" s="212" t="s">
        <v>646</v>
      </c>
      <c r="R8" s="213">
        <v>325000</v>
      </c>
      <c r="S8" s="55">
        <v>0</v>
      </c>
      <c r="T8" s="56">
        <f t="shared" si="2"/>
        <v>0</v>
      </c>
      <c r="U8" s="54"/>
      <c r="V8" s="58" t="str">
        <f t="shared" si="3"/>
        <v>Tidak Perlu</v>
      </c>
      <c r="W8" s="53" t="s">
        <v>792</v>
      </c>
      <c r="X8" s="219"/>
      <c r="Y8" s="186" t="str">
        <f>IF(B8="","",IF(AND(D8&lt;&gt;"",E8="ID TIDAK TERDAFTAR"),"PERKARA TIDAK VALID",IF(I8="","AKUN BELUM DIISI",IF(AND(M8="Ya",N8=""),"KLAIM BELUM DIHUBUNGKAN",IF(AND(N8&lt;&gt;"",COUNTIF(REIMBURSE!$A$5:$A$124,N8)=0),"ID KLAIM TIDAK TERDAFTAR",IF(Q8="Ditolak","PENGELUARAN DITOLAK",IF(R8&gt;K8,"NILAI DISETUJUI MELEBIHI BIAYA",IF(AND(Q8="Disetujui",Z8=""),"PENYETUJU BELUM DIISI",IF(Q8&lt;&gt;"Disetujui","MENUNGGU PERSETUJUAN","OK")))))))))</f>
        <v>OK</v>
      </c>
      <c r="Z8" s="187" t="s">
        <v>577</v>
      </c>
      <c r="AA8" s="188">
        <v>46261</v>
      </c>
      <c r="AB8" s="187"/>
      <c r="AC8" s="189" t="str">
        <f t="shared" si="4"/>
        <v>LENGKAP</v>
      </c>
    </row>
    <row r="9" spans="1:29" s="57" customFormat="1">
      <c r="A9" s="58" t="str">
        <f t="shared" si="0"/>
        <v>EXP-20260815-005</v>
      </c>
      <c r="B9" s="209">
        <v>46249</v>
      </c>
      <c r="C9" s="58" t="str">
        <f t="shared" si="1"/>
        <v>2026-08</v>
      </c>
      <c r="D9" s="52" t="s">
        <v>576</v>
      </c>
      <c r="E9" s="59" t="str">
        <f>IF(D9="","",IFERROR(INDEX([1]PERKARA!$B$5:$B$104,MATCH(D9,[1]PERKARA!$A$5:$A$104,0)),"ID TIDAK TERDAFTAR"))</f>
        <v>PT KEMBANG KEMBAR GRUP</v>
      </c>
      <c r="F9" s="210" t="s">
        <v>1002</v>
      </c>
      <c r="G9" s="210" t="s">
        <v>288</v>
      </c>
      <c r="H9" s="210" t="s">
        <v>182</v>
      </c>
      <c r="I9" s="210" t="s">
        <v>182</v>
      </c>
      <c r="J9" s="210" t="s">
        <v>800</v>
      </c>
      <c r="K9" s="211">
        <v>325000</v>
      </c>
      <c r="L9" s="210" t="s">
        <v>780</v>
      </c>
      <c r="M9" s="210" t="s">
        <v>792</v>
      </c>
      <c r="N9" s="210"/>
      <c r="O9" s="210" t="s">
        <v>778</v>
      </c>
      <c r="P9" s="210" t="s">
        <v>1004</v>
      </c>
      <c r="Q9" s="212" t="s">
        <v>646</v>
      </c>
      <c r="R9" s="213">
        <v>325000</v>
      </c>
      <c r="S9" s="55">
        <v>0</v>
      </c>
      <c r="T9" s="56">
        <f t="shared" si="2"/>
        <v>0</v>
      </c>
      <c r="U9" s="54"/>
      <c r="V9" s="58" t="str">
        <f t="shared" si="3"/>
        <v>Tidak Perlu</v>
      </c>
      <c r="W9" s="53" t="s">
        <v>792</v>
      </c>
      <c r="X9" s="219"/>
      <c r="Y9" s="186" t="str">
        <f>IF(B9="","",IF(AND(D9&lt;&gt;"",E9="ID TIDAK TERDAFTAR"),"PERKARA TIDAK VALID",IF(I9="","AKUN BELUM DIISI",IF(AND(M9="Ya",N9=""),"KLAIM BELUM DIHUBUNGKAN",IF(AND(N9&lt;&gt;"",COUNTIF(REIMBURSE!$A$5:$A$124,N9)=0),"ID KLAIM TIDAK TERDAFTAR",IF(Q9="Ditolak","PENGELUARAN DITOLAK",IF(R9&gt;K9,"NILAI DISETUJUI MELEBIHI BIAYA",IF(AND(Q9="Disetujui",Z9=""),"PENYETUJU BELUM DIISI",IF(Q9&lt;&gt;"Disetujui","MENUNGGU PERSETUJUAN","OK")))))))))</f>
        <v>OK</v>
      </c>
      <c r="Z9" s="187" t="s">
        <v>577</v>
      </c>
      <c r="AA9" s="188">
        <v>46262</v>
      </c>
      <c r="AB9" s="187"/>
      <c r="AC9" s="189" t="str">
        <f t="shared" si="4"/>
        <v>LENGKAP</v>
      </c>
    </row>
    <row r="10" spans="1:29" s="57" customFormat="1">
      <c r="A10" s="58" t="str">
        <f t="shared" si="0"/>
        <v>EXP-20260815-006</v>
      </c>
      <c r="B10" s="209">
        <v>46249</v>
      </c>
      <c r="C10" s="58" t="str">
        <f t="shared" si="1"/>
        <v>2026-08</v>
      </c>
      <c r="D10" s="52" t="s">
        <v>576</v>
      </c>
      <c r="E10" s="59" t="str">
        <f>IF(D10="","",IFERROR(INDEX([1]PERKARA!$B$5:$B$104,MATCH(D10,[1]PERKARA!$A$5:$A$104,0)),"ID TIDAK TERDAFTAR"))</f>
        <v>PT KEMBANG KEMBAR GRUP</v>
      </c>
      <c r="F10" s="210" t="s">
        <v>1005</v>
      </c>
      <c r="G10" s="210" t="s">
        <v>799</v>
      </c>
      <c r="H10" s="210" t="s">
        <v>182</v>
      </c>
      <c r="I10" s="210" t="s">
        <v>182</v>
      </c>
      <c r="J10" s="210" t="s">
        <v>800</v>
      </c>
      <c r="K10" s="211">
        <v>83000</v>
      </c>
      <c r="L10" s="210" t="s">
        <v>780</v>
      </c>
      <c r="M10" s="210" t="s">
        <v>792</v>
      </c>
      <c r="N10" s="210"/>
      <c r="O10" s="210" t="s">
        <v>778</v>
      </c>
      <c r="P10" s="210" t="s">
        <v>1006</v>
      </c>
      <c r="Q10" s="212" t="s">
        <v>646</v>
      </c>
      <c r="R10" s="213">
        <v>83000</v>
      </c>
      <c r="S10" s="55">
        <v>0</v>
      </c>
      <c r="T10" s="56">
        <f t="shared" si="2"/>
        <v>0</v>
      </c>
      <c r="U10" s="54"/>
      <c r="V10" s="58" t="str">
        <f t="shared" si="3"/>
        <v>Tidak Perlu</v>
      </c>
      <c r="W10" s="53" t="s">
        <v>792</v>
      </c>
      <c r="X10" s="53"/>
      <c r="Y10" s="186" t="str">
        <f>IF(B10="","",IF(AND(D10&lt;&gt;"",E10="ID TIDAK TERDAFTAR"),"PERKARA TIDAK VALID",IF(I10="","AKUN BELUM DIISI",IF(AND(M10="Ya",N10=""),"KLAIM BELUM DIHUBUNGKAN",IF(AND(N10&lt;&gt;"",COUNTIF(REIMBURSE!$A$5:$A$124,N10)=0),"ID KLAIM TIDAK TERDAFTAR",IF(Q10="Ditolak","PENGELUARAN DITOLAK",IF(R10&gt;K10,"NILAI DISETUJUI MELEBIHI BIAYA",IF(AND(Q10="Disetujui",Z10=""),"PENYETUJU BELUM DIISI",IF(Q10&lt;&gt;"Disetujui","MENUNGGU PERSETUJUAN","OK")))))))))</f>
        <v>OK</v>
      </c>
      <c r="Z10" s="187" t="s">
        <v>577</v>
      </c>
      <c r="AA10" s="188">
        <v>46263</v>
      </c>
      <c r="AB10" s="187"/>
      <c r="AC10" s="189" t="str">
        <f t="shared" si="4"/>
        <v>LENGKAP</v>
      </c>
    </row>
    <row r="11" spans="1:29" s="57" customFormat="1">
      <c r="A11" s="58" t="str">
        <f t="shared" si="0"/>
        <v>EXP-20260815-007</v>
      </c>
      <c r="B11" s="209">
        <v>46249</v>
      </c>
      <c r="C11" s="58" t="str">
        <f t="shared" si="1"/>
        <v>2026-08</v>
      </c>
      <c r="D11" s="52" t="s">
        <v>576</v>
      </c>
      <c r="E11" s="59" t="str">
        <f>IF(D11="","",IFERROR(INDEX([1]PERKARA!$B$5:$B$104,MATCH(D11,[1]PERKARA!$A$5:$A$104,0)),"ID TIDAK TERDAFTAR"))</f>
        <v>PT KEMBANG KEMBAR GRUP</v>
      </c>
      <c r="F11" s="210" t="s">
        <v>1005</v>
      </c>
      <c r="G11" s="210" t="s">
        <v>799</v>
      </c>
      <c r="H11" s="210" t="s">
        <v>182</v>
      </c>
      <c r="I11" s="210" t="s">
        <v>182</v>
      </c>
      <c r="J11" s="210" t="s">
        <v>800</v>
      </c>
      <c r="K11" s="211">
        <v>97800</v>
      </c>
      <c r="L11" s="210" t="s">
        <v>780</v>
      </c>
      <c r="M11" s="210" t="s">
        <v>792</v>
      </c>
      <c r="N11" s="210"/>
      <c r="O11" s="210" t="s">
        <v>778</v>
      </c>
      <c r="P11" s="210" t="s">
        <v>1007</v>
      </c>
      <c r="Q11" s="212" t="s">
        <v>646</v>
      </c>
      <c r="R11" s="213">
        <v>97800</v>
      </c>
      <c r="S11" s="55">
        <v>0</v>
      </c>
      <c r="T11" s="56">
        <f t="shared" si="2"/>
        <v>0</v>
      </c>
      <c r="U11" s="54"/>
      <c r="V11" s="58" t="str">
        <f t="shared" si="3"/>
        <v>Tidak Perlu</v>
      </c>
      <c r="W11" s="53" t="s">
        <v>792</v>
      </c>
      <c r="X11" s="53"/>
      <c r="Y11" s="186" t="str">
        <f>IF(B11="","",IF(AND(D11&lt;&gt;"",E11="ID TIDAK TERDAFTAR"),"PERKARA TIDAK VALID",IF(I11="","AKUN BELUM DIISI",IF(AND(M11="Ya",N11=""),"KLAIM BELUM DIHUBUNGKAN",IF(AND(N11&lt;&gt;"",COUNTIF(REIMBURSE!$A$5:$A$124,N11)=0),"ID KLAIM TIDAK TERDAFTAR",IF(Q11="Ditolak","PENGELUARAN DITOLAK",IF(R11&gt;K11,"NILAI DISETUJUI MELEBIHI BIAYA",IF(AND(Q11="Disetujui",Z11=""),"PENYETUJU BELUM DIISI",IF(Q11&lt;&gt;"Disetujui","MENUNGGU PERSETUJUAN","OK")))))))))</f>
        <v>OK</v>
      </c>
      <c r="Z11" s="187" t="s">
        <v>577</v>
      </c>
      <c r="AA11" s="188">
        <v>46264</v>
      </c>
      <c r="AB11" s="187"/>
      <c r="AC11" s="189" t="str">
        <f t="shared" si="4"/>
        <v>LENGKAP</v>
      </c>
    </row>
    <row r="12" spans="1:29" s="57" customFormat="1">
      <c r="A12" s="58" t="str">
        <f t="shared" si="0"/>
        <v>EXP-20260815-008</v>
      </c>
      <c r="B12" s="209">
        <v>46249</v>
      </c>
      <c r="C12" s="58" t="str">
        <f t="shared" si="1"/>
        <v>2026-08</v>
      </c>
      <c r="D12" s="52" t="s">
        <v>576</v>
      </c>
      <c r="E12" s="59" t="str">
        <f>IF(D12="","",IFERROR(INDEX([1]PERKARA!$B$5:$B$104,MATCH(D12,[1]PERKARA!$A$5:$A$104,0)),"ID TIDAK TERDAFTAR"))</f>
        <v>PT KEMBANG KEMBAR GRUP</v>
      </c>
      <c r="F12" s="210" t="s">
        <v>1008</v>
      </c>
      <c r="G12" s="210" t="s">
        <v>799</v>
      </c>
      <c r="H12" s="210" t="s">
        <v>182</v>
      </c>
      <c r="I12" s="210" t="s">
        <v>182</v>
      </c>
      <c r="J12" s="210" t="s">
        <v>800</v>
      </c>
      <c r="K12" s="211">
        <v>325000</v>
      </c>
      <c r="L12" s="210" t="s">
        <v>780</v>
      </c>
      <c r="M12" s="210" t="s">
        <v>792</v>
      </c>
      <c r="N12" s="210"/>
      <c r="O12" s="210" t="s">
        <v>778</v>
      </c>
      <c r="P12" s="210" t="s">
        <v>1009</v>
      </c>
      <c r="Q12" s="212" t="s">
        <v>646</v>
      </c>
      <c r="R12" s="213">
        <v>325000</v>
      </c>
      <c r="S12" s="55">
        <v>0</v>
      </c>
      <c r="T12" s="56">
        <f t="shared" si="2"/>
        <v>0</v>
      </c>
      <c r="U12" s="54"/>
      <c r="V12" s="58" t="str">
        <f t="shared" si="3"/>
        <v>Tidak Perlu</v>
      </c>
      <c r="W12" s="53" t="s">
        <v>792</v>
      </c>
      <c r="X12" s="53"/>
      <c r="Y12" s="186" t="str">
        <f>IF(B12="","",IF(AND(D12&lt;&gt;"",E12="ID TIDAK TERDAFTAR"),"PERKARA TIDAK VALID",IF(I12="","AKUN BELUM DIISI",IF(AND(M12="Ya",N12=""),"KLAIM BELUM DIHUBUNGKAN",IF(AND(N12&lt;&gt;"",COUNTIF(REIMBURSE!$A$5:$A$124,N12)=0),"ID KLAIM TIDAK TERDAFTAR",IF(Q12="Ditolak","PENGELUARAN DITOLAK",IF(R12&gt;K12,"NILAI DISETUJUI MELEBIHI BIAYA",IF(AND(Q12="Disetujui",Z12=""),"PENYETUJU BELUM DIISI",IF(Q12&lt;&gt;"Disetujui","MENUNGGU PERSETUJUAN","OK")))))))))</f>
        <v>OK</v>
      </c>
      <c r="Z12" s="187" t="s">
        <v>577</v>
      </c>
      <c r="AA12" s="188">
        <v>46265</v>
      </c>
      <c r="AB12" s="187"/>
      <c r="AC12" s="189" t="str">
        <f t="shared" si="4"/>
        <v>LENGKAP</v>
      </c>
    </row>
    <row r="13" spans="1:29" s="57" customFormat="1">
      <c r="A13" s="58" t="str">
        <f t="shared" si="0"/>
        <v>EXP-20260817-009</v>
      </c>
      <c r="B13" s="209">
        <v>46251</v>
      </c>
      <c r="C13" s="58" t="str">
        <f t="shared" si="1"/>
        <v>2026-08</v>
      </c>
      <c r="D13" s="52" t="s">
        <v>576</v>
      </c>
      <c r="E13" s="59" t="str">
        <f>IF(D13="","",IFERROR(INDEX([1]PERKARA!$B$5:$B$104,MATCH(D13,[1]PERKARA!$A$5:$A$104,0)),"ID TIDAK TERDAFTAR"))</f>
        <v>PT KEMBANG KEMBAR GRUP</v>
      </c>
      <c r="F13" s="210" t="s">
        <v>1010</v>
      </c>
      <c r="G13" s="210" t="s">
        <v>845</v>
      </c>
      <c r="H13" s="210" t="s">
        <v>182</v>
      </c>
      <c r="I13" s="210" t="s">
        <v>182</v>
      </c>
      <c r="J13" s="210" t="s">
        <v>800</v>
      </c>
      <c r="K13" s="211">
        <v>51000</v>
      </c>
      <c r="L13" s="210" t="s">
        <v>780</v>
      </c>
      <c r="M13" s="210" t="s">
        <v>792</v>
      </c>
      <c r="N13" s="210"/>
      <c r="O13" s="210" t="s">
        <v>790</v>
      </c>
      <c r="P13" s="210"/>
      <c r="Q13" s="212" t="s">
        <v>646</v>
      </c>
      <c r="R13" s="213">
        <v>51000</v>
      </c>
      <c r="S13" s="55">
        <v>0</v>
      </c>
      <c r="T13" s="56">
        <f t="shared" si="2"/>
        <v>0</v>
      </c>
      <c r="U13" s="54"/>
      <c r="V13" s="58" t="str">
        <f t="shared" si="3"/>
        <v>Tidak Perlu</v>
      </c>
      <c r="W13" s="53" t="s">
        <v>792</v>
      </c>
      <c r="X13" s="53"/>
      <c r="Y13" s="186" t="str">
        <f>IF(B13="","",IF(AND(D13&lt;&gt;"",E13="ID TIDAK TERDAFTAR"),"PERKARA TIDAK VALID",IF(I13="","AKUN BELUM DIISI",IF(AND(M13="Ya",N13=""),"KLAIM BELUM DIHUBUNGKAN",IF(AND(N13&lt;&gt;"",COUNTIF(REIMBURSE!$A$5:$A$124,N13)=0),"ID KLAIM TIDAK TERDAFTAR",IF(Q13="Ditolak","PENGELUARAN DITOLAK",IF(R13&gt;K13,"NILAI DISETUJUI MELEBIHI BIAYA",IF(AND(Q13="Disetujui",Z13=""),"PENYETUJU BELUM DIISI",IF(Q13&lt;&gt;"Disetujui","MENUNGGU PERSETUJUAN","OK")))))))))</f>
        <v>OK</v>
      </c>
      <c r="Z13" s="187" t="s">
        <v>577</v>
      </c>
      <c r="AA13" s="188">
        <v>46266</v>
      </c>
      <c r="AB13" s="187"/>
      <c r="AC13" s="189" t="str">
        <f t="shared" si="4"/>
        <v>LENGKAP</v>
      </c>
    </row>
    <row r="14" spans="1:29" s="57" customFormat="1" ht="22.8">
      <c r="A14" s="58" t="str">
        <f t="shared" si="0"/>
        <v>EXP-20260817-010</v>
      </c>
      <c r="B14" s="209">
        <v>46251</v>
      </c>
      <c r="C14" s="58" t="str">
        <f t="shared" si="1"/>
        <v>2026-08</v>
      </c>
      <c r="D14" s="52" t="s">
        <v>576</v>
      </c>
      <c r="E14" s="59" t="str">
        <f>IF(D14="","",IFERROR(INDEX([1]PERKARA!$B$5:$B$104,MATCH(D14,[1]PERKARA!$A$5:$A$104,0)),"ID TIDAK TERDAFTAR"))</f>
        <v>PT KEMBANG KEMBAR GRUP</v>
      </c>
      <c r="F14" s="210" t="s">
        <v>1011</v>
      </c>
      <c r="G14" s="210" t="s">
        <v>845</v>
      </c>
      <c r="H14" s="210" t="s">
        <v>182</v>
      </c>
      <c r="I14" s="210" t="s">
        <v>182</v>
      </c>
      <c r="J14" s="210" t="s">
        <v>800</v>
      </c>
      <c r="K14" s="211">
        <v>145188</v>
      </c>
      <c r="L14" s="210" t="s">
        <v>780</v>
      </c>
      <c r="M14" s="210" t="s">
        <v>792</v>
      </c>
      <c r="N14" s="210"/>
      <c r="O14" s="210" t="s">
        <v>790</v>
      </c>
      <c r="P14" s="210" t="s">
        <v>1012</v>
      </c>
      <c r="Q14" s="212" t="s">
        <v>646</v>
      </c>
      <c r="R14" s="213">
        <v>145188</v>
      </c>
      <c r="S14" s="55">
        <v>0</v>
      </c>
      <c r="T14" s="56">
        <f t="shared" si="2"/>
        <v>0</v>
      </c>
      <c r="U14" s="54"/>
      <c r="V14" s="58" t="str">
        <f t="shared" si="3"/>
        <v>Tidak Perlu</v>
      </c>
      <c r="W14" s="53" t="s">
        <v>792</v>
      </c>
      <c r="X14" s="53"/>
      <c r="Y14" s="186" t="str">
        <f>IF(B14="","",IF(AND(D14&lt;&gt;"",E14="ID TIDAK TERDAFTAR"),"PERKARA TIDAK VALID",IF(I14="","AKUN BELUM DIISI",IF(AND(M14="Ya",N14=""),"KLAIM BELUM DIHUBUNGKAN",IF(AND(N14&lt;&gt;"",COUNTIF(REIMBURSE!$A$5:$A$124,N14)=0),"ID KLAIM TIDAK TERDAFTAR",IF(Q14="Ditolak","PENGELUARAN DITOLAK",IF(R14&gt;K14,"NILAI DISETUJUI MELEBIHI BIAYA",IF(AND(Q14="Disetujui",Z14=""),"PENYETUJU BELUM DIISI",IF(Q14&lt;&gt;"Disetujui","MENUNGGU PERSETUJUAN","OK")))))))))</f>
        <v>OK</v>
      </c>
      <c r="Z14" s="187" t="s">
        <v>577</v>
      </c>
      <c r="AA14" s="188">
        <v>46267</v>
      </c>
      <c r="AB14" s="187"/>
      <c r="AC14" s="189" t="str">
        <f t="shared" si="4"/>
        <v>LENGKAP</v>
      </c>
    </row>
    <row r="15" spans="1:29" s="57" customFormat="1">
      <c r="A15" s="58" t="str">
        <f t="shared" si="0"/>
        <v>EXP-20260821-011</v>
      </c>
      <c r="B15" s="209">
        <v>46255</v>
      </c>
      <c r="C15" s="58" t="str">
        <f t="shared" si="1"/>
        <v>2026-08</v>
      </c>
      <c r="D15" s="52" t="s">
        <v>576</v>
      </c>
      <c r="E15" s="59" t="str">
        <f>IF(D15="","",IFERROR(INDEX([1]PERKARA!$B$5:$B$104,MATCH(D15,[1]PERKARA!$A$5:$A$104,0)),"ID TIDAK TERDAFTAR"))</f>
        <v>PT KEMBANG KEMBAR GRUP</v>
      </c>
      <c r="F15" s="210" t="s">
        <v>1013</v>
      </c>
      <c r="G15" s="210" t="s">
        <v>799</v>
      </c>
      <c r="H15" s="210" t="s">
        <v>182</v>
      </c>
      <c r="I15" s="210" t="s">
        <v>182</v>
      </c>
      <c r="J15" s="210" t="s">
        <v>800</v>
      </c>
      <c r="K15" s="211">
        <v>353320</v>
      </c>
      <c r="L15" s="210" t="s">
        <v>780</v>
      </c>
      <c r="M15" s="210" t="s">
        <v>792</v>
      </c>
      <c r="N15" s="210"/>
      <c r="O15" s="210" t="s">
        <v>778</v>
      </c>
      <c r="P15" s="210" t="s">
        <v>1014</v>
      </c>
      <c r="Q15" s="212" t="s">
        <v>646</v>
      </c>
      <c r="R15" s="213">
        <v>353320</v>
      </c>
      <c r="S15" s="55">
        <v>0</v>
      </c>
      <c r="T15" s="56">
        <f t="shared" si="2"/>
        <v>0</v>
      </c>
      <c r="U15" s="54"/>
      <c r="V15" s="58" t="str">
        <f t="shared" si="3"/>
        <v>Tidak Perlu</v>
      </c>
      <c r="W15" s="53" t="s">
        <v>792</v>
      </c>
      <c r="X15" s="53"/>
      <c r="Y15" s="186" t="str">
        <f>IF(B15="","",IF(AND(D15&lt;&gt;"",E15="ID TIDAK TERDAFTAR"),"PERKARA TIDAK VALID",IF(I15="","AKUN BELUM DIISI",IF(AND(M15="Ya",N15=""),"KLAIM BELUM DIHUBUNGKAN",IF(AND(N15&lt;&gt;"",COUNTIF(REIMBURSE!$A$5:$A$124,N15)=0),"ID KLAIM TIDAK TERDAFTAR",IF(Q15="Ditolak","PENGELUARAN DITOLAK",IF(R15&gt;K15,"NILAI DISETUJUI MELEBIHI BIAYA",IF(AND(Q15="Disetujui",Z15=""),"PENYETUJU BELUM DIISI",IF(Q15&lt;&gt;"Disetujui","MENUNGGU PERSETUJUAN","OK")))))))))</f>
        <v>OK</v>
      </c>
      <c r="Z15" s="187" t="s">
        <v>577</v>
      </c>
      <c r="AA15" s="188">
        <v>46268</v>
      </c>
      <c r="AB15" s="187"/>
      <c r="AC15" s="189" t="str">
        <f t="shared" si="4"/>
        <v>LENGKAP</v>
      </c>
    </row>
    <row r="16" spans="1:29" s="57" customFormat="1">
      <c r="A16" s="58" t="str">
        <f t="shared" si="0"/>
        <v/>
      </c>
      <c r="B16" s="54"/>
      <c r="C16" s="58" t="str">
        <f>IF(B16="","",TEXT(B16,"yyyy-mm"))</f>
        <v/>
      </c>
      <c r="D16" s="52"/>
      <c r="E16" s="59" t="str">
        <f>IF(D16="","",IFERROR(INDEX(PERKARA!$B$5:$B$104,MATCH(D16,PERKARA!$A$5:$A$104,0)),"ID TIDAK TERDAFTAR"))</f>
        <v/>
      </c>
      <c r="F16" s="53"/>
      <c r="G16" s="53"/>
      <c r="H16" s="53"/>
      <c r="I16" s="53"/>
      <c r="J16" s="53"/>
      <c r="K16" s="55"/>
      <c r="L16" s="53"/>
      <c r="M16" s="53"/>
      <c r="N16" s="53"/>
      <c r="O16" s="53"/>
      <c r="P16" s="53"/>
      <c r="Q16" s="102"/>
      <c r="R16" s="106"/>
      <c r="S16" s="55"/>
      <c r="T16" s="56" t="str">
        <f t="shared" si="2"/>
        <v/>
      </c>
      <c r="U16" s="54"/>
      <c r="V16" s="58" t="str">
        <f t="shared" si="3"/>
        <v/>
      </c>
      <c r="W16" s="53"/>
      <c r="X16" s="53"/>
      <c r="Y16" s="67" t="str">
        <f>IF(B16="","",IF(AND(D16&lt;&gt;"",E16="ID TIDAK TERDAFTAR"),"PERKARA TIDAK VALID",IF(I16="","AKUN BELUM DIISI",IF(AND(M16="Ya",N16=""),"KLAIM BELUM DIHUBUNGKAN",IF(AND(N16&lt;&gt;"",COUNTIF(REIMBURSE!$A$5:$A$124,N16)=0),"ID KLAIM TIDAK TERDAFTAR",IF(Q16="Ditolak","PENGELUARAN DITOLAK",IF(R16&gt;K16,"NILAI DISETUJUI MELEBIHI BIAYA",IF(AND(Q16="Disetujui",Z16=""),"PENYETUJU BELUM DIISI",IF(Q16&lt;&gt;"Disetujui","MENUNGGU PERSETUJUAN","OK")))))))))</f>
        <v/>
      </c>
      <c r="Z16" s="98"/>
      <c r="AA16" s="105"/>
      <c r="AB16" s="98"/>
      <c r="AC16" s="104" t="str">
        <f t="shared" si="4"/>
        <v/>
      </c>
    </row>
    <row r="17" spans="1:29" s="57" customFormat="1">
      <c r="A17" s="58" t="str">
        <f t="shared" si="0"/>
        <v/>
      </c>
      <c r="B17" s="54"/>
      <c r="C17" s="58" t="str">
        <f t="shared" ref="C16:C36" si="5">IF(B17="","",TEXT(B17,"yyyy-mm"))</f>
        <v/>
      </c>
      <c r="D17" s="52"/>
      <c r="E17" s="59" t="str">
        <f>IF(D17="","",IFERROR(INDEX(PERKARA!$B$5:$B$104,MATCH(D17,PERKARA!$A$5:$A$104,0)),"ID TIDAK TERDAFTAR"))</f>
        <v/>
      </c>
      <c r="F17" s="53"/>
      <c r="G17" s="53"/>
      <c r="H17" s="53"/>
      <c r="I17" s="53"/>
      <c r="J17" s="53"/>
      <c r="K17" s="55"/>
      <c r="L17" s="53"/>
      <c r="M17" s="53"/>
      <c r="N17" s="53"/>
      <c r="O17" s="53"/>
      <c r="P17" s="53"/>
      <c r="Q17" s="102"/>
      <c r="R17" s="106"/>
      <c r="S17" s="55"/>
      <c r="T17" s="56" t="str">
        <f t="shared" si="2"/>
        <v/>
      </c>
      <c r="U17" s="54"/>
      <c r="V17" s="58" t="str">
        <f t="shared" si="3"/>
        <v/>
      </c>
      <c r="W17" s="53"/>
      <c r="X17" s="53"/>
      <c r="Y17" s="67" t="str">
        <f>IF(B17="","",IF(AND(D17&lt;&gt;"",E17="ID TIDAK TERDAFTAR"),"PERKARA TIDAK VALID",IF(I17="","AKUN BELUM DIISI",IF(AND(M17="Ya",N17=""),"KLAIM BELUM DIHUBUNGKAN",IF(AND(N17&lt;&gt;"",COUNTIF(REIMBURSE!$A$5:$A$124,N17)=0),"ID KLAIM TIDAK TERDAFTAR",IF(Q17="Ditolak","PENGELUARAN DITOLAK",IF(R17&gt;K17,"NILAI DISETUJUI MELEBIHI BIAYA",IF(AND(Q17="Disetujui",Z17=""),"PENYETUJU BELUM DIISI",IF(Q17&lt;&gt;"Disetujui","MENUNGGU PERSETUJUAN","OK")))))))))</f>
        <v/>
      </c>
      <c r="Z17" s="98"/>
      <c r="AA17" s="105"/>
      <c r="AB17" s="98"/>
      <c r="AC17" s="104" t="str">
        <f t="shared" si="4"/>
        <v/>
      </c>
    </row>
    <row r="18" spans="1:29" s="57" customFormat="1">
      <c r="A18" s="58" t="str">
        <f t="shared" si="0"/>
        <v/>
      </c>
      <c r="B18" s="54"/>
      <c r="C18" s="58" t="str">
        <f t="shared" si="5"/>
        <v/>
      </c>
      <c r="D18" s="52"/>
      <c r="E18" s="59" t="str">
        <f>IF(D18="","",IFERROR(INDEX(PERKARA!$B$5:$B$104,MATCH(D18,PERKARA!$A$5:$A$104,0)),"ID TIDAK TERDAFTAR"))</f>
        <v/>
      </c>
      <c r="F18" s="53"/>
      <c r="G18" s="53"/>
      <c r="H18" s="53"/>
      <c r="I18" s="53"/>
      <c r="J18" s="53"/>
      <c r="K18" s="55"/>
      <c r="L18" s="53"/>
      <c r="M18" s="53"/>
      <c r="N18" s="53"/>
      <c r="O18" s="53"/>
      <c r="P18" s="53"/>
      <c r="Q18" s="102"/>
      <c r="R18" s="106"/>
      <c r="S18" s="55"/>
      <c r="T18" s="56" t="str">
        <f t="shared" si="2"/>
        <v/>
      </c>
      <c r="U18" s="54"/>
      <c r="V18" s="58" t="str">
        <f t="shared" si="3"/>
        <v/>
      </c>
      <c r="W18" s="53"/>
      <c r="X18" s="53"/>
      <c r="Y18" s="67" t="str">
        <f>IF(B18="","",IF(AND(D18&lt;&gt;"",E18="ID TIDAK TERDAFTAR"),"PERKARA TIDAK VALID",IF(I18="","AKUN BELUM DIISI",IF(AND(M18="Ya",N18=""),"KLAIM BELUM DIHUBUNGKAN",IF(AND(N18&lt;&gt;"",COUNTIF(REIMBURSE!$A$5:$A$124,N18)=0),"ID KLAIM TIDAK TERDAFTAR",IF(Q18="Ditolak","PENGELUARAN DITOLAK",IF(R18&gt;K18,"NILAI DISETUJUI MELEBIHI BIAYA",IF(AND(Q18="Disetujui",Z18=""),"PENYETUJU BELUM DIISI",IF(Q18&lt;&gt;"Disetujui","MENUNGGU PERSETUJUAN","OK")))))))))</f>
        <v/>
      </c>
      <c r="Z18" s="98"/>
      <c r="AA18" s="105"/>
      <c r="AB18" s="98"/>
      <c r="AC18" s="104" t="str">
        <f t="shared" si="4"/>
        <v/>
      </c>
    </row>
    <row r="19" spans="1:29" s="57" customFormat="1">
      <c r="A19" s="58" t="str">
        <f t="shared" si="0"/>
        <v/>
      </c>
      <c r="B19" s="54"/>
      <c r="C19" s="58" t="str">
        <f t="shared" si="5"/>
        <v/>
      </c>
      <c r="D19" s="52"/>
      <c r="E19" s="59" t="str">
        <f>IF(D19="","",IFERROR(INDEX(PERKARA!$B$5:$B$104,MATCH(D19,PERKARA!$A$5:$A$104,0)),"ID TIDAK TERDAFTAR"))</f>
        <v/>
      </c>
      <c r="F19" s="53"/>
      <c r="G19" s="53"/>
      <c r="H19" s="53"/>
      <c r="I19" s="53"/>
      <c r="J19" s="53"/>
      <c r="K19" s="55"/>
      <c r="L19" s="53"/>
      <c r="M19" s="53"/>
      <c r="N19" s="53"/>
      <c r="O19" s="53"/>
      <c r="P19" s="53"/>
      <c r="Q19" s="102"/>
      <c r="R19" s="106"/>
      <c r="S19" s="55"/>
      <c r="T19" s="56" t="str">
        <f t="shared" si="2"/>
        <v/>
      </c>
      <c r="U19" s="54"/>
      <c r="V19" s="58" t="str">
        <f t="shared" si="3"/>
        <v/>
      </c>
      <c r="W19" s="53"/>
      <c r="X19" s="53"/>
      <c r="Y19" s="67" t="str">
        <f>IF(B19="","",IF(AND(D19&lt;&gt;"",E19="ID TIDAK TERDAFTAR"),"PERKARA TIDAK VALID",IF(I19="","AKUN BELUM DIISI",IF(AND(M19="Ya",N19=""),"KLAIM BELUM DIHUBUNGKAN",IF(AND(N19&lt;&gt;"",COUNTIF(REIMBURSE!$A$5:$A$124,N19)=0),"ID KLAIM TIDAK TERDAFTAR",IF(Q19="Ditolak","PENGELUARAN DITOLAK",IF(R19&gt;K19,"NILAI DISETUJUI MELEBIHI BIAYA",IF(AND(Q19="Disetujui",Z19=""),"PENYETUJU BELUM DIISI",IF(Q19&lt;&gt;"Disetujui","MENUNGGU PERSETUJUAN","OK")))))))))</f>
        <v/>
      </c>
      <c r="Z19" s="98"/>
      <c r="AA19" s="105"/>
      <c r="AB19" s="98"/>
      <c r="AC19" s="104" t="str">
        <f t="shared" si="4"/>
        <v/>
      </c>
    </row>
    <row r="20" spans="1:29" s="57" customFormat="1">
      <c r="A20" s="58" t="str">
        <f t="shared" si="0"/>
        <v/>
      </c>
      <c r="B20" s="54"/>
      <c r="C20" s="58" t="str">
        <f t="shared" si="5"/>
        <v/>
      </c>
      <c r="D20" s="52"/>
      <c r="E20" s="59" t="str">
        <f>IF(D20="","",IFERROR(INDEX(PERKARA!$B$5:$B$104,MATCH(D20,PERKARA!$A$5:$A$104,0)),"ID TIDAK TERDAFTAR"))</f>
        <v/>
      </c>
      <c r="F20" s="53"/>
      <c r="G20" s="53"/>
      <c r="H20" s="53"/>
      <c r="I20" s="53"/>
      <c r="J20" s="53"/>
      <c r="K20" s="55"/>
      <c r="L20" s="53"/>
      <c r="M20" s="53"/>
      <c r="N20" s="53"/>
      <c r="O20" s="53"/>
      <c r="P20" s="53"/>
      <c r="Q20" s="102"/>
      <c r="R20" s="106"/>
      <c r="S20" s="55"/>
      <c r="T20" s="56" t="str">
        <f t="shared" si="2"/>
        <v/>
      </c>
      <c r="U20" s="54"/>
      <c r="V20" s="58" t="str">
        <f t="shared" si="3"/>
        <v/>
      </c>
      <c r="W20" s="53"/>
      <c r="X20" s="53"/>
      <c r="Y20" s="67" t="str">
        <f>IF(B20="","",IF(AND(D20&lt;&gt;"",E20="ID TIDAK TERDAFTAR"),"PERKARA TIDAK VALID",IF(I20="","AKUN BELUM DIISI",IF(AND(M20="Ya",N20=""),"KLAIM BELUM DIHUBUNGKAN",IF(AND(N20&lt;&gt;"",COUNTIF(REIMBURSE!$A$5:$A$124,N20)=0),"ID KLAIM TIDAK TERDAFTAR",IF(Q20="Ditolak","PENGELUARAN DITOLAK",IF(R20&gt;K20,"NILAI DISETUJUI MELEBIHI BIAYA",IF(AND(Q20="Disetujui",Z20=""),"PENYETUJU BELUM DIISI",IF(Q20&lt;&gt;"Disetujui","MENUNGGU PERSETUJUAN","OK")))))))))</f>
        <v/>
      </c>
      <c r="Z20" s="98"/>
      <c r="AA20" s="105"/>
      <c r="AB20" s="98"/>
      <c r="AC20" s="104" t="str">
        <f t="shared" si="4"/>
        <v/>
      </c>
    </row>
    <row r="21" spans="1:29" s="57" customFormat="1">
      <c r="A21" s="58" t="str">
        <f t="shared" si="0"/>
        <v/>
      </c>
      <c r="B21" s="54"/>
      <c r="C21" s="58" t="str">
        <f t="shared" si="5"/>
        <v/>
      </c>
      <c r="D21" s="52"/>
      <c r="E21" s="59" t="str">
        <f>IF(D21="","",IFERROR(INDEX(PERKARA!$B$5:$B$104,MATCH(D21,PERKARA!$A$5:$A$104,0)),"ID TIDAK TERDAFTAR"))</f>
        <v/>
      </c>
      <c r="F21" s="53"/>
      <c r="G21" s="53"/>
      <c r="H21" s="53"/>
      <c r="I21" s="53"/>
      <c r="J21" s="53"/>
      <c r="K21" s="55"/>
      <c r="L21" s="53"/>
      <c r="M21" s="53"/>
      <c r="N21" s="53"/>
      <c r="O21" s="53"/>
      <c r="P21" s="53"/>
      <c r="Q21" s="102"/>
      <c r="R21" s="106"/>
      <c r="S21" s="55"/>
      <c r="T21" s="56" t="str">
        <f t="shared" si="2"/>
        <v/>
      </c>
      <c r="U21" s="54"/>
      <c r="V21" s="58" t="str">
        <f t="shared" si="3"/>
        <v/>
      </c>
      <c r="W21" s="53"/>
      <c r="X21" s="53"/>
      <c r="Y21" s="67" t="str">
        <f>IF(B21="","",IF(AND(D21&lt;&gt;"",E21="ID TIDAK TERDAFTAR"),"PERKARA TIDAK VALID",IF(I21="","AKUN BELUM DIISI",IF(AND(M21="Ya",N21=""),"KLAIM BELUM DIHUBUNGKAN",IF(AND(N21&lt;&gt;"",COUNTIF(REIMBURSE!$A$5:$A$124,N21)=0),"ID KLAIM TIDAK TERDAFTAR",IF(Q21="Ditolak","PENGELUARAN DITOLAK",IF(R21&gt;K21,"NILAI DISETUJUI MELEBIHI BIAYA",IF(AND(Q21="Disetujui",Z21=""),"PENYETUJU BELUM DIISI",IF(Q21&lt;&gt;"Disetujui","MENUNGGU PERSETUJUAN","OK")))))))))</f>
        <v/>
      </c>
      <c r="Z21" s="98"/>
      <c r="AA21" s="105"/>
      <c r="AB21" s="98"/>
      <c r="AC21" s="104" t="str">
        <f t="shared" si="4"/>
        <v/>
      </c>
    </row>
    <row r="22" spans="1:29" s="57" customFormat="1">
      <c r="A22" s="58" t="str">
        <f t="shared" si="0"/>
        <v/>
      </c>
      <c r="B22" s="54"/>
      <c r="C22" s="58" t="str">
        <f t="shared" si="5"/>
        <v/>
      </c>
      <c r="D22" s="52"/>
      <c r="E22" s="59" t="str">
        <f>IF(D22="","",IFERROR(INDEX(PERKARA!$B$5:$B$104,MATCH(D22,PERKARA!$A$5:$A$104,0)),"ID TIDAK TERDAFTAR"))</f>
        <v/>
      </c>
      <c r="F22" s="53"/>
      <c r="G22" s="53"/>
      <c r="H22" s="53"/>
      <c r="I22" s="53"/>
      <c r="J22" s="53"/>
      <c r="K22" s="55"/>
      <c r="L22" s="53"/>
      <c r="M22" s="53"/>
      <c r="N22" s="53"/>
      <c r="O22" s="53"/>
      <c r="P22" s="53"/>
      <c r="Q22" s="102"/>
      <c r="R22" s="106"/>
      <c r="S22" s="55"/>
      <c r="T22" s="56" t="str">
        <f t="shared" si="2"/>
        <v/>
      </c>
      <c r="U22" s="54"/>
      <c r="V22" s="58" t="str">
        <f t="shared" si="3"/>
        <v/>
      </c>
      <c r="W22" s="53"/>
      <c r="X22" s="53"/>
      <c r="Y22" s="67" t="str">
        <f>IF(B22="","",IF(AND(D22&lt;&gt;"",E22="ID TIDAK TERDAFTAR"),"PERKARA TIDAK VALID",IF(I22="","AKUN BELUM DIISI",IF(AND(M22="Ya",N22=""),"KLAIM BELUM DIHUBUNGKAN",IF(AND(N22&lt;&gt;"",COUNTIF(REIMBURSE!$A$5:$A$124,N22)=0),"ID KLAIM TIDAK TERDAFTAR",IF(Q22="Ditolak","PENGELUARAN DITOLAK",IF(R22&gt;K22,"NILAI DISETUJUI MELEBIHI BIAYA",IF(AND(Q22="Disetujui",Z22=""),"PENYETUJU BELUM DIISI",IF(Q22&lt;&gt;"Disetujui","MENUNGGU PERSETUJUAN","OK")))))))))</f>
        <v/>
      </c>
      <c r="Z22" s="98"/>
      <c r="AA22" s="105"/>
      <c r="AB22" s="98"/>
      <c r="AC22" s="104" t="str">
        <f t="shared" si="4"/>
        <v/>
      </c>
    </row>
    <row r="23" spans="1:29" s="57" customFormat="1">
      <c r="A23" s="58" t="str">
        <f t="shared" si="0"/>
        <v/>
      </c>
      <c r="B23" s="54"/>
      <c r="C23" s="58" t="str">
        <f t="shared" si="5"/>
        <v/>
      </c>
      <c r="D23" s="52"/>
      <c r="E23" s="59" t="str">
        <f>IF(D23="","",IFERROR(INDEX(PERKARA!$B$5:$B$104,MATCH(D23,PERKARA!$A$5:$A$104,0)),"ID TIDAK TERDAFTAR"))</f>
        <v/>
      </c>
      <c r="F23" s="53"/>
      <c r="G23" s="53"/>
      <c r="H23" s="53"/>
      <c r="I23" s="53"/>
      <c r="J23" s="53"/>
      <c r="K23" s="55"/>
      <c r="L23" s="53"/>
      <c r="M23" s="53"/>
      <c r="N23" s="53"/>
      <c r="O23" s="53"/>
      <c r="P23" s="53"/>
      <c r="Q23" s="102"/>
      <c r="R23" s="106"/>
      <c r="S23" s="55"/>
      <c r="T23" s="56" t="str">
        <f t="shared" si="2"/>
        <v/>
      </c>
      <c r="U23" s="54"/>
      <c r="V23" s="58" t="str">
        <f t="shared" si="3"/>
        <v/>
      </c>
      <c r="W23" s="53"/>
      <c r="X23" s="53"/>
      <c r="Y23" s="67" t="str">
        <f>IF(B23="","",IF(AND(D23&lt;&gt;"",E23="ID TIDAK TERDAFTAR"),"PERKARA TIDAK VALID",IF(I23="","AKUN BELUM DIISI",IF(AND(M23="Ya",N23=""),"KLAIM BELUM DIHUBUNGKAN",IF(AND(N23&lt;&gt;"",COUNTIF(REIMBURSE!$A$5:$A$124,N23)=0),"ID KLAIM TIDAK TERDAFTAR",IF(Q23="Ditolak","PENGELUARAN DITOLAK",IF(R23&gt;K23,"NILAI DISETUJUI MELEBIHI BIAYA",IF(AND(Q23="Disetujui",Z23=""),"PENYETUJU BELUM DIISI",IF(Q23&lt;&gt;"Disetujui","MENUNGGU PERSETUJUAN","OK")))))))))</f>
        <v/>
      </c>
      <c r="Z23" s="98"/>
      <c r="AA23" s="105"/>
      <c r="AB23" s="98"/>
      <c r="AC23" s="104" t="str">
        <f t="shared" si="4"/>
        <v/>
      </c>
    </row>
    <row r="24" spans="1:29" s="57" customFormat="1">
      <c r="A24" s="58" t="str">
        <f t="shared" si="0"/>
        <v/>
      </c>
      <c r="B24" s="54"/>
      <c r="C24" s="58" t="str">
        <f t="shared" si="5"/>
        <v/>
      </c>
      <c r="D24" s="52"/>
      <c r="E24" s="59" t="str">
        <f>IF(D24="","",IFERROR(INDEX(PERKARA!$B$5:$B$104,MATCH(D24,PERKARA!$A$5:$A$104,0)),"ID TIDAK TERDAFTAR"))</f>
        <v/>
      </c>
      <c r="F24" s="53"/>
      <c r="G24" s="53"/>
      <c r="H24" s="53"/>
      <c r="I24" s="53"/>
      <c r="J24" s="53"/>
      <c r="K24" s="55"/>
      <c r="L24" s="53"/>
      <c r="M24" s="53"/>
      <c r="N24" s="53"/>
      <c r="O24" s="53"/>
      <c r="P24" s="53"/>
      <c r="Q24" s="102"/>
      <c r="R24" s="106"/>
      <c r="S24" s="55"/>
      <c r="T24" s="56" t="str">
        <f t="shared" si="2"/>
        <v/>
      </c>
      <c r="U24" s="54"/>
      <c r="V24" s="58" t="str">
        <f t="shared" si="3"/>
        <v/>
      </c>
      <c r="W24" s="53"/>
      <c r="X24" s="53"/>
      <c r="Y24" s="67" t="str">
        <f>IF(B24="","",IF(AND(D24&lt;&gt;"",E24="ID TIDAK TERDAFTAR"),"PERKARA TIDAK VALID",IF(I24="","AKUN BELUM DIISI",IF(AND(M24="Ya",N24=""),"KLAIM BELUM DIHUBUNGKAN",IF(AND(N24&lt;&gt;"",COUNTIF(REIMBURSE!$A$5:$A$124,N24)=0),"ID KLAIM TIDAK TERDAFTAR",IF(Q24="Ditolak","PENGELUARAN DITOLAK",IF(R24&gt;K24,"NILAI DISETUJUI MELEBIHI BIAYA",IF(AND(Q24="Disetujui",Z24=""),"PENYETUJU BELUM DIISI",IF(Q24&lt;&gt;"Disetujui","MENUNGGU PERSETUJUAN","OK")))))))))</f>
        <v/>
      </c>
      <c r="Z24" s="98"/>
      <c r="AA24" s="105"/>
      <c r="AB24" s="98"/>
      <c r="AC24" s="104" t="str">
        <f t="shared" si="4"/>
        <v/>
      </c>
    </row>
    <row r="25" spans="1:29" s="57" customFormat="1">
      <c r="A25" s="58" t="str">
        <f t="shared" si="0"/>
        <v/>
      </c>
      <c r="B25" s="54"/>
      <c r="C25" s="58" t="str">
        <f t="shared" si="5"/>
        <v/>
      </c>
      <c r="D25" s="52"/>
      <c r="E25" s="59" t="str">
        <f>IF(D25="","",IFERROR(INDEX(PERKARA!$B$5:$B$104,MATCH(D25,PERKARA!$A$5:$A$104,0)),"ID TIDAK TERDAFTAR"))</f>
        <v/>
      </c>
      <c r="F25" s="53"/>
      <c r="G25" s="53"/>
      <c r="H25" s="53"/>
      <c r="I25" s="53"/>
      <c r="J25" s="53"/>
      <c r="K25" s="55"/>
      <c r="L25" s="53"/>
      <c r="M25" s="53"/>
      <c r="N25" s="53"/>
      <c r="O25" s="53"/>
      <c r="P25" s="53"/>
      <c r="Q25" s="102"/>
      <c r="R25" s="106"/>
      <c r="S25" s="55"/>
      <c r="T25" s="56" t="str">
        <f t="shared" si="2"/>
        <v/>
      </c>
      <c r="U25" s="54"/>
      <c r="V25" s="58" t="str">
        <f t="shared" si="3"/>
        <v/>
      </c>
      <c r="W25" s="53"/>
      <c r="X25" s="53"/>
      <c r="Y25" s="67" t="str">
        <f>IF(B25="","",IF(AND(D25&lt;&gt;"",E25="ID TIDAK TERDAFTAR"),"PERKARA TIDAK VALID",IF(I25="","AKUN BELUM DIISI",IF(AND(M25="Ya",N25=""),"KLAIM BELUM DIHUBUNGKAN",IF(AND(N25&lt;&gt;"",COUNTIF(REIMBURSE!$A$5:$A$124,N25)=0),"ID KLAIM TIDAK TERDAFTAR",IF(Q25="Ditolak","PENGELUARAN DITOLAK",IF(R25&gt;K25,"NILAI DISETUJUI MELEBIHI BIAYA",IF(AND(Q25="Disetujui",Z25=""),"PENYETUJU BELUM DIISI",IF(Q25&lt;&gt;"Disetujui","MENUNGGU PERSETUJUAN","OK")))))))))</f>
        <v/>
      </c>
      <c r="Z25" s="98"/>
      <c r="AA25" s="105"/>
      <c r="AB25" s="98"/>
      <c r="AC25" s="104" t="str">
        <f t="shared" si="4"/>
        <v/>
      </c>
    </row>
    <row r="26" spans="1:29" s="57" customFormat="1">
      <c r="A26" s="58" t="str">
        <f t="shared" si="0"/>
        <v/>
      </c>
      <c r="B26" s="54"/>
      <c r="C26" s="58" t="str">
        <f t="shared" si="5"/>
        <v/>
      </c>
      <c r="D26" s="52"/>
      <c r="E26" s="59" t="str">
        <f>IF(D26="","",IFERROR(INDEX(PERKARA!$B$5:$B$104,MATCH(D26,PERKARA!$A$5:$A$104,0)),"ID TIDAK TERDAFTAR"))</f>
        <v/>
      </c>
      <c r="F26" s="53"/>
      <c r="G26" s="53"/>
      <c r="H26" s="53"/>
      <c r="I26" s="53"/>
      <c r="J26" s="53"/>
      <c r="K26" s="55"/>
      <c r="L26" s="53"/>
      <c r="M26" s="53"/>
      <c r="N26" s="53"/>
      <c r="O26" s="53"/>
      <c r="P26" s="53"/>
      <c r="Q26" s="102"/>
      <c r="R26" s="106"/>
      <c r="S26" s="55"/>
      <c r="T26" s="56" t="str">
        <f t="shared" si="2"/>
        <v/>
      </c>
      <c r="U26" s="54"/>
      <c r="V26" s="58" t="str">
        <f t="shared" si="3"/>
        <v/>
      </c>
      <c r="W26" s="53"/>
      <c r="X26" s="53"/>
      <c r="Y26" s="67" t="str">
        <f>IF(B26="","",IF(AND(D26&lt;&gt;"",E26="ID TIDAK TERDAFTAR"),"PERKARA TIDAK VALID",IF(I26="","AKUN BELUM DIISI",IF(AND(M26="Ya",N26=""),"KLAIM BELUM DIHUBUNGKAN",IF(AND(N26&lt;&gt;"",COUNTIF(REIMBURSE!$A$5:$A$124,N26)=0),"ID KLAIM TIDAK TERDAFTAR",IF(Q26="Ditolak","PENGELUARAN DITOLAK",IF(R26&gt;K26,"NILAI DISETUJUI MELEBIHI BIAYA",IF(AND(Q26="Disetujui",Z26=""),"PENYETUJU BELUM DIISI",IF(Q26&lt;&gt;"Disetujui","MENUNGGU PERSETUJUAN","OK")))))))))</f>
        <v/>
      </c>
      <c r="Z26" s="98"/>
      <c r="AA26" s="105"/>
      <c r="AB26" s="98"/>
      <c r="AC26" s="104" t="str">
        <f t="shared" si="4"/>
        <v/>
      </c>
    </row>
    <row r="27" spans="1:29" s="57" customFormat="1">
      <c r="A27" s="58" t="str">
        <f t="shared" si="0"/>
        <v/>
      </c>
      <c r="B27" s="54"/>
      <c r="C27" s="58" t="str">
        <f t="shared" si="5"/>
        <v/>
      </c>
      <c r="D27" s="52"/>
      <c r="E27" s="59" t="str">
        <f>IF(D27="","",IFERROR(INDEX(PERKARA!$B$5:$B$104,MATCH(D27,PERKARA!$A$5:$A$104,0)),"ID TIDAK TERDAFTAR"))</f>
        <v/>
      </c>
      <c r="F27" s="53"/>
      <c r="G27" s="53"/>
      <c r="H27" s="53"/>
      <c r="I27" s="53"/>
      <c r="J27" s="53"/>
      <c r="K27" s="55"/>
      <c r="L27" s="53"/>
      <c r="M27" s="53"/>
      <c r="N27" s="53"/>
      <c r="O27" s="53"/>
      <c r="P27" s="53"/>
      <c r="Q27" s="102"/>
      <c r="R27" s="106"/>
      <c r="S27" s="55"/>
      <c r="T27" s="56" t="str">
        <f t="shared" si="2"/>
        <v/>
      </c>
      <c r="U27" s="54"/>
      <c r="V27" s="58" t="str">
        <f t="shared" si="3"/>
        <v/>
      </c>
      <c r="W27" s="53"/>
      <c r="X27" s="53"/>
      <c r="Y27" s="67" t="str">
        <f>IF(B27="","",IF(AND(D27&lt;&gt;"",E27="ID TIDAK TERDAFTAR"),"PERKARA TIDAK VALID",IF(I27="","AKUN BELUM DIISI",IF(AND(M27="Ya",N27=""),"KLAIM BELUM DIHUBUNGKAN",IF(AND(N27&lt;&gt;"",COUNTIF(REIMBURSE!$A$5:$A$124,N27)=0),"ID KLAIM TIDAK TERDAFTAR",IF(Q27="Ditolak","PENGELUARAN DITOLAK",IF(R27&gt;K27,"NILAI DISETUJUI MELEBIHI BIAYA",IF(AND(Q27="Disetujui",Z27=""),"PENYETUJU BELUM DIISI",IF(Q27&lt;&gt;"Disetujui","MENUNGGU PERSETUJUAN","OK")))))))))</f>
        <v/>
      </c>
      <c r="Z27" s="98"/>
      <c r="AA27" s="105"/>
      <c r="AB27" s="98"/>
      <c r="AC27" s="104" t="str">
        <f t="shared" si="4"/>
        <v/>
      </c>
    </row>
    <row r="28" spans="1:29" s="57" customFormat="1">
      <c r="A28" s="58" t="str">
        <f t="shared" si="0"/>
        <v/>
      </c>
      <c r="B28" s="54"/>
      <c r="C28" s="58" t="str">
        <f t="shared" si="5"/>
        <v/>
      </c>
      <c r="D28" s="52"/>
      <c r="E28" s="59" t="str">
        <f>IF(D28="","",IFERROR(INDEX(PERKARA!$B$5:$B$104,MATCH(D28,PERKARA!$A$5:$A$104,0)),"ID TIDAK TERDAFTAR"))</f>
        <v/>
      </c>
      <c r="F28" s="53"/>
      <c r="G28" s="53"/>
      <c r="H28" s="53"/>
      <c r="I28" s="53"/>
      <c r="J28" s="53"/>
      <c r="K28" s="55"/>
      <c r="L28" s="53"/>
      <c r="M28" s="53"/>
      <c r="N28" s="53"/>
      <c r="O28" s="53"/>
      <c r="P28" s="53"/>
      <c r="Q28" s="102"/>
      <c r="R28" s="106"/>
      <c r="S28" s="55"/>
      <c r="T28" s="56" t="str">
        <f t="shared" si="2"/>
        <v/>
      </c>
      <c r="U28" s="54"/>
      <c r="V28" s="58" t="str">
        <f t="shared" si="3"/>
        <v/>
      </c>
      <c r="W28" s="53"/>
      <c r="X28" s="53"/>
      <c r="Y28" s="67" t="str">
        <f>IF(B28="","",IF(AND(D28&lt;&gt;"",E28="ID TIDAK TERDAFTAR"),"PERKARA TIDAK VALID",IF(I28="","AKUN BELUM DIISI",IF(AND(M28="Ya",N28=""),"KLAIM BELUM DIHUBUNGKAN",IF(AND(N28&lt;&gt;"",COUNTIF(REIMBURSE!$A$5:$A$124,N28)=0),"ID KLAIM TIDAK TERDAFTAR",IF(Q28="Ditolak","PENGELUARAN DITOLAK",IF(R28&gt;K28,"NILAI DISETUJUI MELEBIHI BIAYA",IF(AND(Q28="Disetujui",Z28=""),"PENYETUJU BELUM DIISI",IF(Q28&lt;&gt;"Disetujui","MENUNGGU PERSETUJUAN","OK")))))))))</f>
        <v/>
      </c>
      <c r="Z28" s="98"/>
      <c r="AA28" s="105"/>
      <c r="AB28" s="98"/>
      <c r="AC28" s="104" t="str">
        <f t="shared" si="4"/>
        <v/>
      </c>
    </row>
    <row r="29" spans="1:29" s="57" customFormat="1">
      <c r="A29" s="58" t="str">
        <f t="shared" si="0"/>
        <v/>
      </c>
      <c r="B29" s="54"/>
      <c r="C29" s="58" t="str">
        <f t="shared" si="5"/>
        <v/>
      </c>
      <c r="D29" s="52"/>
      <c r="E29" s="59" t="str">
        <f>IF(D29="","",IFERROR(INDEX(PERKARA!$B$5:$B$104,MATCH(D29,PERKARA!$A$5:$A$104,0)),"ID TIDAK TERDAFTAR"))</f>
        <v/>
      </c>
      <c r="F29" s="53"/>
      <c r="G29" s="53"/>
      <c r="H29" s="53"/>
      <c r="I29" s="53"/>
      <c r="J29" s="53"/>
      <c r="K29" s="55"/>
      <c r="L29" s="53"/>
      <c r="M29" s="53"/>
      <c r="N29" s="53"/>
      <c r="O29" s="53"/>
      <c r="P29" s="53"/>
      <c r="Q29" s="102"/>
      <c r="R29" s="106"/>
      <c r="S29" s="55"/>
      <c r="T29" s="56" t="str">
        <f t="shared" si="2"/>
        <v/>
      </c>
      <c r="U29" s="54"/>
      <c r="V29" s="58" t="str">
        <f t="shared" si="3"/>
        <v/>
      </c>
      <c r="W29" s="53"/>
      <c r="X29" s="53"/>
      <c r="Y29" s="67" t="str">
        <f>IF(B29="","",IF(AND(D29&lt;&gt;"",E29="ID TIDAK TERDAFTAR"),"PERKARA TIDAK VALID",IF(I29="","AKUN BELUM DIISI",IF(AND(M29="Ya",N29=""),"KLAIM BELUM DIHUBUNGKAN",IF(AND(N29&lt;&gt;"",COUNTIF(REIMBURSE!$A$5:$A$124,N29)=0),"ID KLAIM TIDAK TERDAFTAR",IF(Q29="Ditolak","PENGELUARAN DITOLAK",IF(R29&gt;K29,"NILAI DISETUJUI MELEBIHI BIAYA",IF(AND(Q29="Disetujui",Z29=""),"PENYETUJU BELUM DIISI",IF(Q29&lt;&gt;"Disetujui","MENUNGGU PERSETUJUAN","OK")))))))))</f>
        <v/>
      </c>
      <c r="Z29" s="98"/>
      <c r="AA29" s="105"/>
      <c r="AB29" s="98"/>
      <c r="AC29" s="104" t="str">
        <f t="shared" si="4"/>
        <v/>
      </c>
    </row>
    <row r="30" spans="1:29" s="57" customFormat="1">
      <c r="A30" s="58" t="str">
        <f t="shared" si="0"/>
        <v/>
      </c>
      <c r="B30" s="54"/>
      <c r="C30" s="58" t="str">
        <f t="shared" si="5"/>
        <v/>
      </c>
      <c r="D30" s="52"/>
      <c r="E30" s="59" t="str">
        <f>IF(D30="","",IFERROR(INDEX(PERKARA!$B$5:$B$104,MATCH(D30,PERKARA!$A$5:$A$104,0)),"ID TIDAK TERDAFTAR"))</f>
        <v/>
      </c>
      <c r="F30" s="53"/>
      <c r="G30" s="53"/>
      <c r="H30" s="53"/>
      <c r="I30" s="53"/>
      <c r="J30" s="53"/>
      <c r="K30" s="55"/>
      <c r="L30" s="53"/>
      <c r="M30" s="53"/>
      <c r="N30" s="53"/>
      <c r="O30" s="53"/>
      <c r="P30" s="53"/>
      <c r="Q30" s="102"/>
      <c r="R30" s="106"/>
      <c r="S30" s="55"/>
      <c r="T30" s="56" t="str">
        <f t="shared" si="2"/>
        <v/>
      </c>
      <c r="U30" s="54"/>
      <c r="V30" s="58" t="str">
        <f t="shared" si="3"/>
        <v/>
      </c>
      <c r="W30" s="53"/>
      <c r="X30" s="53"/>
      <c r="Y30" s="67" t="str">
        <f>IF(B30="","",IF(AND(D30&lt;&gt;"",E30="ID TIDAK TERDAFTAR"),"PERKARA TIDAK VALID",IF(I30="","AKUN BELUM DIISI",IF(AND(M30="Ya",N30=""),"KLAIM BELUM DIHUBUNGKAN",IF(AND(N30&lt;&gt;"",COUNTIF(REIMBURSE!$A$5:$A$124,N30)=0),"ID KLAIM TIDAK TERDAFTAR",IF(Q30="Ditolak","PENGELUARAN DITOLAK",IF(R30&gt;K30,"NILAI DISETUJUI MELEBIHI BIAYA",IF(AND(Q30="Disetujui",Z30=""),"PENYETUJU BELUM DIISI",IF(Q30&lt;&gt;"Disetujui","MENUNGGU PERSETUJUAN","OK")))))))))</f>
        <v/>
      </c>
      <c r="Z30" s="98"/>
      <c r="AA30" s="105"/>
      <c r="AB30" s="98"/>
      <c r="AC30" s="104" t="str">
        <f t="shared" si="4"/>
        <v/>
      </c>
    </row>
    <row r="31" spans="1:29" s="57" customFormat="1">
      <c r="A31" s="58" t="str">
        <f t="shared" si="0"/>
        <v/>
      </c>
      <c r="B31" s="54"/>
      <c r="C31" s="58" t="str">
        <f t="shared" si="5"/>
        <v/>
      </c>
      <c r="D31" s="52"/>
      <c r="E31" s="59" t="str">
        <f>IF(D31="","",IFERROR(INDEX(PERKARA!$B$5:$B$104,MATCH(D31,PERKARA!$A$5:$A$104,0)),"ID TIDAK TERDAFTAR"))</f>
        <v/>
      </c>
      <c r="F31" s="53"/>
      <c r="G31" s="53"/>
      <c r="H31" s="53"/>
      <c r="I31" s="53"/>
      <c r="J31" s="53"/>
      <c r="K31" s="55"/>
      <c r="L31" s="53"/>
      <c r="M31" s="53"/>
      <c r="N31" s="53"/>
      <c r="O31" s="53"/>
      <c r="P31" s="53"/>
      <c r="Q31" s="102"/>
      <c r="R31" s="106"/>
      <c r="S31" s="55"/>
      <c r="T31" s="56" t="str">
        <f t="shared" si="2"/>
        <v/>
      </c>
      <c r="U31" s="54"/>
      <c r="V31" s="58" t="str">
        <f t="shared" si="3"/>
        <v/>
      </c>
      <c r="W31" s="53"/>
      <c r="X31" s="53"/>
      <c r="Y31" s="67" t="str">
        <f>IF(B31="","",IF(AND(D31&lt;&gt;"",E31="ID TIDAK TERDAFTAR"),"PERKARA TIDAK VALID",IF(I31="","AKUN BELUM DIISI",IF(AND(M31="Ya",N31=""),"KLAIM BELUM DIHUBUNGKAN",IF(AND(N31&lt;&gt;"",COUNTIF(REIMBURSE!$A$5:$A$124,N31)=0),"ID KLAIM TIDAK TERDAFTAR",IF(Q31="Ditolak","PENGELUARAN DITOLAK",IF(R31&gt;K31,"NILAI DISETUJUI MELEBIHI BIAYA",IF(AND(Q31="Disetujui",Z31=""),"PENYETUJU BELUM DIISI",IF(Q31&lt;&gt;"Disetujui","MENUNGGU PERSETUJUAN","OK")))))))))</f>
        <v/>
      </c>
      <c r="Z31" s="98"/>
      <c r="AA31" s="105"/>
      <c r="AB31" s="98"/>
      <c r="AC31" s="104" t="str">
        <f t="shared" si="4"/>
        <v/>
      </c>
    </row>
    <row r="32" spans="1:29" s="57" customFormat="1">
      <c r="A32" s="58" t="str">
        <f t="shared" si="0"/>
        <v/>
      </c>
      <c r="B32" s="54"/>
      <c r="C32" s="58" t="str">
        <f t="shared" si="5"/>
        <v/>
      </c>
      <c r="D32" s="52"/>
      <c r="E32" s="59" t="str">
        <f>IF(D32="","",IFERROR(INDEX(PERKARA!$B$5:$B$104,MATCH(D32,PERKARA!$A$5:$A$104,0)),"ID TIDAK TERDAFTAR"))</f>
        <v/>
      </c>
      <c r="F32" s="53"/>
      <c r="G32" s="53"/>
      <c r="H32" s="53"/>
      <c r="I32" s="53"/>
      <c r="J32" s="53"/>
      <c r="K32" s="55"/>
      <c r="L32" s="53"/>
      <c r="M32" s="53"/>
      <c r="N32" s="53"/>
      <c r="O32" s="53"/>
      <c r="P32" s="53"/>
      <c r="Q32" s="102"/>
      <c r="R32" s="106"/>
      <c r="S32" s="55"/>
      <c r="T32" s="56" t="str">
        <f t="shared" si="2"/>
        <v/>
      </c>
      <c r="U32" s="54"/>
      <c r="V32" s="58" t="str">
        <f t="shared" si="3"/>
        <v/>
      </c>
      <c r="W32" s="53"/>
      <c r="X32" s="53"/>
      <c r="Y32" s="67" t="str">
        <f>IF(B32="","",IF(AND(D32&lt;&gt;"",E32="ID TIDAK TERDAFTAR"),"PERKARA TIDAK VALID",IF(I32="","AKUN BELUM DIISI",IF(AND(M32="Ya",N32=""),"KLAIM BELUM DIHUBUNGKAN",IF(AND(N32&lt;&gt;"",COUNTIF(REIMBURSE!$A$5:$A$124,N32)=0),"ID KLAIM TIDAK TERDAFTAR",IF(Q32="Ditolak","PENGELUARAN DITOLAK",IF(R32&gt;K32,"NILAI DISETUJUI MELEBIHI BIAYA",IF(AND(Q32="Disetujui",Z32=""),"PENYETUJU BELUM DIISI",IF(Q32&lt;&gt;"Disetujui","MENUNGGU PERSETUJUAN","OK")))))))))</f>
        <v/>
      </c>
      <c r="Z32" s="98"/>
      <c r="AA32" s="105"/>
      <c r="AB32" s="98"/>
      <c r="AC32" s="104" t="str">
        <f t="shared" si="4"/>
        <v/>
      </c>
    </row>
    <row r="33" spans="1:29" s="57" customFormat="1">
      <c r="A33" s="58" t="str">
        <f t="shared" si="0"/>
        <v/>
      </c>
      <c r="B33" s="54"/>
      <c r="C33" s="58" t="str">
        <f t="shared" si="5"/>
        <v/>
      </c>
      <c r="D33" s="52"/>
      <c r="E33" s="59" t="str">
        <f>IF(D33="","",IFERROR(INDEX(PERKARA!$B$5:$B$104,MATCH(D33,PERKARA!$A$5:$A$104,0)),"ID TIDAK TERDAFTAR"))</f>
        <v/>
      </c>
      <c r="F33" s="53"/>
      <c r="G33" s="53"/>
      <c r="H33" s="53"/>
      <c r="I33" s="53"/>
      <c r="J33" s="53"/>
      <c r="K33" s="55"/>
      <c r="L33" s="53"/>
      <c r="M33" s="53"/>
      <c r="N33" s="53"/>
      <c r="O33" s="53"/>
      <c r="P33" s="53"/>
      <c r="Q33" s="102"/>
      <c r="R33" s="106"/>
      <c r="S33" s="55"/>
      <c r="T33" s="56" t="str">
        <f t="shared" si="2"/>
        <v/>
      </c>
      <c r="U33" s="54"/>
      <c r="V33" s="58" t="str">
        <f t="shared" si="3"/>
        <v/>
      </c>
      <c r="W33" s="53"/>
      <c r="X33" s="53"/>
      <c r="Y33" s="67" t="str">
        <f>IF(B33="","",IF(AND(D33&lt;&gt;"",E33="ID TIDAK TERDAFTAR"),"PERKARA TIDAK VALID",IF(I33="","AKUN BELUM DIISI",IF(AND(M33="Ya",N33=""),"KLAIM BELUM DIHUBUNGKAN",IF(AND(N33&lt;&gt;"",COUNTIF(REIMBURSE!$A$5:$A$124,N33)=0),"ID KLAIM TIDAK TERDAFTAR",IF(Q33="Ditolak","PENGELUARAN DITOLAK",IF(R33&gt;K33,"NILAI DISETUJUI MELEBIHI BIAYA",IF(AND(Q33="Disetujui",Z33=""),"PENYETUJU BELUM DIISI",IF(Q33&lt;&gt;"Disetujui","MENUNGGU PERSETUJUAN","OK")))))))))</f>
        <v/>
      </c>
      <c r="Z33" s="98"/>
      <c r="AA33" s="105"/>
      <c r="AB33" s="98"/>
      <c r="AC33" s="104" t="str">
        <f t="shared" si="4"/>
        <v/>
      </c>
    </row>
    <row r="34" spans="1:29" s="57" customFormat="1">
      <c r="A34" s="58" t="str">
        <f t="shared" si="0"/>
        <v/>
      </c>
      <c r="B34" s="54"/>
      <c r="C34" s="58" t="str">
        <f t="shared" si="5"/>
        <v/>
      </c>
      <c r="D34" s="52"/>
      <c r="E34" s="59" t="str">
        <f>IF(D34="","",IFERROR(INDEX(PERKARA!$B$5:$B$104,MATCH(D34,PERKARA!$A$5:$A$104,0)),"ID TIDAK TERDAFTAR"))</f>
        <v/>
      </c>
      <c r="F34" s="53"/>
      <c r="G34" s="53"/>
      <c r="H34" s="53"/>
      <c r="I34" s="53"/>
      <c r="J34" s="53"/>
      <c r="K34" s="55"/>
      <c r="L34" s="53"/>
      <c r="M34" s="53"/>
      <c r="N34" s="53"/>
      <c r="O34" s="53"/>
      <c r="P34" s="53"/>
      <c r="Q34" s="102"/>
      <c r="R34" s="106"/>
      <c r="S34" s="55"/>
      <c r="T34" s="56" t="str">
        <f t="shared" si="2"/>
        <v/>
      </c>
      <c r="U34" s="54"/>
      <c r="V34" s="58" t="str">
        <f t="shared" si="3"/>
        <v/>
      </c>
      <c r="W34" s="53"/>
      <c r="X34" s="53"/>
      <c r="Y34" s="67" t="str">
        <f>IF(B34="","",IF(AND(D34&lt;&gt;"",E34="ID TIDAK TERDAFTAR"),"PERKARA TIDAK VALID",IF(I34="","AKUN BELUM DIISI",IF(AND(M34="Ya",N34=""),"KLAIM BELUM DIHUBUNGKAN",IF(AND(N34&lt;&gt;"",COUNTIF(REIMBURSE!$A$5:$A$124,N34)=0),"ID KLAIM TIDAK TERDAFTAR",IF(Q34="Ditolak","PENGELUARAN DITOLAK",IF(R34&gt;K34,"NILAI DISETUJUI MELEBIHI BIAYA",IF(AND(Q34="Disetujui",Z34=""),"PENYETUJU BELUM DIISI",IF(Q34&lt;&gt;"Disetujui","MENUNGGU PERSETUJUAN","OK")))))))))</f>
        <v/>
      </c>
      <c r="Z34" s="98"/>
      <c r="AA34" s="105"/>
      <c r="AB34" s="98"/>
      <c r="AC34" s="104" t="str">
        <f t="shared" si="4"/>
        <v/>
      </c>
    </row>
    <row r="35" spans="1:29" s="57" customFormat="1">
      <c r="A35" s="58" t="str">
        <f t="shared" si="0"/>
        <v/>
      </c>
      <c r="B35" s="54"/>
      <c r="C35" s="58" t="str">
        <f t="shared" si="5"/>
        <v/>
      </c>
      <c r="D35" s="52"/>
      <c r="E35" s="59" t="str">
        <f>IF(D35="","",IFERROR(INDEX(PERKARA!$B$5:$B$104,MATCH(D35,PERKARA!$A$5:$A$104,0)),"ID TIDAK TERDAFTAR"))</f>
        <v/>
      </c>
      <c r="F35" s="53"/>
      <c r="G35" s="53"/>
      <c r="H35" s="53"/>
      <c r="I35" s="53"/>
      <c r="J35" s="53"/>
      <c r="K35" s="55"/>
      <c r="L35" s="53"/>
      <c r="M35" s="53"/>
      <c r="N35" s="53"/>
      <c r="O35" s="53"/>
      <c r="P35" s="53"/>
      <c r="Q35" s="102"/>
      <c r="R35" s="106"/>
      <c r="S35" s="55"/>
      <c r="T35" s="56" t="str">
        <f t="shared" si="2"/>
        <v/>
      </c>
      <c r="U35" s="54"/>
      <c r="V35" s="58" t="str">
        <f t="shared" si="3"/>
        <v/>
      </c>
      <c r="W35" s="53"/>
      <c r="X35" s="53"/>
      <c r="Y35" s="67" t="str">
        <f>IF(B35="","",IF(AND(D35&lt;&gt;"",E35="ID TIDAK TERDAFTAR"),"PERKARA TIDAK VALID",IF(I35="","AKUN BELUM DIISI",IF(AND(M35="Ya",N35=""),"KLAIM BELUM DIHUBUNGKAN",IF(AND(N35&lt;&gt;"",COUNTIF(REIMBURSE!$A$5:$A$124,N35)=0),"ID KLAIM TIDAK TERDAFTAR",IF(Q35="Ditolak","PENGELUARAN DITOLAK",IF(R35&gt;K35,"NILAI DISETUJUI MELEBIHI BIAYA",IF(AND(Q35="Disetujui",Z35=""),"PENYETUJU BELUM DIISI",IF(Q35&lt;&gt;"Disetujui","MENUNGGU PERSETUJUAN","OK")))))))))</f>
        <v/>
      </c>
      <c r="Z35" s="98"/>
      <c r="AA35" s="105"/>
      <c r="AB35" s="98"/>
      <c r="AC35" s="104" t="str">
        <f t="shared" si="4"/>
        <v/>
      </c>
    </row>
    <row r="36" spans="1:29" s="57" customFormat="1">
      <c r="A36" s="58" t="str">
        <f t="shared" si="0"/>
        <v/>
      </c>
      <c r="B36" s="54"/>
      <c r="C36" s="58" t="str">
        <f t="shared" si="5"/>
        <v/>
      </c>
      <c r="D36" s="52"/>
      <c r="E36" s="59" t="str">
        <f>IF(D36="","",IFERROR(INDEX(PERKARA!$B$5:$B$104,MATCH(D36,PERKARA!$A$5:$A$104,0)),"ID TIDAK TERDAFTAR"))</f>
        <v/>
      </c>
      <c r="F36" s="53"/>
      <c r="G36" s="53"/>
      <c r="H36" s="53"/>
      <c r="I36" s="53"/>
      <c r="J36" s="53"/>
      <c r="K36" s="55"/>
      <c r="L36" s="53"/>
      <c r="M36" s="53"/>
      <c r="N36" s="53"/>
      <c r="O36" s="53"/>
      <c r="P36" s="53"/>
      <c r="Q36" s="102"/>
      <c r="R36" s="106"/>
      <c r="S36" s="55"/>
      <c r="T36" s="56" t="str">
        <f t="shared" si="2"/>
        <v/>
      </c>
      <c r="U36" s="54"/>
      <c r="V36" s="58" t="str">
        <f t="shared" si="3"/>
        <v/>
      </c>
      <c r="W36" s="53"/>
      <c r="X36" s="53"/>
      <c r="Y36" s="67" t="str">
        <f>IF(B36="","",IF(AND(D36&lt;&gt;"",E36="ID TIDAK TERDAFTAR"),"PERKARA TIDAK VALID",IF(I36="","AKUN BELUM DIISI",IF(AND(M36="Ya",N36=""),"KLAIM BELUM DIHUBUNGKAN",IF(AND(N36&lt;&gt;"",COUNTIF(REIMBURSE!$A$5:$A$124,N36)=0),"ID KLAIM TIDAK TERDAFTAR",IF(Q36="Ditolak","PENGELUARAN DITOLAK",IF(R36&gt;K36,"NILAI DISETUJUI MELEBIHI BIAYA",IF(AND(Q36="Disetujui",Z36=""),"PENYETUJU BELUM DIISI",IF(Q36&lt;&gt;"Disetujui","MENUNGGU PERSETUJUAN","OK")))))))))</f>
        <v/>
      </c>
      <c r="Z36" s="98"/>
      <c r="AA36" s="105"/>
      <c r="AB36" s="98"/>
      <c r="AC36" s="104" t="str">
        <f t="shared" si="4"/>
        <v/>
      </c>
    </row>
    <row r="37" spans="1:29" s="57" customFormat="1">
      <c r="A37" s="58" t="str">
        <f t="shared" ref="A37:A68" si="6">IF(B37="","","EXP-"&amp;TEXT(B37,"yyyymmdd")&amp;"-"&amp;TEXT(ROW()-4,"000"))</f>
        <v/>
      </c>
      <c r="B37" s="54"/>
      <c r="C37" s="58" t="str">
        <f t="shared" ref="C37:C68" si="7">IF(B37="","",TEXT(B37,"yyyy-mm"))</f>
        <v/>
      </c>
      <c r="D37" s="52"/>
      <c r="E37" s="59" t="str">
        <f>IF(D37="","",IFERROR(INDEX(PERKARA!$B$5:$B$104,MATCH(D37,PERKARA!$A$5:$A$104,0)),"ID TIDAK TERDAFTAR"))</f>
        <v/>
      </c>
      <c r="F37" s="53"/>
      <c r="G37" s="53"/>
      <c r="H37" s="53"/>
      <c r="I37" s="53"/>
      <c r="J37" s="53"/>
      <c r="K37" s="55"/>
      <c r="L37" s="53"/>
      <c r="M37" s="53"/>
      <c r="N37" s="53"/>
      <c r="O37" s="53"/>
      <c r="P37" s="53"/>
      <c r="Q37" s="102"/>
      <c r="R37" s="106"/>
      <c r="S37" s="55"/>
      <c r="T37" s="56" t="str">
        <f t="shared" ref="T37:T68" si="8">IF(B37="","",IF(M37&lt;&gt;"Ya",0,MAX(IF(R37="",K37,R37)-S37,0)))</f>
        <v/>
      </c>
      <c r="U37" s="54"/>
      <c r="V37" s="58" t="str">
        <f t="shared" ref="V37:V68" si="9">IF(B37="","",IF(M37&lt;&gt;"Ya","Tidak Perlu",IF(Q37="Ditolak","Ditolak",IF(S37=0,IF(Q37="Disetujui","Belum Dibayar","Belum Diajukan"),IF(T37=0,"Lunas","Dibayar Sebagian")))))</f>
        <v/>
      </c>
      <c r="W37" s="53"/>
      <c r="X37" s="53"/>
      <c r="Y37" s="67" t="str">
        <f>IF(B37="","",IF(AND(D37&lt;&gt;"",E37="ID TIDAK TERDAFTAR"),"PERKARA TIDAK VALID",IF(I37="","AKUN BELUM DIISI",IF(AND(M37="Ya",N37=""),"KLAIM BELUM DIHUBUNGKAN",IF(AND(N37&lt;&gt;"",COUNTIF(REIMBURSE!$A$5:$A$124,N37)=0),"ID KLAIM TIDAK TERDAFTAR",IF(Q37="Ditolak","PENGELUARAN DITOLAK",IF(R37&gt;K37,"NILAI DISETUJUI MELEBIHI BIAYA",IF(AND(Q37="Disetujui",Z37=""),"PENYETUJU BELUM DIISI",IF(Q37&lt;&gt;"Disetujui","MENUNGGU PERSETUJUAN","OK")))))))))</f>
        <v/>
      </c>
      <c r="Z37" s="98"/>
      <c r="AA37" s="105"/>
      <c r="AB37" s="98"/>
      <c r="AC37" s="104" t="str">
        <f t="shared" ref="AC37:AC68" si="10">IF(B37="","",IF(Q37="Ditolak","DITOLAK",IF(AND(Q37="Disetujui",R37&gt;K37),"NILAI DISETUJUI MELEBIHI BIAYA",IF(AND(Q37="Disetujui",R37=""),"NILAI PERSETUJUAN BELUM DIISI",IF(AND(Q37="Disetujui",Z37&lt;&gt;""),"LENGKAP",IF(Q37="Disetujui","NAMA PENYETUJU BELUM DIISI","MENUNGGU PERSETUJUAN MANUAL"))))))</f>
        <v/>
      </c>
    </row>
    <row r="38" spans="1:29" s="57" customFormat="1">
      <c r="A38" s="58" t="str">
        <f t="shared" si="6"/>
        <v/>
      </c>
      <c r="B38" s="54"/>
      <c r="C38" s="58" t="str">
        <f t="shared" si="7"/>
        <v/>
      </c>
      <c r="D38" s="52"/>
      <c r="E38" s="59" t="str">
        <f>IF(D38="","",IFERROR(INDEX(PERKARA!$B$5:$B$104,MATCH(D38,PERKARA!$A$5:$A$104,0)),"ID TIDAK TERDAFTAR"))</f>
        <v/>
      </c>
      <c r="F38" s="53"/>
      <c r="G38" s="53"/>
      <c r="H38" s="53"/>
      <c r="I38" s="53"/>
      <c r="J38" s="53"/>
      <c r="K38" s="55"/>
      <c r="L38" s="53"/>
      <c r="M38" s="53"/>
      <c r="N38" s="53"/>
      <c r="O38" s="53"/>
      <c r="P38" s="53"/>
      <c r="Q38" s="102"/>
      <c r="R38" s="106"/>
      <c r="S38" s="55"/>
      <c r="T38" s="56" t="str">
        <f t="shared" si="8"/>
        <v/>
      </c>
      <c r="U38" s="54"/>
      <c r="V38" s="58" t="str">
        <f t="shared" si="9"/>
        <v/>
      </c>
      <c r="W38" s="53"/>
      <c r="X38" s="53"/>
      <c r="Y38" s="67" t="str">
        <f>IF(B38="","",IF(AND(D38&lt;&gt;"",E38="ID TIDAK TERDAFTAR"),"PERKARA TIDAK VALID",IF(I38="","AKUN BELUM DIISI",IF(AND(M38="Ya",N38=""),"KLAIM BELUM DIHUBUNGKAN",IF(AND(N38&lt;&gt;"",COUNTIF(REIMBURSE!$A$5:$A$124,N38)=0),"ID KLAIM TIDAK TERDAFTAR",IF(Q38="Ditolak","PENGELUARAN DITOLAK",IF(R38&gt;K38,"NILAI DISETUJUI MELEBIHI BIAYA",IF(AND(Q38="Disetujui",Z38=""),"PENYETUJU BELUM DIISI",IF(Q38&lt;&gt;"Disetujui","MENUNGGU PERSETUJUAN","OK")))))))))</f>
        <v/>
      </c>
      <c r="Z38" s="98"/>
      <c r="AA38" s="105"/>
      <c r="AB38" s="98"/>
      <c r="AC38" s="104" t="str">
        <f t="shared" si="10"/>
        <v/>
      </c>
    </row>
    <row r="39" spans="1:29" s="57" customFormat="1">
      <c r="A39" s="58" t="str">
        <f t="shared" si="6"/>
        <v/>
      </c>
      <c r="B39" s="54"/>
      <c r="C39" s="58" t="str">
        <f t="shared" si="7"/>
        <v/>
      </c>
      <c r="D39" s="52"/>
      <c r="E39" s="59" t="str">
        <f>IF(D39="","",IFERROR(INDEX(PERKARA!$B$5:$B$104,MATCH(D39,PERKARA!$A$5:$A$104,0)),"ID TIDAK TERDAFTAR"))</f>
        <v/>
      </c>
      <c r="F39" s="53"/>
      <c r="G39" s="53"/>
      <c r="H39" s="53"/>
      <c r="I39" s="53"/>
      <c r="J39" s="53"/>
      <c r="K39" s="55"/>
      <c r="L39" s="53"/>
      <c r="M39" s="53"/>
      <c r="N39" s="53"/>
      <c r="O39" s="53"/>
      <c r="P39" s="53"/>
      <c r="Q39" s="102"/>
      <c r="R39" s="106"/>
      <c r="S39" s="55"/>
      <c r="T39" s="56" t="str">
        <f t="shared" si="8"/>
        <v/>
      </c>
      <c r="U39" s="54"/>
      <c r="V39" s="58" t="str">
        <f t="shared" si="9"/>
        <v/>
      </c>
      <c r="W39" s="53"/>
      <c r="X39" s="53"/>
      <c r="Y39" s="67" t="str">
        <f>IF(B39="","",IF(AND(D39&lt;&gt;"",E39="ID TIDAK TERDAFTAR"),"PERKARA TIDAK VALID",IF(I39="","AKUN BELUM DIISI",IF(AND(M39="Ya",N39=""),"KLAIM BELUM DIHUBUNGKAN",IF(AND(N39&lt;&gt;"",COUNTIF(REIMBURSE!$A$5:$A$124,N39)=0),"ID KLAIM TIDAK TERDAFTAR",IF(Q39="Ditolak","PENGELUARAN DITOLAK",IF(R39&gt;K39,"NILAI DISETUJUI MELEBIHI BIAYA",IF(AND(Q39="Disetujui",Z39=""),"PENYETUJU BELUM DIISI",IF(Q39&lt;&gt;"Disetujui","MENUNGGU PERSETUJUAN","OK")))))))))</f>
        <v/>
      </c>
      <c r="Z39" s="98"/>
      <c r="AA39" s="105"/>
      <c r="AB39" s="98"/>
      <c r="AC39" s="104" t="str">
        <f t="shared" si="10"/>
        <v/>
      </c>
    </row>
    <row r="40" spans="1:29" s="57" customFormat="1">
      <c r="A40" s="58" t="str">
        <f t="shared" si="6"/>
        <v/>
      </c>
      <c r="B40" s="54"/>
      <c r="C40" s="58" t="str">
        <f t="shared" si="7"/>
        <v/>
      </c>
      <c r="D40" s="52"/>
      <c r="E40" s="59" t="str">
        <f>IF(D40="","",IFERROR(INDEX(PERKARA!$B$5:$B$104,MATCH(D40,PERKARA!$A$5:$A$104,0)),"ID TIDAK TERDAFTAR"))</f>
        <v/>
      </c>
      <c r="F40" s="53"/>
      <c r="G40" s="53"/>
      <c r="H40" s="53"/>
      <c r="I40" s="53"/>
      <c r="J40" s="53"/>
      <c r="K40" s="55"/>
      <c r="L40" s="53"/>
      <c r="M40" s="53"/>
      <c r="N40" s="53"/>
      <c r="O40" s="53"/>
      <c r="P40" s="53"/>
      <c r="Q40" s="102"/>
      <c r="R40" s="106"/>
      <c r="S40" s="55"/>
      <c r="T40" s="56" t="str">
        <f t="shared" si="8"/>
        <v/>
      </c>
      <c r="U40" s="54"/>
      <c r="V40" s="58" t="str">
        <f t="shared" si="9"/>
        <v/>
      </c>
      <c r="W40" s="53"/>
      <c r="X40" s="53"/>
      <c r="Y40" s="67" t="str">
        <f>IF(B40="","",IF(AND(D40&lt;&gt;"",E40="ID TIDAK TERDAFTAR"),"PERKARA TIDAK VALID",IF(I40="","AKUN BELUM DIISI",IF(AND(M40="Ya",N40=""),"KLAIM BELUM DIHUBUNGKAN",IF(AND(N40&lt;&gt;"",COUNTIF(REIMBURSE!$A$5:$A$124,N40)=0),"ID KLAIM TIDAK TERDAFTAR",IF(Q40="Ditolak","PENGELUARAN DITOLAK",IF(R40&gt;K40,"NILAI DISETUJUI MELEBIHI BIAYA",IF(AND(Q40="Disetujui",Z40=""),"PENYETUJU BELUM DIISI",IF(Q40&lt;&gt;"Disetujui","MENUNGGU PERSETUJUAN","OK")))))))))</f>
        <v/>
      </c>
      <c r="Z40" s="98"/>
      <c r="AA40" s="105"/>
      <c r="AB40" s="98"/>
      <c r="AC40" s="104" t="str">
        <f t="shared" si="10"/>
        <v/>
      </c>
    </row>
    <row r="41" spans="1:29" s="57" customFormat="1">
      <c r="A41" s="58" t="str">
        <f t="shared" si="6"/>
        <v/>
      </c>
      <c r="B41" s="54"/>
      <c r="C41" s="58" t="str">
        <f t="shared" si="7"/>
        <v/>
      </c>
      <c r="D41" s="52"/>
      <c r="E41" s="59" t="str">
        <f>IF(D41="","",IFERROR(INDEX(PERKARA!$B$5:$B$104,MATCH(D41,PERKARA!$A$5:$A$104,0)),"ID TIDAK TERDAFTAR"))</f>
        <v/>
      </c>
      <c r="F41" s="53"/>
      <c r="G41" s="53"/>
      <c r="H41" s="53"/>
      <c r="I41" s="53"/>
      <c r="J41" s="53"/>
      <c r="K41" s="55"/>
      <c r="L41" s="53"/>
      <c r="M41" s="53"/>
      <c r="N41" s="53"/>
      <c r="O41" s="53"/>
      <c r="P41" s="53"/>
      <c r="Q41" s="102"/>
      <c r="R41" s="106"/>
      <c r="S41" s="55"/>
      <c r="T41" s="56" t="str">
        <f t="shared" si="8"/>
        <v/>
      </c>
      <c r="U41" s="54"/>
      <c r="V41" s="58" t="str">
        <f t="shared" si="9"/>
        <v/>
      </c>
      <c r="W41" s="53"/>
      <c r="X41" s="53"/>
      <c r="Y41" s="67" t="str">
        <f>IF(B41="","",IF(AND(D41&lt;&gt;"",E41="ID TIDAK TERDAFTAR"),"PERKARA TIDAK VALID",IF(I41="","AKUN BELUM DIISI",IF(AND(M41="Ya",N41=""),"KLAIM BELUM DIHUBUNGKAN",IF(AND(N41&lt;&gt;"",COUNTIF(REIMBURSE!$A$5:$A$124,N41)=0),"ID KLAIM TIDAK TERDAFTAR",IF(Q41="Ditolak","PENGELUARAN DITOLAK",IF(R41&gt;K41,"NILAI DISETUJUI MELEBIHI BIAYA",IF(AND(Q41="Disetujui",Z41=""),"PENYETUJU BELUM DIISI",IF(Q41&lt;&gt;"Disetujui","MENUNGGU PERSETUJUAN","OK")))))))))</f>
        <v/>
      </c>
      <c r="Z41" s="98"/>
      <c r="AA41" s="105"/>
      <c r="AB41" s="98"/>
      <c r="AC41" s="104" t="str">
        <f t="shared" si="10"/>
        <v/>
      </c>
    </row>
    <row r="42" spans="1:29">
      <c r="A42" s="9" t="str">
        <f t="shared" si="6"/>
        <v/>
      </c>
      <c r="B42" s="10"/>
      <c r="C42" s="9" t="str">
        <f t="shared" si="7"/>
        <v/>
      </c>
      <c r="D42" s="46"/>
      <c r="E42" s="47" t="str">
        <f>IF(D42="","",IFERROR(INDEX(PERKARA!$B$5:$B$104,MATCH(D42,PERKARA!$A$5:$A$104,0)),"ID TIDAK TERDAFTAR"))</f>
        <v/>
      </c>
      <c r="F42" s="6"/>
      <c r="G42" s="6"/>
      <c r="H42" s="6"/>
      <c r="I42" s="6"/>
      <c r="J42" s="6"/>
      <c r="K42" s="11"/>
      <c r="L42" s="6"/>
      <c r="M42" s="6"/>
      <c r="N42" s="6"/>
      <c r="O42" s="6"/>
      <c r="P42" s="6"/>
      <c r="Q42" s="103"/>
      <c r="R42" s="107"/>
      <c r="S42" s="11"/>
      <c r="T42" s="12" t="str">
        <f t="shared" si="8"/>
        <v/>
      </c>
      <c r="U42" s="10"/>
      <c r="V42" s="9" t="str">
        <f t="shared" si="9"/>
        <v/>
      </c>
      <c r="W42" s="6"/>
      <c r="X42" s="6"/>
      <c r="Y42" s="67" t="str">
        <f>IF(B42="","",IF(AND(D42&lt;&gt;"",E42="ID TIDAK TERDAFTAR"),"PERKARA TIDAK VALID",IF(I42="","AKUN BELUM DIISI",IF(AND(M42="Ya",N42=""),"KLAIM BELUM DIHUBUNGKAN",IF(AND(N42&lt;&gt;"",COUNTIF(REIMBURSE!$A$5:$A$124,N42)=0),"ID KLAIM TIDAK TERDAFTAR",IF(Q42="Ditolak","PENGELUARAN DITOLAK",IF(R42&gt;K42,"NILAI DISETUJUI MELEBIHI BIAYA",IF(AND(Q42="Disetujui",Z42=""),"PENYETUJU BELUM DIISI",IF(Q42&lt;&gt;"Disetujui","MENUNGGU PERSETUJUAN","OK")))))))))</f>
        <v/>
      </c>
      <c r="Z42" s="98"/>
      <c r="AA42" s="105"/>
      <c r="AB42" s="98"/>
      <c r="AC42" s="104" t="str">
        <f t="shared" si="10"/>
        <v/>
      </c>
    </row>
    <row r="43" spans="1:29">
      <c r="A43" s="9" t="str">
        <f t="shared" si="6"/>
        <v/>
      </c>
      <c r="B43" s="10"/>
      <c r="C43" s="9" t="str">
        <f t="shared" si="7"/>
        <v/>
      </c>
      <c r="D43" s="46"/>
      <c r="E43" s="47" t="str">
        <f>IF(D43="","",IFERROR(INDEX(PERKARA!$B$5:$B$104,MATCH(D43,PERKARA!$A$5:$A$104,0)),"ID TIDAK TERDAFTAR"))</f>
        <v/>
      </c>
      <c r="F43" s="6"/>
      <c r="G43" s="6"/>
      <c r="H43" s="6"/>
      <c r="I43" s="6"/>
      <c r="J43" s="6"/>
      <c r="K43" s="11"/>
      <c r="L43" s="6"/>
      <c r="M43" s="6"/>
      <c r="N43" s="6"/>
      <c r="O43" s="6"/>
      <c r="P43" s="6"/>
      <c r="Q43" s="103"/>
      <c r="R43" s="107"/>
      <c r="S43" s="11"/>
      <c r="T43" s="12" t="str">
        <f t="shared" si="8"/>
        <v/>
      </c>
      <c r="U43" s="10"/>
      <c r="V43" s="9" t="str">
        <f t="shared" si="9"/>
        <v/>
      </c>
      <c r="W43" s="6"/>
      <c r="X43" s="6"/>
      <c r="Y43" s="67" t="str">
        <f>IF(B43="","",IF(AND(D43&lt;&gt;"",E43="ID TIDAK TERDAFTAR"),"PERKARA TIDAK VALID",IF(I43="","AKUN BELUM DIISI",IF(AND(M43="Ya",N43=""),"KLAIM BELUM DIHUBUNGKAN",IF(AND(N43&lt;&gt;"",COUNTIF(REIMBURSE!$A$5:$A$124,N43)=0),"ID KLAIM TIDAK TERDAFTAR",IF(Q43="Ditolak","PENGELUARAN DITOLAK",IF(R43&gt;K43,"NILAI DISETUJUI MELEBIHI BIAYA",IF(AND(Q43="Disetujui",Z43=""),"PENYETUJU BELUM DIISI",IF(Q43&lt;&gt;"Disetujui","MENUNGGU PERSETUJUAN","OK")))))))))</f>
        <v/>
      </c>
      <c r="Z43" s="98"/>
      <c r="AA43" s="105"/>
      <c r="AB43" s="98"/>
      <c r="AC43" s="104" t="str">
        <f t="shared" si="10"/>
        <v/>
      </c>
    </row>
    <row r="44" spans="1:29">
      <c r="A44" s="9" t="str">
        <f t="shared" si="6"/>
        <v/>
      </c>
      <c r="B44" s="10"/>
      <c r="C44" s="9" t="str">
        <f t="shared" si="7"/>
        <v/>
      </c>
      <c r="D44" s="46"/>
      <c r="E44" s="47" t="str">
        <f>IF(D44="","",IFERROR(INDEX(PERKARA!$B$5:$B$104,MATCH(D44,PERKARA!$A$5:$A$104,0)),"ID TIDAK TERDAFTAR"))</f>
        <v/>
      </c>
      <c r="F44" s="6"/>
      <c r="G44" s="6"/>
      <c r="H44" s="6"/>
      <c r="I44" s="6"/>
      <c r="J44" s="6"/>
      <c r="K44" s="11"/>
      <c r="L44" s="6"/>
      <c r="M44" s="6"/>
      <c r="N44" s="6"/>
      <c r="O44" s="6"/>
      <c r="P44" s="6"/>
      <c r="Q44" s="103"/>
      <c r="R44" s="107"/>
      <c r="S44" s="11"/>
      <c r="T44" s="12" t="str">
        <f t="shared" si="8"/>
        <v/>
      </c>
      <c r="U44" s="10"/>
      <c r="V44" s="9" t="str">
        <f t="shared" si="9"/>
        <v/>
      </c>
      <c r="W44" s="6"/>
      <c r="X44" s="6"/>
      <c r="Y44" s="67" t="str">
        <f>IF(B44="","",IF(AND(D44&lt;&gt;"",E44="ID TIDAK TERDAFTAR"),"PERKARA TIDAK VALID",IF(I44="","AKUN BELUM DIISI",IF(AND(M44="Ya",N44=""),"KLAIM BELUM DIHUBUNGKAN",IF(AND(N44&lt;&gt;"",COUNTIF(REIMBURSE!$A$5:$A$124,N44)=0),"ID KLAIM TIDAK TERDAFTAR",IF(Q44="Ditolak","PENGELUARAN DITOLAK",IF(R44&gt;K44,"NILAI DISETUJUI MELEBIHI BIAYA",IF(AND(Q44="Disetujui",Z44=""),"PENYETUJU BELUM DIISI",IF(Q44&lt;&gt;"Disetujui","MENUNGGU PERSETUJUAN","OK")))))))))</f>
        <v/>
      </c>
      <c r="Z44" s="98"/>
      <c r="AA44" s="105"/>
      <c r="AB44" s="98"/>
      <c r="AC44" s="104" t="str">
        <f t="shared" si="10"/>
        <v/>
      </c>
    </row>
    <row r="45" spans="1:29">
      <c r="A45" s="9" t="str">
        <f t="shared" si="6"/>
        <v/>
      </c>
      <c r="B45" s="10"/>
      <c r="C45" s="9" t="str">
        <f t="shared" si="7"/>
        <v/>
      </c>
      <c r="D45" s="46"/>
      <c r="E45" s="47" t="str">
        <f>IF(D45="","",IFERROR(INDEX(PERKARA!$B$5:$B$104,MATCH(D45,PERKARA!$A$5:$A$104,0)),"ID TIDAK TERDAFTAR"))</f>
        <v/>
      </c>
      <c r="F45" s="6"/>
      <c r="G45" s="6"/>
      <c r="H45" s="6"/>
      <c r="I45" s="6"/>
      <c r="J45" s="6"/>
      <c r="K45" s="11"/>
      <c r="L45" s="6"/>
      <c r="M45" s="6"/>
      <c r="N45" s="6"/>
      <c r="O45" s="6"/>
      <c r="P45" s="6"/>
      <c r="Q45" s="103"/>
      <c r="R45" s="107"/>
      <c r="S45" s="11"/>
      <c r="T45" s="12" t="str">
        <f t="shared" si="8"/>
        <v/>
      </c>
      <c r="U45" s="10"/>
      <c r="V45" s="9" t="str">
        <f t="shared" si="9"/>
        <v/>
      </c>
      <c r="W45" s="6"/>
      <c r="X45" s="6"/>
      <c r="Y45" s="67" t="str">
        <f>IF(B45="","",IF(AND(D45&lt;&gt;"",E45="ID TIDAK TERDAFTAR"),"PERKARA TIDAK VALID",IF(I45="","AKUN BELUM DIISI",IF(AND(M45="Ya",N45=""),"KLAIM BELUM DIHUBUNGKAN",IF(AND(N45&lt;&gt;"",COUNTIF(REIMBURSE!$A$5:$A$124,N45)=0),"ID KLAIM TIDAK TERDAFTAR",IF(Q45="Ditolak","PENGELUARAN DITOLAK",IF(R45&gt;K45,"NILAI DISETUJUI MELEBIHI BIAYA",IF(AND(Q45="Disetujui",Z45=""),"PENYETUJU BELUM DIISI",IF(Q45&lt;&gt;"Disetujui","MENUNGGU PERSETUJUAN","OK")))))))))</f>
        <v/>
      </c>
      <c r="Z45" s="98"/>
      <c r="AA45" s="105"/>
      <c r="AB45" s="98"/>
      <c r="AC45" s="104" t="str">
        <f t="shared" si="10"/>
        <v/>
      </c>
    </row>
    <row r="46" spans="1:29">
      <c r="A46" s="9" t="str">
        <f t="shared" si="6"/>
        <v/>
      </c>
      <c r="B46" s="10"/>
      <c r="C46" s="9" t="str">
        <f t="shared" si="7"/>
        <v/>
      </c>
      <c r="D46" s="46"/>
      <c r="E46" s="47" t="str">
        <f>IF(D46="","",IFERROR(INDEX(PERKARA!$B$5:$B$104,MATCH(D46,PERKARA!$A$5:$A$104,0)),"ID TIDAK TERDAFTAR"))</f>
        <v/>
      </c>
      <c r="F46" s="6"/>
      <c r="G46" s="6"/>
      <c r="H46" s="6"/>
      <c r="I46" s="6"/>
      <c r="J46" s="6"/>
      <c r="K46" s="11"/>
      <c r="L46" s="6"/>
      <c r="M46" s="6"/>
      <c r="N46" s="6"/>
      <c r="O46" s="6"/>
      <c r="P46" s="6"/>
      <c r="Q46" s="103"/>
      <c r="R46" s="107"/>
      <c r="S46" s="11"/>
      <c r="T46" s="12" t="str">
        <f t="shared" si="8"/>
        <v/>
      </c>
      <c r="U46" s="10"/>
      <c r="V46" s="9" t="str">
        <f t="shared" si="9"/>
        <v/>
      </c>
      <c r="W46" s="6"/>
      <c r="X46" s="6"/>
      <c r="Y46" s="67" t="str">
        <f>IF(B46="","",IF(AND(D46&lt;&gt;"",E46="ID TIDAK TERDAFTAR"),"PERKARA TIDAK VALID",IF(I46="","AKUN BELUM DIISI",IF(AND(M46="Ya",N46=""),"KLAIM BELUM DIHUBUNGKAN",IF(AND(N46&lt;&gt;"",COUNTIF(REIMBURSE!$A$5:$A$124,N46)=0),"ID KLAIM TIDAK TERDAFTAR",IF(Q46="Ditolak","PENGELUARAN DITOLAK",IF(R46&gt;K46,"NILAI DISETUJUI MELEBIHI BIAYA",IF(AND(Q46="Disetujui",Z46=""),"PENYETUJU BELUM DIISI",IF(Q46&lt;&gt;"Disetujui","MENUNGGU PERSETUJUAN","OK")))))))))</f>
        <v/>
      </c>
      <c r="Z46" s="98"/>
      <c r="AA46" s="105"/>
      <c r="AB46" s="98"/>
      <c r="AC46" s="104" t="str">
        <f t="shared" si="10"/>
        <v/>
      </c>
    </row>
    <row r="47" spans="1:29">
      <c r="A47" s="9" t="str">
        <f t="shared" si="6"/>
        <v/>
      </c>
      <c r="B47" s="10"/>
      <c r="C47" s="9" t="str">
        <f t="shared" si="7"/>
        <v/>
      </c>
      <c r="D47" s="46"/>
      <c r="E47" s="47" t="str">
        <f>IF(D47="","",IFERROR(INDEX(PERKARA!$B$5:$B$104,MATCH(D47,PERKARA!$A$5:$A$104,0)),"ID TIDAK TERDAFTAR"))</f>
        <v/>
      </c>
      <c r="F47" s="6"/>
      <c r="G47" s="6"/>
      <c r="H47" s="6"/>
      <c r="I47" s="6"/>
      <c r="J47" s="6"/>
      <c r="K47" s="11"/>
      <c r="L47" s="6"/>
      <c r="M47" s="6"/>
      <c r="N47" s="6"/>
      <c r="O47" s="6"/>
      <c r="P47" s="6"/>
      <c r="Q47" s="103"/>
      <c r="R47" s="107"/>
      <c r="S47" s="11"/>
      <c r="T47" s="12" t="str">
        <f t="shared" si="8"/>
        <v/>
      </c>
      <c r="U47" s="10"/>
      <c r="V47" s="9" t="str">
        <f t="shared" si="9"/>
        <v/>
      </c>
      <c r="W47" s="6"/>
      <c r="X47" s="6"/>
      <c r="Y47" s="67" t="str">
        <f>IF(B47="","",IF(AND(D47&lt;&gt;"",E47="ID TIDAK TERDAFTAR"),"PERKARA TIDAK VALID",IF(I47="","AKUN BELUM DIISI",IF(AND(M47="Ya",N47=""),"KLAIM BELUM DIHUBUNGKAN",IF(AND(N47&lt;&gt;"",COUNTIF(REIMBURSE!$A$5:$A$124,N47)=0),"ID KLAIM TIDAK TERDAFTAR",IF(Q47="Ditolak","PENGELUARAN DITOLAK",IF(R47&gt;K47,"NILAI DISETUJUI MELEBIHI BIAYA",IF(AND(Q47="Disetujui",Z47=""),"PENYETUJU BELUM DIISI",IF(Q47&lt;&gt;"Disetujui","MENUNGGU PERSETUJUAN","OK")))))))))</f>
        <v/>
      </c>
      <c r="Z47" s="98"/>
      <c r="AA47" s="105"/>
      <c r="AB47" s="98"/>
      <c r="AC47" s="104" t="str">
        <f t="shared" si="10"/>
        <v/>
      </c>
    </row>
    <row r="48" spans="1:29">
      <c r="A48" s="9" t="str">
        <f t="shared" si="6"/>
        <v/>
      </c>
      <c r="B48" s="10"/>
      <c r="C48" s="9" t="str">
        <f t="shared" si="7"/>
        <v/>
      </c>
      <c r="D48" s="46"/>
      <c r="E48" s="47" t="str">
        <f>IF(D48="","",IFERROR(INDEX(PERKARA!$B$5:$B$104,MATCH(D48,PERKARA!$A$5:$A$104,0)),"ID TIDAK TERDAFTAR"))</f>
        <v/>
      </c>
      <c r="F48" s="6"/>
      <c r="G48" s="6"/>
      <c r="H48" s="6"/>
      <c r="I48" s="6"/>
      <c r="J48" s="6"/>
      <c r="K48" s="11"/>
      <c r="L48" s="6"/>
      <c r="M48" s="6"/>
      <c r="N48" s="6"/>
      <c r="O48" s="6"/>
      <c r="P48" s="6"/>
      <c r="Q48" s="103"/>
      <c r="R48" s="107"/>
      <c r="S48" s="11"/>
      <c r="T48" s="12" t="str">
        <f t="shared" si="8"/>
        <v/>
      </c>
      <c r="U48" s="10"/>
      <c r="V48" s="9" t="str">
        <f t="shared" si="9"/>
        <v/>
      </c>
      <c r="W48" s="6"/>
      <c r="X48" s="6"/>
      <c r="Y48" s="67" t="str">
        <f>IF(B48="","",IF(AND(D48&lt;&gt;"",E48="ID TIDAK TERDAFTAR"),"PERKARA TIDAK VALID",IF(I48="","AKUN BELUM DIISI",IF(AND(M48="Ya",N48=""),"KLAIM BELUM DIHUBUNGKAN",IF(AND(N48&lt;&gt;"",COUNTIF(REIMBURSE!$A$5:$A$124,N48)=0),"ID KLAIM TIDAK TERDAFTAR",IF(Q48="Ditolak","PENGELUARAN DITOLAK",IF(R48&gt;K48,"NILAI DISETUJUI MELEBIHI BIAYA",IF(AND(Q48="Disetujui",Z48=""),"PENYETUJU BELUM DIISI",IF(Q48&lt;&gt;"Disetujui","MENUNGGU PERSETUJUAN","OK")))))))))</f>
        <v/>
      </c>
      <c r="Z48" s="98"/>
      <c r="AA48" s="105"/>
      <c r="AB48" s="98"/>
      <c r="AC48" s="104" t="str">
        <f t="shared" si="10"/>
        <v/>
      </c>
    </row>
    <row r="49" spans="1:29">
      <c r="A49" s="9" t="str">
        <f t="shared" si="6"/>
        <v/>
      </c>
      <c r="B49" s="10"/>
      <c r="C49" s="9" t="str">
        <f t="shared" si="7"/>
        <v/>
      </c>
      <c r="D49" s="46"/>
      <c r="E49" s="47" t="str">
        <f>IF(D49="","",IFERROR(INDEX(PERKARA!$B$5:$B$104,MATCH(D49,PERKARA!$A$5:$A$104,0)),"ID TIDAK TERDAFTAR"))</f>
        <v/>
      </c>
      <c r="F49" s="6"/>
      <c r="G49" s="6"/>
      <c r="H49" s="6"/>
      <c r="I49" s="6"/>
      <c r="J49" s="6"/>
      <c r="K49" s="11"/>
      <c r="L49" s="6"/>
      <c r="M49" s="6"/>
      <c r="N49" s="6"/>
      <c r="O49" s="6"/>
      <c r="P49" s="6"/>
      <c r="Q49" s="103"/>
      <c r="R49" s="107"/>
      <c r="S49" s="11"/>
      <c r="T49" s="12" t="str">
        <f t="shared" si="8"/>
        <v/>
      </c>
      <c r="U49" s="10"/>
      <c r="V49" s="9" t="str">
        <f t="shared" si="9"/>
        <v/>
      </c>
      <c r="W49" s="6"/>
      <c r="X49" s="6"/>
      <c r="Y49" s="67" t="str">
        <f>IF(B49="","",IF(AND(D49&lt;&gt;"",E49="ID TIDAK TERDAFTAR"),"PERKARA TIDAK VALID",IF(I49="","AKUN BELUM DIISI",IF(AND(M49="Ya",N49=""),"KLAIM BELUM DIHUBUNGKAN",IF(AND(N49&lt;&gt;"",COUNTIF(REIMBURSE!$A$5:$A$124,N49)=0),"ID KLAIM TIDAK TERDAFTAR",IF(Q49="Ditolak","PENGELUARAN DITOLAK",IF(R49&gt;K49,"NILAI DISETUJUI MELEBIHI BIAYA",IF(AND(Q49="Disetujui",Z49=""),"PENYETUJU BELUM DIISI",IF(Q49&lt;&gt;"Disetujui","MENUNGGU PERSETUJUAN","OK")))))))))</f>
        <v/>
      </c>
      <c r="Z49" s="98"/>
      <c r="AA49" s="105"/>
      <c r="AB49" s="98"/>
      <c r="AC49" s="104" t="str">
        <f t="shared" si="10"/>
        <v/>
      </c>
    </row>
    <row r="50" spans="1:29">
      <c r="A50" s="9" t="str">
        <f t="shared" si="6"/>
        <v/>
      </c>
      <c r="B50" s="10"/>
      <c r="C50" s="9" t="str">
        <f t="shared" si="7"/>
        <v/>
      </c>
      <c r="D50" s="46"/>
      <c r="E50" s="47" t="str">
        <f>IF(D50="","",IFERROR(INDEX(PERKARA!$B$5:$B$104,MATCH(D50,PERKARA!$A$5:$A$104,0)),"ID TIDAK TERDAFTAR"))</f>
        <v/>
      </c>
      <c r="F50" s="6"/>
      <c r="G50" s="6"/>
      <c r="H50" s="6"/>
      <c r="I50" s="6"/>
      <c r="J50" s="6"/>
      <c r="K50" s="11"/>
      <c r="L50" s="6"/>
      <c r="M50" s="6"/>
      <c r="N50" s="6"/>
      <c r="O50" s="6"/>
      <c r="P50" s="6"/>
      <c r="Q50" s="103"/>
      <c r="R50" s="107"/>
      <c r="S50" s="11"/>
      <c r="T50" s="12" t="str">
        <f t="shared" si="8"/>
        <v/>
      </c>
      <c r="U50" s="10"/>
      <c r="V50" s="9" t="str">
        <f t="shared" si="9"/>
        <v/>
      </c>
      <c r="W50" s="6"/>
      <c r="X50" s="6"/>
      <c r="Y50" s="67" t="str">
        <f>IF(B50="","",IF(AND(D50&lt;&gt;"",E50="ID TIDAK TERDAFTAR"),"PERKARA TIDAK VALID",IF(I50="","AKUN BELUM DIISI",IF(AND(M50="Ya",N50=""),"KLAIM BELUM DIHUBUNGKAN",IF(AND(N50&lt;&gt;"",COUNTIF(REIMBURSE!$A$5:$A$124,N50)=0),"ID KLAIM TIDAK TERDAFTAR",IF(Q50="Ditolak","PENGELUARAN DITOLAK",IF(R50&gt;K50,"NILAI DISETUJUI MELEBIHI BIAYA",IF(AND(Q50="Disetujui",Z50=""),"PENYETUJU BELUM DIISI",IF(Q50&lt;&gt;"Disetujui","MENUNGGU PERSETUJUAN","OK")))))))))</f>
        <v/>
      </c>
      <c r="Z50" s="98"/>
      <c r="AA50" s="105"/>
      <c r="AB50" s="98"/>
      <c r="AC50" s="104" t="str">
        <f t="shared" si="10"/>
        <v/>
      </c>
    </row>
    <row r="51" spans="1:29">
      <c r="A51" s="9" t="str">
        <f t="shared" si="6"/>
        <v/>
      </c>
      <c r="B51" s="10"/>
      <c r="C51" s="9" t="str">
        <f t="shared" si="7"/>
        <v/>
      </c>
      <c r="D51" s="46"/>
      <c r="E51" s="47" t="str">
        <f>IF(D51="","",IFERROR(INDEX(PERKARA!$B$5:$B$104,MATCH(D51,PERKARA!$A$5:$A$104,0)),"ID TIDAK TERDAFTAR"))</f>
        <v/>
      </c>
      <c r="F51" s="6"/>
      <c r="G51" s="6"/>
      <c r="H51" s="6"/>
      <c r="I51" s="6"/>
      <c r="J51" s="6"/>
      <c r="K51" s="11"/>
      <c r="L51" s="6"/>
      <c r="M51" s="6"/>
      <c r="N51" s="6"/>
      <c r="O51" s="6"/>
      <c r="P51" s="6"/>
      <c r="Q51" s="103"/>
      <c r="R51" s="107"/>
      <c r="S51" s="11"/>
      <c r="T51" s="12" t="str">
        <f t="shared" si="8"/>
        <v/>
      </c>
      <c r="U51" s="10"/>
      <c r="V51" s="9" t="str">
        <f t="shared" si="9"/>
        <v/>
      </c>
      <c r="W51" s="6"/>
      <c r="X51" s="6"/>
      <c r="Y51" s="67" t="str">
        <f>IF(B51="","",IF(AND(D51&lt;&gt;"",E51="ID TIDAK TERDAFTAR"),"PERKARA TIDAK VALID",IF(I51="","AKUN BELUM DIISI",IF(AND(M51="Ya",N51=""),"KLAIM BELUM DIHUBUNGKAN",IF(AND(N51&lt;&gt;"",COUNTIF(REIMBURSE!$A$5:$A$124,N51)=0),"ID KLAIM TIDAK TERDAFTAR",IF(Q51="Ditolak","PENGELUARAN DITOLAK",IF(R51&gt;K51,"NILAI DISETUJUI MELEBIHI BIAYA",IF(AND(Q51="Disetujui",Z51=""),"PENYETUJU BELUM DIISI",IF(Q51&lt;&gt;"Disetujui","MENUNGGU PERSETUJUAN","OK")))))))))</f>
        <v/>
      </c>
      <c r="Z51" s="98"/>
      <c r="AA51" s="105"/>
      <c r="AB51" s="98"/>
      <c r="AC51" s="104" t="str">
        <f t="shared" si="10"/>
        <v/>
      </c>
    </row>
    <row r="52" spans="1:29">
      <c r="A52" s="9" t="str">
        <f t="shared" si="6"/>
        <v/>
      </c>
      <c r="B52" s="10"/>
      <c r="C52" s="9" t="str">
        <f t="shared" si="7"/>
        <v/>
      </c>
      <c r="D52" s="46"/>
      <c r="E52" s="47" t="str">
        <f>IF(D52="","",IFERROR(INDEX(PERKARA!$B$5:$B$104,MATCH(D52,PERKARA!$A$5:$A$104,0)),"ID TIDAK TERDAFTAR"))</f>
        <v/>
      </c>
      <c r="F52" s="6"/>
      <c r="G52" s="6"/>
      <c r="H52" s="6"/>
      <c r="I52" s="6"/>
      <c r="J52" s="6"/>
      <c r="K52" s="11"/>
      <c r="L52" s="6"/>
      <c r="M52" s="6"/>
      <c r="N52" s="6"/>
      <c r="O52" s="6"/>
      <c r="P52" s="6"/>
      <c r="Q52" s="103"/>
      <c r="R52" s="107"/>
      <c r="S52" s="11"/>
      <c r="T52" s="12" t="str">
        <f t="shared" si="8"/>
        <v/>
      </c>
      <c r="U52" s="10"/>
      <c r="V52" s="9" t="str">
        <f t="shared" si="9"/>
        <v/>
      </c>
      <c r="W52" s="6"/>
      <c r="X52" s="6"/>
      <c r="Y52" s="67" t="str">
        <f>IF(B52="","",IF(AND(D52&lt;&gt;"",E52="ID TIDAK TERDAFTAR"),"PERKARA TIDAK VALID",IF(I52="","AKUN BELUM DIISI",IF(AND(M52="Ya",N52=""),"KLAIM BELUM DIHUBUNGKAN",IF(AND(N52&lt;&gt;"",COUNTIF(REIMBURSE!$A$5:$A$124,N52)=0),"ID KLAIM TIDAK TERDAFTAR",IF(Q52="Ditolak","PENGELUARAN DITOLAK",IF(R52&gt;K52,"NILAI DISETUJUI MELEBIHI BIAYA",IF(AND(Q52="Disetujui",Z52=""),"PENYETUJU BELUM DIISI",IF(Q52&lt;&gt;"Disetujui","MENUNGGU PERSETUJUAN","OK")))))))))</f>
        <v/>
      </c>
      <c r="Z52" s="98"/>
      <c r="AA52" s="105"/>
      <c r="AB52" s="98"/>
      <c r="AC52" s="104" t="str">
        <f t="shared" si="10"/>
        <v/>
      </c>
    </row>
    <row r="53" spans="1:29">
      <c r="A53" s="9" t="str">
        <f t="shared" si="6"/>
        <v/>
      </c>
      <c r="B53" s="10"/>
      <c r="C53" s="9" t="str">
        <f t="shared" si="7"/>
        <v/>
      </c>
      <c r="D53" s="46"/>
      <c r="E53" s="47" t="str">
        <f>IF(D53="","",IFERROR(INDEX(PERKARA!$B$5:$B$104,MATCH(D53,PERKARA!$A$5:$A$104,0)),"ID TIDAK TERDAFTAR"))</f>
        <v/>
      </c>
      <c r="F53" s="6"/>
      <c r="G53" s="6"/>
      <c r="H53" s="6"/>
      <c r="I53" s="6"/>
      <c r="J53" s="6"/>
      <c r="K53" s="11"/>
      <c r="L53" s="6"/>
      <c r="M53" s="6"/>
      <c r="N53" s="6"/>
      <c r="O53" s="6"/>
      <c r="P53" s="6"/>
      <c r="Q53" s="103"/>
      <c r="R53" s="107"/>
      <c r="S53" s="11"/>
      <c r="T53" s="12" t="str">
        <f t="shared" si="8"/>
        <v/>
      </c>
      <c r="U53" s="10"/>
      <c r="V53" s="9" t="str">
        <f t="shared" si="9"/>
        <v/>
      </c>
      <c r="W53" s="6"/>
      <c r="X53" s="6"/>
      <c r="Y53" s="67" t="str">
        <f>IF(B53="","",IF(AND(D53&lt;&gt;"",E53="ID TIDAK TERDAFTAR"),"PERKARA TIDAK VALID",IF(I53="","AKUN BELUM DIISI",IF(AND(M53="Ya",N53=""),"KLAIM BELUM DIHUBUNGKAN",IF(AND(N53&lt;&gt;"",COUNTIF(REIMBURSE!$A$5:$A$124,N53)=0),"ID KLAIM TIDAK TERDAFTAR",IF(Q53="Ditolak","PENGELUARAN DITOLAK",IF(R53&gt;K53,"NILAI DISETUJUI MELEBIHI BIAYA",IF(AND(Q53="Disetujui",Z53=""),"PENYETUJU BELUM DIISI",IF(Q53&lt;&gt;"Disetujui","MENUNGGU PERSETUJUAN","OK")))))))))</f>
        <v/>
      </c>
      <c r="Z53" s="98"/>
      <c r="AA53" s="105"/>
      <c r="AB53" s="98"/>
      <c r="AC53" s="104" t="str">
        <f t="shared" si="10"/>
        <v/>
      </c>
    </row>
    <row r="54" spans="1:29">
      <c r="A54" s="9" t="str">
        <f t="shared" si="6"/>
        <v/>
      </c>
      <c r="B54" s="10"/>
      <c r="C54" s="9" t="str">
        <f t="shared" si="7"/>
        <v/>
      </c>
      <c r="D54" s="46"/>
      <c r="E54" s="47" t="str">
        <f>IF(D54="","",IFERROR(INDEX(PERKARA!$B$5:$B$104,MATCH(D54,PERKARA!$A$5:$A$104,0)),"ID TIDAK TERDAFTAR"))</f>
        <v/>
      </c>
      <c r="F54" s="6"/>
      <c r="G54" s="6"/>
      <c r="H54" s="6"/>
      <c r="I54" s="6"/>
      <c r="J54" s="6"/>
      <c r="K54" s="11"/>
      <c r="L54" s="6"/>
      <c r="M54" s="6"/>
      <c r="N54" s="6"/>
      <c r="O54" s="6"/>
      <c r="P54" s="6"/>
      <c r="Q54" s="103"/>
      <c r="R54" s="107"/>
      <c r="S54" s="11"/>
      <c r="T54" s="12" t="str">
        <f t="shared" si="8"/>
        <v/>
      </c>
      <c r="U54" s="10"/>
      <c r="V54" s="9" t="str">
        <f t="shared" si="9"/>
        <v/>
      </c>
      <c r="W54" s="6"/>
      <c r="X54" s="6"/>
      <c r="Y54" s="67" t="str">
        <f>IF(B54="","",IF(AND(D54&lt;&gt;"",E54="ID TIDAK TERDAFTAR"),"PERKARA TIDAK VALID",IF(I54="","AKUN BELUM DIISI",IF(AND(M54="Ya",N54=""),"KLAIM BELUM DIHUBUNGKAN",IF(AND(N54&lt;&gt;"",COUNTIF(REIMBURSE!$A$5:$A$124,N54)=0),"ID KLAIM TIDAK TERDAFTAR",IF(Q54="Ditolak","PENGELUARAN DITOLAK",IF(R54&gt;K54,"NILAI DISETUJUI MELEBIHI BIAYA",IF(AND(Q54="Disetujui",Z54=""),"PENYETUJU BELUM DIISI",IF(Q54&lt;&gt;"Disetujui","MENUNGGU PERSETUJUAN","OK")))))))))</f>
        <v/>
      </c>
      <c r="Z54" s="98"/>
      <c r="AA54" s="105"/>
      <c r="AB54" s="98"/>
      <c r="AC54" s="104" t="str">
        <f t="shared" si="10"/>
        <v/>
      </c>
    </row>
    <row r="55" spans="1:29">
      <c r="A55" s="9" t="str">
        <f t="shared" si="6"/>
        <v/>
      </c>
      <c r="B55" s="10"/>
      <c r="C55" s="9" t="str">
        <f t="shared" si="7"/>
        <v/>
      </c>
      <c r="D55" s="46"/>
      <c r="E55" s="47" t="str">
        <f>IF(D55="","",IFERROR(INDEX(PERKARA!$B$5:$B$104,MATCH(D55,PERKARA!$A$5:$A$104,0)),"ID TIDAK TERDAFTAR"))</f>
        <v/>
      </c>
      <c r="F55" s="6"/>
      <c r="G55" s="6"/>
      <c r="H55" s="6"/>
      <c r="I55" s="6"/>
      <c r="J55" s="6"/>
      <c r="K55" s="11"/>
      <c r="L55" s="6"/>
      <c r="M55" s="6"/>
      <c r="N55" s="6"/>
      <c r="O55" s="6"/>
      <c r="P55" s="6"/>
      <c r="Q55" s="103"/>
      <c r="R55" s="107"/>
      <c r="S55" s="11"/>
      <c r="T55" s="12" t="str">
        <f t="shared" si="8"/>
        <v/>
      </c>
      <c r="U55" s="10"/>
      <c r="V55" s="9" t="str">
        <f t="shared" si="9"/>
        <v/>
      </c>
      <c r="W55" s="6"/>
      <c r="X55" s="6"/>
      <c r="Y55" s="67" t="str">
        <f>IF(B55="","",IF(AND(D55&lt;&gt;"",E55="ID TIDAK TERDAFTAR"),"PERKARA TIDAK VALID",IF(I55="","AKUN BELUM DIISI",IF(AND(M55="Ya",N55=""),"KLAIM BELUM DIHUBUNGKAN",IF(AND(N55&lt;&gt;"",COUNTIF(REIMBURSE!$A$5:$A$124,N55)=0),"ID KLAIM TIDAK TERDAFTAR",IF(Q55="Ditolak","PENGELUARAN DITOLAK",IF(R55&gt;K55,"NILAI DISETUJUI MELEBIHI BIAYA",IF(AND(Q55="Disetujui",Z55=""),"PENYETUJU BELUM DIISI",IF(Q55&lt;&gt;"Disetujui","MENUNGGU PERSETUJUAN","OK")))))))))</f>
        <v/>
      </c>
      <c r="Z55" s="98"/>
      <c r="AA55" s="105"/>
      <c r="AB55" s="98"/>
      <c r="AC55" s="104" t="str">
        <f t="shared" si="10"/>
        <v/>
      </c>
    </row>
    <row r="56" spans="1:29">
      <c r="A56" s="9" t="str">
        <f t="shared" si="6"/>
        <v/>
      </c>
      <c r="B56" s="10"/>
      <c r="C56" s="9" t="str">
        <f t="shared" si="7"/>
        <v/>
      </c>
      <c r="D56" s="46"/>
      <c r="E56" s="47" t="str">
        <f>IF(D56="","",IFERROR(INDEX(PERKARA!$B$5:$B$104,MATCH(D56,PERKARA!$A$5:$A$104,0)),"ID TIDAK TERDAFTAR"))</f>
        <v/>
      </c>
      <c r="F56" s="6"/>
      <c r="G56" s="6"/>
      <c r="H56" s="6"/>
      <c r="I56" s="6"/>
      <c r="J56" s="6"/>
      <c r="K56" s="11"/>
      <c r="L56" s="6"/>
      <c r="M56" s="6"/>
      <c r="N56" s="6"/>
      <c r="O56" s="6"/>
      <c r="P56" s="6"/>
      <c r="Q56" s="103"/>
      <c r="R56" s="107"/>
      <c r="S56" s="11"/>
      <c r="T56" s="12" t="str">
        <f t="shared" si="8"/>
        <v/>
      </c>
      <c r="U56" s="10"/>
      <c r="V56" s="9" t="str">
        <f t="shared" si="9"/>
        <v/>
      </c>
      <c r="W56" s="6"/>
      <c r="X56" s="6"/>
      <c r="Y56" s="67" t="str">
        <f>IF(B56="","",IF(AND(D56&lt;&gt;"",E56="ID TIDAK TERDAFTAR"),"PERKARA TIDAK VALID",IF(I56="","AKUN BELUM DIISI",IF(AND(M56="Ya",N56=""),"KLAIM BELUM DIHUBUNGKAN",IF(AND(N56&lt;&gt;"",COUNTIF(REIMBURSE!$A$5:$A$124,N56)=0),"ID KLAIM TIDAK TERDAFTAR",IF(Q56="Ditolak","PENGELUARAN DITOLAK",IF(R56&gt;K56,"NILAI DISETUJUI MELEBIHI BIAYA",IF(AND(Q56="Disetujui",Z56=""),"PENYETUJU BELUM DIISI",IF(Q56&lt;&gt;"Disetujui","MENUNGGU PERSETUJUAN","OK")))))))))</f>
        <v/>
      </c>
      <c r="Z56" s="98"/>
      <c r="AA56" s="105"/>
      <c r="AB56" s="98"/>
      <c r="AC56" s="104" t="str">
        <f t="shared" si="10"/>
        <v/>
      </c>
    </row>
    <row r="57" spans="1:29">
      <c r="A57" s="9" t="str">
        <f t="shared" si="6"/>
        <v/>
      </c>
      <c r="B57" s="10"/>
      <c r="C57" s="9" t="str">
        <f t="shared" si="7"/>
        <v/>
      </c>
      <c r="D57" s="46"/>
      <c r="E57" s="47" t="str">
        <f>IF(D57="","",IFERROR(INDEX(PERKARA!$B$5:$B$104,MATCH(D57,PERKARA!$A$5:$A$104,0)),"ID TIDAK TERDAFTAR"))</f>
        <v/>
      </c>
      <c r="F57" s="6"/>
      <c r="G57" s="6"/>
      <c r="H57" s="6"/>
      <c r="I57" s="6"/>
      <c r="J57" s="6"/>
      <c r="K57" s="11"/>
      <c r="L57" s="6"/>
      <c r="M57" s="6"/>
      <c r="N57" s="6"/>
      <c r="O57" s="6"/>
      <c r="P57" s="6"/>
      <c r="Q57" s="103"/>
      <c r="R57" s="107"/>
      <c r="S57" s="11"/>
      <c r="T57" s="12" t="str">
        <f t="shared" si="8"/>
        <v/>
      </c>
      <c r="U57" s="10"/>
      <c r="V57" s="9" t="str">
        <f t="shared" si="9"/>
        <v/>
      </c>
      <c r="W57" s="6"/>
      <c r="X57" s="6"/>
      <c r="Y57" s="67" t="str">
        <f>IF(B57="","",IF(AND(D57&lt;&gt;"",E57="ID TIDAK TERDAFTAR"),"PERKARA TIDAK VALID",IF(I57="","AKUN BELUM DIISI",IF(AND(M57="Ya",N57=""),"KLAIM BELUM DIHUBUNGKAN",IF(AND(N57&lt;&gt;"",COUNTIF(REIMBURSE!$A$5:$A$124,N57)=0),"ID KLAIM TIDAK TERDAFTAR",IF(Q57="Ditolak","PENGELUARAN DITOLAK",IF(R57&gt;K57,"NILAI DISETUJUI MELEBIHI BIAYA",IF(AND(Q57="Disetujui",Z57=""),"PENYETUJU BELUM DIISI",IF(Q57&lt;&gt;"Disetujui","MENUNGGU PERSETUJUAN","OK")))))))))</f>
        <v/>
      </c>
      <c r="Z57" s="98"/>
      <c r="AA57" s="105"/>
      <c r="AB57" s="98"/>
      <c r="AC57" s="104" t="str">
        <f t="shared" si="10"/>
        <v/>
      </c>
    </row>
    <row r="58" spans="1:29">
      <c r="A58" s="9" t="str">
        <f t="shared" si="6"/>
        <v/>
      </c>
      <c r="B58" s="10"/>
      <c r="C58" s="9" t="str">
        <f t="shared" si="7"/>
        <v/>
      </c>
      <c r="D58" s="46"/>
      <c r="E58" s="47" t="str">
        <f>IF(D58="","",IFERROR(INDEX(PERKARA!$B$5:$B$104,MATCH(D58,PERKARA!$A$5:$A$104,0)),"ID TIDAK TERDAFTAR"))</f>
        <v/>
      </c>
      <c r="F58" s="6"/>
      <c r="G58" s="6"/>
      <c r="H58" s="6"/>
      <c r="I58" s="6"/>
      <c r="J58" s="6"/>
      <c r="K58" s="11"/>
      <c r="L58" s="6"/>
      <c r="M58" s="6"/>
      <c r="N58" s="6"/>
      <c r="O58" s="6"/>
      <c r="P58" s="6"/>
      <c r="Q58" s="103"/>
      <c r="R58" s="107"/>
      <c r="S58" s="11"/>
      <c r="T58" s="12" t="str">
        <f t="shared" si="8"/>
        <v/>
      </c>
      <c r="U58" s="10"/>
      <c r="V58" s="9" t="str">
        <f t="shared" si="9"/>
        <v/>
      </c>
      <c r="W58" s="6"/>
      <c r="X58" s="6"/>
      <c r="Y58" s="67" t="str">
        <f>IF(B58="","",IF(AND(D58&lt;&gt;"",E58="ID TIDAK TERDAFTAR"),"PERKARA TIDAK VALID",IF(I58="","AKUN BELUM DIISI",IF(AND(M58="Ya",N58=""),"KLAIM BELUM DIHUBUNGKAN",IF(AND(N58&lt;&gt;"",COUNTIF(REIMBURSE!$A$5:$A$124,N58)=0),"ID KLAIM TIDAK TERDAFTAR",IF(Q58="Ditolak","PENGELUARAN DITOLAK",IF(R58&gt;K58,"NILAI DISETUJUI MELEBIHI BIAYA",IF(AND(Q58="Disetujui",Z58=""),"PENYETUJU BELUM DIISI",IF(Q58&lt;&gt;"Disetujui","MENUNGGU PERSETUJUAN","OK")))))))))</f>
        <v/>
      </c>
      <c r="Z58" s="98"/>
      <c r="AA58" s="105"/>
      <c r="AB58" s="98"/>
      <c r="AC58" s="104" t="str">
        <f t="shared" si="10"/>
        <v/>
      </c>
    </row>
    <row r="59" spans="1:29">
      <c r="A59" s="9" t="str">
        <f t="shared" si="6"/>
        <v/>
      </c>
      <c r="B59" s="10"/>
      <c r="C59" s="9" t="str">
        <f t="shared" si="7"/>
        <v/>
      </c>
      <c r="D59" s="46"/>
      <c r="E59" s="47" t="str">
        <f>IF(D59="","",IFERROR(INDEX(PERKARA!$B$5:$B$104,MATCH(D59,PERKARA!$A$5:$A$104,0)),"ID TIDAK TERDAFTAR"))</f>
        <v/>
      </c>
      <c r="F59" s="6"/>
      <c r="G59" s="6"/>
      <c r="H59" s="6"/>
      <c r="I59" s="6"/>
      <c r="J59" s="6"/>
      <c r="K59" s="11"/>
      <c r="L59" s="6"/>
      <c r="M59" s="6"/>
      <c r="N59" s="6"/>
      <c r="O59" s="6"/>
      <c r="P59" s="6"/>
      <c r="Q59" s="103"/>
      <c r="R59" s="107"/>
      <c r="S59" s="11"/>
      <c r="T59" s="12" t="str">
        <f t="shared" si="8"/>
        <v/>
      </c>
      <c r="U59" s="10"/>
      <c r="V59" s="9" t="str">
        <f t="shared" si="9"/>
        <v/>
      </c>
      <c r="W59" s="6"/>
      <c r="X59" s="6"/>
      <c r="Y59" s="67" t="str">
        <f>IF(B59="","",IF(AND(D59&lt;&gt;"",E59="ID TIDAK TERDAFTAR"),"PERKARA TIDAK VALID",IF(I59="","AKUN BELUM DIISI",IF(AND(M59="Ya",N59=""),"KLAIM BELUM DIHUBUNGKAN",IF(AND(N59&lt;&gt;"",COUNTIF(REIMBURSE!$A$5:$A$124,N59)=0),"ID KLAIM TIDAK TERDAFTAR",IF(Q59="Ditolak","PENGELUARAN DITOLAK",IF(R59&gt;K59,"NILAI DISETUJUI MELEBIHI BIAYA",IF(AND(Q59="Disetujui",Z59=""),"PENYETUJU BELUM DIISI",IF(Q59&lt;&gt;"Disetujui","MENUNGGU PERSETUJUAN","OK")))))))))</f>
        <v/>
      </c>
      <c r="Z59" s="98"/>
      <c r="AA59" s="105"/>
      <c r="AB59" s="98"/>
      <c r="AC59" s="104" t="str">
        <f t="shared" si="10"/>
        <v/>
      </c>
    </row>
    <row r="60" spans="1:29">
      <c r="A60" s="9" t="str">
        <f t="shared" si="6"/>
        <v/>
      </c>
      <c r="B60" s="10"/>
      <c r="C60" s="9" t="str">
        <f t="shared" si="7"/>
        <v/>
      </c>
      <c r="D60" s="46"/>
      <c r="E60" s="47" t="str">
        <f>IF(D60="","",IFERROR(INDEX(PERKARA!$B$5:$B$104,MATCH(D60,PERKARA!$A$5:$A$104,0)),"ID TIDAK TERDAFTAR"))</f>
        <v/>
      </c>
      <c r="F60" s="6"/>
      <c r="G60" s="6"/>
      <c r="H60" s="6"/>
      <c r="I60" s="6"/>
      <c r="J60" s="6"/>
      <c r="K60" s="11"/>
      <c r="L60" s="6"/>
      <c r="M60" s="6"/>
      <c r="N60" s="6"/>
      <c r="O60" s="6"/>
      <c r="P60" s="6"/>
      <c r="Q60" s="103"/>
      <c r="R60" s="107"/>
      <c r="S60" s="11"/>
      <c r="T60" s="12" t="str">
        <f t="shared" si="8"/>
        <v/>
      </c>
      <c r="U60" s="10"/>
      <c r="V60" s="9" t="str">
        <f t="shared" si="9"/>
        <v/>
      </c>
      <c r="W60" s="6"/>
      <c r="X60" s="6"/>
      <c r="Y60" s="67" t="str">
        <f>IF(B60="","",IF(AND(D60&lt;&gt;"",E60="ID TIDAK TERDAFTAR"),"PERKARA TIDAK VALID",IF(I60="","AKUN BELUM DIISI",IF(AND(M60="Ya",N60=""),"KLAIM BELUM DIHUBUNGKAN",IF(AND(N60&lt;&gt;"",COUNTIF(REIMBURSE!$A$5:$A$124,N60)=0),"ID KLAIM TIDAK TERDAFTAR",IF(Q60="Ditolak","PENGELUARAN DITOLAK",IF(R60&gt;K60,"NILAI DISETUJUI MELEBIHI BIAYA",IF(AND(Q60="Disetujui",Z60=""),"PENYETUJU BELUM DIISI",IF(Q60&lt;&gt;"Disetujui","MENUNGGU PERSETUJUAN","OK")))))))))</f>
        <v/>
      </c>
      <c r="Z60" s="98"/>
      <c r="AA60" s="105"/>
      <c r="AB60" s="98"/>
      <c r="AC60" s="104" t="str">
        <f t="shared" si="10"/>
        <v/>
      </c>
    </row>
    <row r="61" spans="1:29">
      <c r="A61" s="9" t="str">
        <f t="shared" si="6"/>
        <v/>
      </c>
      <c r="B61" s="10"/>
      <c r="C61" s="9" t="str">
        <f t="shared" si="7"/>
        <v/>
      </c>
      <c r="D61" s="46"/>
      <c r="E61" s="47" t="str">
        <f>IF(D61="","",IFERROR(INDEX(PERKARA!$B$5:$B$104,MATCH(D61,PERKARA!$A$5:$A$104,0)),"ID TIDAK TERDAFTAR"))</f>
        <v/>
      </c>
      <c r="F61" s="6"/>
      <c r="G61" s="6"/>
      <c r="H61" s="6"/>
      <c r="I61" s="6"/>
      <c r="J61" s="6"/>
      <c r="K61" s="11"/>
      <c r="L61" s="6"/>
      <c r="M61" s="6"/>
      <c r="N61" s="6"/>
      <c r="O61" s="6"/>
      <c r="P61" s="6"/>
      <c r="Q61" s="103"/>
      <c r="R61" s="107"/>
      <c r="S61" s="11"/>
      <c r="T61" s="12" t="str">
        <f t="shared" si="8"/>
        <v/>
      </c>
      <c r="U61" s="10"/>
      <c r="V61" s="9" t="str">
        <f t="shared" si="9"/>
        <v/>
      </c>
      <c r="W61" s="6"/>
      <c r="X61" s="6"/>
      <c r="Y61" s="67" t="str">
        <f>IF(B61="","",IF(AND(D61&lt;&gt;"",E61="ID TIDAK TERDAFTAR"),"PERKARA TIDAK VALID",IF(I61="","AKUN BELUM DIISI",IF(AND(M61="Ya",N61=""),"KLAIM BELUM DIHUBUNGKAN",IF(AND(N61&lt;&gt;"",COUNTIF(REIMBURSE!$A$5:$A$124,N61)=0),"ID KLAIM TIDAK TERDAFTAR",IF(Q61="Ditolak","PENGELUARAN DITOLAK",IF(R61&gt;K61,"NILAI DISETUJUI MELEBIHI BIAYA",IF(AND(Q61="Disetujui",Z61=""),"PENYETUJU BELUM DIISI",IF(Q61&lt;&gt;"Disetujui","MENUNGGU PERSETUJUAN","OK")))))))))</f>
        <v/>
      </c>
      <c r="Z61" s="98"/>
      <c r="AA61" s="105"/>
      <c r="AB61" s="98"/>
      <c r="AC61" s="104" t="str">
        <f t="shared" si="10"/>
        <v/>
      </c>
    </row>
    <row r="62" spans="1:29">
      <c r="A62" s="9" t="str">
        <f t="shared" si="6"/>
        <v/>
      </c>
      <c r="B62" s="10"/>
      <c r="C62" s="9" t="str">
        <f t="shared" si="7"/>
        <v/>
      </c>
      <c r="D62" s="46"/>
      <c r="E62" s="47" t="str">
        <f>IF(D62="","",IFERROR(INDEX(PERKARA!$B$5:$B$104,MATCH(D62,PERKARA!$A$5:$A$104,0)),"ID TIDAK TERDAFTAR"))</f>
        <v/>
      </c>
      <c r="F62" s="6"/>
      <c r="G62" s="6"/>
      <c r="H62" s="6"/>
      <c r="I62" s="6"/>
      <c r="J62" s="6"/>
      <c r="K62" s="11"/>
      <c r="L62" s="6"/>
      <c r="M62" s="6"/>
      <c r="N62" s="6"/>
      <c r="O62" s="6"/>
      <c r="P62" s="6"/>
      <c r="Q62" s="103"/>
      <c r="R62" s="107"/>
      <c r="S62" s="11"/>
      <c r="T62" s="12" t="str">
        <f t="shared" si="8"/>
        <v/>
      </c>
      <c r="U62" s="10"/>
      <c r="V62" s="9" t="str">
        <f t="shared" si="9"/>
        <v/>
      </c>
      <c r="W62" s="6"/>
      <c r="X62" s="6"/>
      <c r="Y62" s="67" t="str">
        <f>IF(B62="","",IF(AND(D62&lt;&gt;"",E62="ID TIDAK TERDAFTAR"),"PERKARA TIDAK VALID",IF(I62="","AKUN BELUM DIISI",IF(AND(M62="Ya",N62=""),"KLAIM BELUM DIHUBUNGKAN",IF(AND(N62&lt;&gt;"",COUNTIF(REIMBURSE!$A$5:$A$124,N62)=0),"ID KLAIM TIDAK TERDAFTAR",IF(Q62="Ditolak","PENGELUARAN DITOLAK",IF(R62&gt;K62,"NILAI DISETUJUI MELEBIHI BIAYA",IF(AND(Q62="Disetujui",Z62=""),"PENYETUJU BELUM DIISI",IF(Q62&lt;&gt;"Disetujui","MENUNGGU PERSETUJUAN","OK")))))))))</f>
        <v/>
      </c>
      <c r="Z62" s="98"/>
      <c r="AA62" s="105"/>
      <c r="AB62" s="98"/>
      <c r="AC62" s="104" t="str">
        <f t="shared" si="10"/>
        <v/>
      </c>
    </row>
    <row r="63" spans="1:29">
      <c r="A63" s="9" t="str">
        <f t="shared" si="6"/>
        <v/>
      </c>
      <c r="B63" s="10"/>
      <c r="C63" s="9" t="str">
        <f t="shared" si="7"/>
        <v/>
      </c>
      <c r="D63" s="46"/>
      <c r="E63" s="47" t="str">
        <f>IF(D63="","",IFERROR(INDEX(PERKARA!$B$5:$B$104,MATCH(D63,PERKARA!$A$5:$A$104,0)),"ID TIDAK TERDAFTAR"))</f>
        <v/>
      </c>
      <c r="F63" s="6"/>
      <c r="G63" s="6"/>
      <c r="H63" s="6"/>
      <c r="I63" s="6"/>
      <c r="J63" s="6"/>
      <c r="K63" s="11"/>
      <c r="L63" s="6"/>
      <c r="M63" s="6"/>
      <c r="N63" s="6"/>
      <c r="O63" s="6"/>
      <c r="P63" s="6"/>
      <c r="Q63" s="103"/>
      <c r="R63" s="107"/>
      <c r="S63" s="11"/>
      <c r="T63" s="12" t="str">
        <f t="shared" si="8"/>
        <v/>
      </c>
      <c r="U63" s="10"/>
      <c r="V63" s="9" t="str">
        <f t="shared" si="9"/>
        <v/>
      </c>
      <c r="W63" s="6"/>
      <c r="X63" s="6"/>
      <c r="Y63" s="67" t="str">
        <f>IF(B63="","",IF(AND(D63&lt;&gt;"",E63="ID TIDAK TERDAFTAR"),"PERKARA TIDAK VALID",IF(I63="","AKUN BELUM DIISI",IF(AND(M63="Ya",N63=""),"KLAIM BELUM DIHUBUNGKAN",IF(AND(N63&lt;&gt;"",COUNTIF(REIMBURSE!$A$5:$A$124,N63)=0),"ID KLAIM TIDAK TERDAFTAR",IF(Q63="Ditolak","PENGELUARAN DITOLAK",IF(R63&gt;K63,"NILAI DISETUJUI MELEBIHI BIAYA",IF(AND(Q63="Disetujui",Z63=""),"PENYETUJU BELUM DIISI",IF(Q63&lt;&gt;"Disetujui","MENUNGGU PERSETUJUAN","OK")))))))))</f>
        <v/>
      </c>
      <c r="Z63" s="98"/>
      <c r="AA63" s="105"/>
      <c r="AB63" s="98"/>
      <c r="AC63" s="104" t="str">
        <f t="shared" si="10"/>
        <v/>
      </c>
    </row>
    <row r="64" spans="1:29">
      <c r="A64" s="9" t="str">
        <f t="shared" si="6"/>
        <v/>
      </c>
      <c r="B64" s="10"/>
      <c r="C64" s="9" t="str">
        <f t="shared" si="7"/>
        <v/>
      </c>
      <c r="D64" s="46"/>
      <c r="E64" s="47" t="str">
        <f>IF(D64="","",IFERROR(INDEX(PERKARA!$B$5:$B$104,MATCH(D64,PERKARA!$A$5:$A$104,0)),"ID TIDAK TERDAFTAR"))</f>
        <v/>
      </c>
      <c r="F64" s="6"/>
      <c r="G64" s="6"/>
      <c r="H64" s="6"/>
      <c r="I64" s="6"/>
      <c r="J64" s="6"/>
      <c r="K64" s="11"/>
      <c r="L64" s="6"/>
      <c r="M64" s="6"/>
      <c r="N64" s="6"/>
      <c r="O64" s="6"/>
      <c r="P64" s="6"/>
      <c r="Q64" s="103"/>
      <c r="R64" s="107"/>
      <c r="S64" s="11"/>
      <c r="T64" s="12" t="str">
        <f t="shared" si="8"/>
        <v/>
      </c>
      <c r="U64" s="10"/>
      <c r="V64" s="9" t="str">
        <f t="shared" si="9"/>
        <v/>
      </c>
      <c r="W64" s="6"/>
      <c r="X64" s="6"/>
      <c r="Y64" s="67" t="str">
        <f>IF(B64="","",IF(AND(D64&lt;&gt;"",E64="ID TIDAK TERDAFTAR"),"PERKARA TIDAK VALID",IF(I64="","AKUN BELUM DIISI",IF(AND(M64="Ya",N64=""),"KLAIM BELUM DIHUBUNGKAN",IF(AND(N64&lt;&gt;"",COUNTIF(REIMBURSE!$A$5:$A$124,N64)=0),"ID KLAIM TIDAK TERDAFTAR",IF(Q64="Ditolak","PENGELUARAN DITOLAK",IF(R64&gt;K64,"NILAI DISETUJUI MELEBIHI BIAYA",IF(AND(Q64="Disetujui",Z64=""),"PENYETUJU BELUM DIISI",IF(Q64&lt;&gt;"Disetujui","MENUNGGU PERSETUJUAN","OK")))))))))</f>
        <v/>
      </c>
      <c r="Z64" s="98"/>
      <c r="AA64" s="105"/>
      <c r="AB64" s="98"/>
      <c r="AC64" s="104" t="str">
        <f t="shared" si="10"/>
        <v/>
      </c>
    </row>
    <row r="65" spans="1:29">
      <c r="A65" s="9" t="str">
        <f t="shared" si="6"/>
        <v/>
      </c>
      <c r="B65" s="10"/>
      <c r="C65" s="9" t="str">
        <f t="shared" si="7"/>
        <v/>
      </c>
      <c r="D65" s="46"/>
      <c r="E65" s="47" t="str">
        <f>IF(D65="","",IFERROR(INDEX(PERKARA!$B$5:$B$104,MATCH(D65,PERKARA!$A$5:$A$104,0)),"ID TIDAK TERDAFTAR"))</f>
        <v/>
      </c>
      <c r="F65" s="6"/>
      <c r="G65" s="6"/>
      <c r="H65" s="6"/>
      <c r="I65" s="6"/>
      <c r="J65" s="6"/>
      <c r="K65" s="11"/>
      <c r="L65" s="6"/>
      <c r="M65" s="6"/>
      <c r="N65" s="6"/>
      <c r="O65" s="6"/>
      <c r="P65" s="6"/>
      <c r="Q65" s="103"/>
      <c r="R65" s="107"/>
      <c r="S65" s="11"/>
      <c r="T65" s="12" t="str">
        <f t="shared" si="8"/>
        <v/>
      </c>
      <c r="U65" s="10"/>
      <c r="V65" s="9" t="str">
        <f t="shared" si="9"/>
        <v/>
      </c>
      <c r="W65" s="6"/>
      <c r="X65" s="6"/>
      <c r="Y65" s="67" t="str">
        <f>IF(B65="","",IF(AND(D65&lt;&gt;"",E65="ID TIDAK TERDAFTAR"),"PERKARA TIDAK VALID",IF(I65="","AKUN BELUM DIISI",IF(AND(M65="Ya",N65=""),"KLAIM BELUM DIHUBUNGKAN",IF(AND(N65&lt;&gt;"",COUNTIF(REIMBURSE!$A$5:$A$124,N65)=0),"ID KLAIM TIDAK TERDAFTAR",IF(Q65="Ditolak","PENGELUARAN DITOLAK",IF(R65&gt;K65,"NILAI DISETUJUI MELEBIHI BIAYA",IF(AND(Q65="Disetujui",Z65=""),"PENYETUJU BELUM DIISI",IF(Q65&lt;&gt;"Disetujui","MENUNGGU PERSETUJUAN","OK")))))))))</f>
        <v/>
      </c>
      <c r="Z65" s="98"/>
      <c r="AA65" s="105"/>
      <c r="AB65" s="98"/>
      <c r="AC65" s="104" t="str">
        <f t="shared" si="10"/>
        <v/>
      </c>
    </row>
    <row r="66" spans="1:29">
      <c r="A66" s="9" t="str">
        <f t="shared" si="6"/>
        <v/>
      </c>
      <c r="B66" s="10"/>
      <c r="C66" s="9" t="str">
        <f t="shared" si="7"/>
        <v/>
      </c>
      <c r="D66" s="46"/>
      <c r="E66" s="47" t="str">
        <f>IF(D66="","",IFERROR(INDEX(PERKARA!$B$5:$B$104,MATCH(D66,PERKARA!$A$5:$A$104,0)),"ID TIDAK TERDAFTAR"))</f>
        <v/>
      </c>
      <c r="F66" s="6"/>
      <c r="G66" s="6"/>
      <c r="H66" s="6"/>
      <c r="I66" s="6"/>
      <c r="J66" s="6"/>
      <c r="K66" s="11"/>
      <c r="L66" s="6"/>
      <c r="M66" s="6"/>
      <c r="N66" s="6"/>
      <c r="O66" s="6"/>
      <c r="P66" s="6"/>
      <c r="Q66" s="103"/>
      <c r="R66" s="107"/>
      <c r="S66" s="11"/>
      <c r="T66" s="12" t="str">
        <f t="shared" si="8"/>
        <v/>
      </c>
      <c r="U66" s="10"/>
      <c r="V66" s="9" t="str">
        <f t="shared" si="9"/>
        <v/>
      </c>
      <c r="W66" s="6"/>
      <c r="X66" s="6"/>
      <c r="Y66" s="67" t="str">
        <f>IF(B66="","",IF(AND(D66&lt;&gt;"",E66="ID TIDAK TERDAFTAR"),"PERKARA TIDAK VALID",IF(I66="","AKUN BELUM DIISI",IF(AND(M66="Ya",N66=""),"KLAIM BELUM DIHUBUNGKAN",IF(AND(N66&lt;&gt;"",COUNTIF(REIMBURSE!$A$5:$A$124,N66)=0),"ID KLAIM TIDAK TERDAFTAR",IF(Q66="Ditolak","PENGELUARAN DITOLAK",IF(R66&gt;K66,"NILAI DISETUJUI MELEBIHI BIAYA",IF(AND(Q66="Disetujui",Z66=""),"PENYETUJU BELUM DIISI",IF(Q66&lt;&gt;"Disetujui","MENUNGGU PERSETUJUAN","OK")))))))))</f>
        <v/>
      </c>
      <c r="Z66" s="98"/>
      <c r="AA66" s="105"/>
      <c r="AB66" s="98"/>
      <c r="AC66" s="104" t="str">
        <f t="shared" si="10"/>
        <v/>
      </c>
    </row>
    <row r="67" spans="1:29">
      <c r="A67" s="9" t="str">
        <f t="shared" si="6"/>
        <v/>
      </c>
      <c r="B67" s="10"/>
      <c r="C67" s="9" t="str">
        <f t="shared" si="7"/>
        <v/>
      </c>
      <c r="D67" s="46"/>
      <c r="E67" s="47" t="str">
        <f>IF(D67="","",IFERROR(INDEX(PERKARA!$B$5:$B$104,MATCH(D67,PERKARA!$A$5:$A$104,0)),"ID TIDAK TERDAFTAR"))</f>
        <v/>
      </c>
      <c r="F67" s="6"/>
      <c r="G67" s="6"/>
      <c r="H67" s="6"/>
      <c r="I67" s="6"/>
      <c r="J67" s="6"/>
      <c r="K67" s="11"/>
      <c r="L67" s="6"/>
      <c r="M67" s="6"/>
      <c r="N67" s="6"/>
      <c r="O67" s="6"/>
      <c r="P67" s="6"/>
      <c r="Q67" s="103"/>
      <c r="R67" s="107"/>
      <c r="S67" s="11"/>
      <c r="T67" s="12" t="str">
        <f t="shared" si="8"/>
        <v/>
      </c>
      <c r="U67" s="10"/>
      <c r="V67" s="9" t="str">
        <f t="shared" si="9"/>
        <v/>
      </c>
      <c r="W67" s="6"/>
      <c r="X67" s="6"/>
      <c r="Y67" s="67" t="str">
        <f>IF(B67="","",IF(AND(D67&lt;&gt;"",E67="ID TIDAK TERDAFTAR"),"PERKARA TIDAK VALID",IF(I67="","AKUN BELUM DIISI",IF(AND(M67="Ya",N67=""),"KLAIM BELUM DIHUBUNGKAN",IF(AND(N67&lt;&gt;"",COUNTIF(REIMBURSE!$A$5:$A$124,N67)=0),"ID KLAIM TIDAK TERDAFTAR",IF(Q67="Ditolak","PENGELUARAN DITOLAK",IF(R67&gt;K67,"NILAI DISETUJUI MELEBIHI BIAYA",IF(AND(Q67="Disetujui",Z67=""),"PENYETUJU BELUM DIISI",IF(Q67&lt;&gt;"Disetujui","MENUNGGU PERSETUJUAN","OK")))))))))</f>
        <v/>
      </c>
      <c r="Z67" s="98"/>
      <c r="AA67" s="105"/>
      <c r="AB67" s="98"/>
      <c r="AC67" s="104" t="str">
        <f t="shared" si="10"/>
        <v/>
      </c>
    </row>
    <row r="68" spans="1:29">
      <c r="A68" s="9" t="str">
        <f t="shared" si="6"/>
        <v/>
      </c>
      <c r="B68" s="10"/>
      <c r="C68" s="9" t="str">
        <f t="shared" si="7"/>
        <v/>
      </c>
      <c r="D68" s="46"/>
      <c r="E68" s="47" t="str">
        <f>IF(D68="","",IFERROR(INDEX(PERKARA!$B$5:$B$104,MATCH(D68,PERKARA!$A$5:$A$104,0)),"ID TIDAK TERDAFTAR"))</f>
        <v/>
      </c>
      <c r="F68" s="6"/>
      <c r="G68" s="6"/>
      <c r="H68" s="6"/>
      <c r="I68" s="6"/>
      <c r="J68" s="6"/>
      <c r="K68" s="11"/>
      <c r="L68" s="6"/>
      <c r="M68" s="6"/>
      <c r="N68" s="6"/>
      <c r="O68" s="6"/>
      <c r="P68" s="6"/>
      <c r="Q68" s="103"/>
      <c r="R68" s="107"/>
      <c r="S68" s="11"/>
      <c r="T68" s="12" t="str">
        <f t="shared" si="8"/>
        <v/>
      </c>
      <c r="U68" s="10"/>
      <c r="V68" s="9" t="str">
        <f t="shared" si="9"/>
        <v/>
      </c>
      <c r="W68" s="6"/>
      <c r="X68" s="6"/>
      <c r="Y68" s="67" t="str">
        <f>IF(B68="","",IF(AND(D68&lt;&gt;"",E68="ID TIDAK TERDAFTAR"),"PERKARA TIDAK VALID",IF(I68="","AKUN BELUM DIISI",IF(AND(M68="Ya",N68=""),"KLAIM BELUM DIHUBUNGKAN",IF(AND(N68&lt;&gt;"",COUNTIF(REIMBURSE!$A$5:$A$124,N68)=0),"ID KLAIM TIDAK TERDAFTAR",IF(Q68="Ditolak","PENGELUARAN DITOLAK",IF(R68&gt;K68,"NILAI DISETUJUI MELEBIHI BIAYA",IF(AND(Q68="Disetujui",Z68=""),"PENYETUJU BELUM DIISI",IF(Q68&lt;&gt;"Disetujui","MENUNGGU PERSETUJUAN","OK")))))))))</f>
        <v/>
      </c>
      <c r="Z68" s="98"/>
      <c r="AA68" s="105"/>
      <c r="AB68" s="98"/>
      <c r="AC68" s="104" t="str">
        <f t="shared" si="10"/>
        <v/>
      </c>
    </row>
    <row r="69" spans="1:29">
      <c r="A69" s="9" t="str">
        <f t="shared" ref="A69:A100" si="11">IF(B69="","","EXP-"&amp;TEXT(B69,"yyyymmdd")&amp;"-"&amp;TEXT(ROW()-4,"000"))</f>
        <v/>
      </c>
      <c r="B69" s="10"/>
      <c r="C69" s="9" t="str">
        <f t="shared" ref="C69:C100" si="12">IF(B69="","",TEXT(B69,"yyyy-mm"))</f>
        <v/>
      </c>
      <c r="D69" s="46"/>
      <c r="E69" s="47" t="str">
        <f>IF(D69="","",IFERROR(INDEX(PERKARA!$B$5:$B$104,MATCH(D69,PERKARA!$A$5:$A$104,0)),"ID TIDAK TERDAFTAR"))</f>
        <v/>
      </c>
      <c r="F69" s="6"/>
      <c r="G69" s="6"/>
      <c r="H69" s="6"/>
      <c r="I69" s="6"/>
      <c r="J69" s="6"/>
      <c r="K69" s="11"/>
      <c r="L69" s="6"/>
      <c r="M69" s="6"/>
      <c r="N69" s="6"/>
      <c r="O69" s="6"/>
      <c r="P69" s="6"/>
      <c r="Q69" s="103"/>
      <c r="R69" s="107"/>
      <c r="S69" s="11"/>
      <c r="T69" s="12" t="str">
        <f t="shared" ref="T69:T100" si="13">IF(B69="","",IF(M69&lt;&gt;"Ya",0,MAX(IF(R69="",K69,R69)-S69,0)))</f>
        <v/>
      </c>
      <c r="U69" s="10"/>
      <c r="V69" s="9" t="str">
        <f t="shared" ref="V69:V100" si="14">IF(B69="","",IF(M69&lt;&gt;"Ya","Tidak Perlu",IF(Q69="Ditolak","Ditolak",IF(S69=0,IF(Q69="Disetujui","Belum Dibayar","Belum Diajukan"),IF(T69=0,"Lunas","Dibayar Sebagian")))))</f>
        <v/>
      </c>
      <c r="W69" s="6"/>
      <c r="X69" s="6"/>
      <c r="Y69" s="67" t="str">
        <f>IF(B69="","",IF(AND(D69&lt;&gt;"",E69="ID TIDAK TERDAFTAR"),"PERKARA TIDAK VALID",IF(I69="","AKUN BELUM DIISI",IF(AND(M69="Ya",N69=""),"KLAIM BELUM DIHUBUNGKAN",IF(AND(N69&lt;&gt;"",COUNTIF(REIMBURSE!$A$5:$A$124,N69)=0),"ID KLAIM TIDAK TERDAFTAR",IF(Q69="Ditolak","PENGELUARAN DITOLAK",IF(R69&gt;K69,"NILAI DISETUJUI MELEBIHI BIAYA",IF(AND(Q69="Disetujui",Z69=""),"PENYETUJU BELUM DIISI",IF(Q69&lt;&gt;"Disetujui","MENUNGGU PERSETUJUAN","OK")))))))))</f>
        <v/>
      </c>
      <c r="Z69" s="98"/>
      <c r="AA69" s="105"/>
      <c r="AB69" s="98"/>
      <c r="AC69" s="104" t="str">
        <f t="shared" ref="AC69:AC100" si="15">IF(B69="","",IF(Q69="Ditolak","DITOLAK",IF(AND(Q69="Disetujui",R69&gt;K69),"NILAI DISETUJUI MELEBIHI BIAYA",IF(AND(Q69="Disetujui",R69=""),"NILAI PERSETUJUAN BELUM DIISI",IF(AND(Q69="Disetujui",Z69&lt;&gt;""),"LENGKAP",IF(Q69="Disetujui","NAMA PENYETUJU BELUM DIISI","MENUNGGU PERSETUJUAN MANUAL"))))))</f>
        <v/>
      </c>
    </row>
    <row r="70" spans="1:29">
      <c r="A70" s="9" t="str">
        <f t="shared" si="11"/>
        <v/>
      </c>
      <c r="B70" s="10"/>
      <c r="C70" s="9" t="str">
        <f t="shared" si="12"/>
        <v/>
      </c>
      <c r="D70" s="46"/>
      <c r="E70" s="47" t="str">
        <f>IF(D70="","",IFERROR(INDEX(PERKARA!$B$5:$B$104,MATCH(D70,PERKARA!$A$5:$A$104,0)),"ID TIDAK TERDAFTAR"))</f>
        <v/>
      </c>
      <c r="F70" s="6"/>
      <c r="G70" s="6"/>
      <c r="H70" s="6"/>
      <c r="I70" s="6"/>
      <c r="J70" s="6"/>
      <c r="K70" s="11"/>
      <c r="L70" s="6"/>
      <c r="M70" s="6"/>
      <c r="N70" s="6"/>
      <c r="O70" s="6"/>
      <c r="P70" s="6"/>
      <c r="Q70" s="103"/>
      <c r="R70" s="107"/>
      <c r="S70" s="11"/>
      <c r="T70" s="12" t="str">
        <f t="shared" si="13"/>
        <v/>
      </c>
      <c r="U70" s="10"/>
      <c r="V70" s="9" t="str">
        <f t="shared" si="14"/>
        <v/>
      </c>
      <c r="W70" s="6"/>
      <c r="X70" s="6"/>
      <c r="Y70" s="67" t="str">
        <f>IF(B70="","",IF(AND(D70&lt;&gt;"",E70="ID TIDAK TERDAFTAR"),"PERKARA TIDAK VALID",IF(I70="","AKUN BELUM DIISI",IF(AND(M70="Ya",N70=""),"KLAIM BELUM DIHUBUNGKAN",IF(AND(N70&lt;&gt;"",COUNTIF(REIMBURSE!$A$5:$A$124,N70)=0),"ID KLAIM TIDAK TERDAFTAR",IF(Q70="Ditolak","PENGELUARAN DITOLAK",IF(R70&gt;K70,"NILAI DISETUJUI MELEBIHI BIAYA",IF(AND(Q70="Disetujui",Z70=""),"PENYETUJU BELUM DIISI",IF(Q70&lt;&gt;"Disetujui","MENUNGGU PERSETUJUAN","OK")))))))))</f>
        <v/>
      </c>
      <c r="Z70" s="98"/>
      <c r="AA70" s="105"/>
      <c r="AB70" s="98"/>
      <c r="AC70" s="104" t="str">
        <f t="shared" si="15"/>
        <v/>
      </c>
    </row>
    <row r="71" spans="1:29">
      <c r="A71" s="9" t="str">
        <f t="shared" si="11"/>
        <v/>
      </c>
      <c r="B71" s="10"/>
      <c r="C71" s="9" t="str">
        <f t="shared" si="12"/>
        <v/>
      </c>
      <c r="D71" s="46"/>
      <c r="E71" s="47" t="str">
        <f>IF(D71="","",IFERROR(INDEX(PERKARA!$B$5:$B$104,MATCH(D71,PERKARA!$A$5:$A$104,0)),"ID TIDAK TERDAFTAR"))</f>
        <v/>
      </c>
      <c r="F71" s="6"/>
      <c r="G71" s="6"/>
      <c r="H71" s="6"/>
      <c r="I71" s="6"/>
      <c r="J71" s="6"/>
      <c r="K71" s="11"/>
      <c r="L71" s="6"/>
      <c r="M71" s="6"/>
      <c r="N71" s="6"/>
      <c r="O71" s="6"/>
      <c r="P71" s="6"/>
      <c r="Q71" s="103"/>
      <c r="R71" s="107"/>
      <c r="S71" s="11"/>
      <c r="T71" s="12" t="str">
        <f t="shared" si="13"/>
        <v/>
      </c>
      <c r="U71" s="10"/>
      <c r="V71" s="9" t="str">
        <f t="shared" si="14"/>
        <v/>
      </c>
      <c r="W71" s="6"/>
      <c r="X71" s="6"/>
      <c r="Y71" s="67" t="str">
        <f>IF(B71="","",IF(AND(D71&lt;&gt;"",E71="ID TIDAK TERDAFTAR"),"PERKARA TIDAK VALID",IF(I71="","AKUN BELUM DIISI",IF(AND(M71="Ya",N71=""),"KLAIM BELUM DIHUBUNGKAN",IF(AND(N71&lt;&gt;"",COUNTIF(REIMBURSE!$A$5:$A$124,N71)=0),"ID KLAIM TIDAK TERDAFTAR",IF(Q71="Ditolak","PENGELUARAN DITOLAK",IF(R71&gt;K71,"NILAI DISETUJUI MELEBIHI BIAYA",IF(AND(Q71="Disetujui",Z71=""),"PENYETUJU BELUM DIISI",IF(Q71&lt;&gt;"Disetujui","MENUNGGU PERSETUJUAN","OK")))))))))</f>
        <v/>
      </c>
      <c r="Z71" s="98"/>
      <c r="AA71" s="105"/>
      <c r="AB71" s="98"/>
      <c r="AC71" s="104" t="str">
        <f t="shared" si="15"/>
        <v/>
      </c>
    </row>
    <row r="72" spans="1:29">
      <c r="A72" s="9" t="str">
        <f t="shared" si="11"/>
        <v/>
      </c>
      <c r="B72" s="10"/>
      <c r="C72" s="9" t="str">
        <f t="shared" si="12"/>
        <v/>
      </c>
      <c r="D72" s="46"/>
      <c r="E72" s="47" t="str">
        <f>IF(D72="","",IFERROR(INDEX(PERKARA!$B$5:$B$104,MATCH(D72,PERKARA!$A$5:$A$104,0)),"ID TIDAK TERDAFTAR"))</f>
        <v/>
      </c>
      <c r="F72" s="6"/>
      <c r="G72" s="6"/>
      <c r="H72" s="6"/>
      <c r="I72" s="6"/>
      <c r="J72" s="6"/>
      <c r="K72" s="11"/>
      <c r="L72" s="6"/>
      <c r="M72" s="6"/>
      <c r="N72" s="6"/>
      <c r="O72" s="6"/>
      <c r="P72" s="6"/>
      <c r="Q72" s="103"/>
      <c r="R72" s="107"/>
      <c r="S72" s="11"/>
      <c r="T72" s="12" t="str">
        <f t="shared" si="13"/>
        <v/>
      </c>
      <c r="U72" s="10"/>
      <c r="V72" s="9" t="str">
        <f t="shared" si="14"/>
        <v/>
      </c>
      <c r="W72" s="6"/>
      <c r="X72" s="6"/>
      <c r="Y72" s="67" t="str">
        <f>IF(B72="","",IF(AND(D72&lt;&gt;"",E72="ID TIDAK TERDAFTAR"),"PERKARA TIDAK VALID",IF(I72="","AKUN BELUM DIISI",IF(AND(M72="Ya",N72=""),"KLAIM BELUM DIHUBUNGKAN",IF(AND(N72&lt;&gt;"",COUNTIF(REIMBURSE!$A$5:$A$124,N72)=0),"ID KLAIM TIDAK TERDAFTAR",IF(Q72="Ditolak","PENGELUARAN DITOLAK",IF(R72&gt;K72,"NILAI DISETUJUI MELEBIHI BIAYA",IF(AND(Q72="Disetujui",Z72=""),"PENYETUJU BELUM DIISI",IF(Q72&lt;&gt;"Disetujui","MENUNGGU PERSETUJUAN","OK")))))))))</f>
        <v/>
      </c>
      <c r="Z72" s="98"/>
      <c r="AA72" s="105"/>
      <c r="AB72" s="98"/>
      <c r="AC72" s="104" t="str">
        <f t="shared" si="15"/>
        <v/>
      </c>
    </row>
    <row r="73" spans="1:29">
      <c r="A73" s="9" t="str">
        <f t="shared" si="11"/>
        <v/>
      </c>
      <c r="B73" s="10"/>
      <c r="C73" s="9" t="str">
        <f t="shared" si="12"/>
        <v/>
      </c>
      <c r="D73" s="46"/>
      <c r="E73" s="47" t="str">
        <f>IF(D73="","",IFERROR(INDEX(PERKARA!$B$5:$B$104,MATCH(D73,PERKARA!$A$5:$A$104,0)),"ID TIDAK TERDAFTAR"))</f>
        <v/>
      </c>
      <c r="F73" s="6"/>
      <c r="G73" s="6"/>
      <c r="H73" s="6"/>
      <c r="I73" s="6"/>
      <c r="J73" s="6"/>
      <c r="K73" s="11"/>
      <c r="L73" s="6"/>
      <c r="M73" s="6"/>
      <c r="N73" s="6"/>
      <c r="O73" s="6"/>
      <c r="P73" s="6"/>
      <c r="Q73" s="103"/>
      <c r="R73" s="107"/>
      <c r="S73" s="11"/>
      <c r="T73" s="12" t="str">
        <f t="shared" si="13"/>
        <v/>
      </c>
      <c r="U73" s="10"/>
      <c r="V73" s="9" t="str">
        <f t="shared" si="14"/>
        <v/>
      </c>
      <c r="W73" s="6"/>
      <c r="X73" s="6"/>
      <c r="Y73" s="67" t="str">
        <f>IF(B73="","",IF(AND(D73&lt;&gt;"",E73="ID TIDAK TERDAFTAR"),"PERKARA TIDAK VALID",IF(I73="","AKUN BELUM DIISI",IF(AND(M73="Ya",N73=""),"KLAIM BELUM DIHUBUNGKAN",IF(AND(N73&lt;&gt;"",COUNTIF(REIMBURSE!$A$5:$A$124,N73)=0),"ID KLAIM TIDAK TERDAFTAR",IF(Q73="Ditolak","PENGELUARAN DITOLAK",IF(R73&gt;K73,"NILAI DISETUJUI MELEBIHI BIAYA",IF(AND(Q73="Disetujui",Z73=""),"PENYETUJU BELUM DIISI",IF(Q73&lt;&gt;"Disetujui","MENUNGGU PERSETUJUAN","OK")))))))))</f>
        <v/>
      </c>
      <c r="Z73" s="98"/>
      <c r="AA73" s="105"/>
      <c r="AB73" s="98"/>
      <c r="AC73" s="104" t="str">
        <f t="shared" si="15"/>
        <v/>
      </c>
    </row>
    <row r="74" spans="1:29">
      <c r="A74" s="9" t="str">
        <f t="shared" si="11"/>
        <v/>
      </c>
      <c r="B74" s="10"/>
      <c r="C74" s="9" t="str">
        <f t="shared" si="12"/>
        <v/>
      </c>
      <c r="D74" s="46"/>
      <c r="E74" s="47" t="str">
        <f>IF(D74="","",IFERROR(INDEX(PERKARA!$B$5:$B$104,MATCH(D74,PERKARA!$A$5:$A$104,0)),"ID TIDAK TERDAFTAR"))</f>
        <v/>
      </c>
      <c r="F74" s="6"/>
      <c r="G74" s="6"/>
      <c r="H74" s="6"/>
      <c r="I74" s="6"/>
      <c r="J74" s="6"/>
      <c r="K74" s="11"/>
      <c r="L74" s="6"/>
      <c r="M74" s="6"/>
      <c r="N74" s="6"/>
      <c r="O74" s="6"/>
      <c r="P74" s="6"/>
      <c r="Q74" s="103"/>
      <c r="R74" s="107"/>
      <c r="S74" s="11"/>
      <c r="T74" s="12" t="str">
        <f t="shared" si="13"/>
        <v/>
      </c>
      <c r="U74" s="10"/>
      <c r="V74" s="9" t="str">
        <f t="shared" si="14"/>
        <v/>
      </c>
      <c r="W74" s="6"/>
      <c r="X74" s="6"/>
      <c r="Y74" s="67" t="str">
        <f>IF(B74="","",IF(AND(D74&lt;&gt;"",E74="ID TIDAK TERDAFTAR"),"PERKARA TIDAK VALID",IF(I74="","AKUN BELUM DIISI",IF(AND(M74="Ya",N74=""),"KLAIM BELUM DIHUBUNGKAN",IF(AND(N74&lt;&gt;"",COUNTIF(REIMBURSE!$A$5:$A$124,N74)=0),"ID KLAIM TIDAK TERDAFTAR",IF(Q74="Ditolak","PENGELUARAN DITOLAK",IF(R74&gt;K74,"NILAI DISETUJUI MELEBIHI BIAYA",IF(AND(Q74="Disetujui",Z74=""),"PENYETUJU BELUM DIISI",IF(Q74&lt;&gt;"Disetujui","MENUNGGU PERSETUJUAN","OK")))))))))</f>
        <v/>
      </c>
      <c r="Z74" s="98"/>
      <c r="AA74" s="105"/>
      <c r="AB74" s="98"/>
      <c r="AC74" s="104" t="str">
        <f t="shared" si="15"/>
        <v/>
      </c>
    </row>
    <row r="75" spans="1:29">
      <c r="A75" s="9" t="str">
        <f t="shared" si="11"/>
        <v/>
      </c>
      <c r="B75" s="10"/>
      <c r="C75" s="9" t="str">
        <f t="shared" si="12"/>
        <v/>
      </c>
      <c r="D75" s="46"/>
      <c r="E75" s="47" t="str">
        <f>IF(D75="","",IFERROR(INDEX(PERKARA!$B$5:$B$104,MATCH(D75,PERKARA!$A$5:$A$104,0)),"ID TIDAK TERDAFTAR"))</f>
        <v/>
      </c>
      <c r="F75" s="6"/>
      <c r="G75" s="6"/>
      <c r="H75" s="6"/>
      <c r="I75" s="6"/>
      <c r="J75" s="6"/>
      <c r="K75" s="11"/>
      <c r="L75" s="6"/>
      <c r="M75" s="6"/>
      <c r="N75" s="6"/>
      <c r="O75" s="6"/>
      <c r="P75" s="6"/>
      <c r="Q75" s="103"/>
      <c r="R75" s="107"/>
      <c r="S75" s="11"/>
      <c r="T75" s="12" t="str">
        <f t="shared" si="13"/>
        <v/>
      </c>
      <c r="U75" s="10"/>
      <c r="V75" s="9" t="str">
        <f t="shared" si="14"/>
        <v/>
      </c>
      <c r="W75" s="6"/>
      <c r="X75" s="6"/>
      <c r="Y75" s="67" t="str">
        <f>IF(B75="","",IF(AND(D75&lt;&gt;"",E75="ID TIDAK TERDAFTAR"),"PERKARA TIDAK VALID",IF(I75="","AKUN BELUM DIISI",IF(AND(M75="Ya",N75=""),"KLAIM BELUM DIHUBUNGKAN",IF(AND(N75&lt;&gt;"",COUNTIF(REIMBURSE!$A$5:$A$124,N75)=0),"ID KLAIM TIDAK TERDAFTAR",IF(Q75="Ditolak","PENGELUARAN DITOLAK",IF(R75&gt;K75,"NILAI DISETUJUI MELEBIHI BIAYA",IF(AND(Q75="Disetujui",Z75=""),"PENYETUJU BELUM DIISI",IF(Q75&lt;&gt;"Disetujui","MENUNGGU PERSETUJUAN","OK")))))))))</f>
        <v/>
      </c>
      <c r="Z75" s="98"/>
      <c r="AA75" s="105"/>
      <c r="AB75" s="98"/>
      <c r="AC75" s="104" t="str">
        <f t="shared" si="15"/>
        <v/>
      </c>
    </row>
    <row r="76" spans="1:29">
      <c r="A76" s="9" t="str">
        <f t="shared" si="11"/>
        <v/>
      </c>
      <c r="B76" s="10"/>
      <c r="C76" s="9" t="str">
        <f t="shared" si="12"/>
        <v/>
      </c>
      <c r="D76" s="46"/>
      <c r="E76" s="47" t="str">
        <f>IF(D76="","",IFERROR(INDEX(PERKARA!$B$5:$B$104,MATCH(D76,PERKARA!$A$5:$A$104,0)),"ID TIDAK TERDAFTAR"))</f>
        <v/>
      </c>
      <c r="F76" s="6"/>
      <c r="G76" s="6"/>
      <c r="H76" s="6"/>
      <c r="I76" s="6"/>
      <c r="J76" s="6"/>
      <c r="K76" s="11"/>
      <c r="L76" s="6"/>
      <c r="M76" s="6"/>
      <c r="N76" s="6"/>
      <c r="O76" s="6"/>
      <c r="P76" s="6"/>
      <c r="Q76" s="103"/>
      <c r="R76" s="107"/>
      <c r="S76" s="11"/>
      <c r="T76" s="12" t="str">
        <f t="shared" si="13"/>
        <v/>
      </c>
      <c r="U76" s="10"/>
      <c r="V76" s="9" t="str">
        <f t="shared" si="14"/>
        <v/>
      </c>
      <c r="W76" s="6"/>
      <c r="X76" s="6"/>
      <c r="Y76" s="67" t="str">
        <f>IF(B76="","",IF(AND(D76&lt;&gt;"",E76="ID TIDAK TERDAFTAR"),"PERKARA TIDAK VALID",IF(I76="","AKUN BELUM DIISI",IF(AND(M76="Ya",N76=""),"KLAIM BELUM DIHUBUNGKAN",IF(AND(N76&lt;&gt;"",COUNTIF(REIMBURSE!$A$5:$A$124,N76)=0),"ID KLAIM TIDAK TERDAFTAR",IF(Q76="Ditolak","PENGELUARAN DITOLAK",IF(R76&gt;K76,"NILAI DISETUJUI MELEBIHI BIAYA",IF(AND(Q76="Disetujui",Z76=""),"PENYETUJU BELUM DIISI",IF(Q76&lt;&gt;"Disetujui","MENUNGGU PERSETUJUAN","OK")))))))))</f>
        <v/>
      </c>
      <c r="Z76" s="98"/>
      <c r="AA76" s="105"/>
      <c r="AB76" s="98"/>
      <c r="AC76" s="104" t="str">
        <f t="shared" si="15"/>
        <v/>
      </c>
    </row>
    <row r="77" spans="1:29">
      <c r="A77" s="9" t="str">
        <f t="shared" si="11"/>
        <v/>
      </c>
      <c r="B77" s="10"/>
      <c r="C77" s="9" t="str">
        <f t="shared" si="12"/>
        <v/>
      </c>
      <c r="D77" s="46"/>
      <c r="E77" s="47" t="str">
        <f>IF(D77="","",IFERROR(INDEX(PERKARA!$B$5:$B$104,MATCH(D77,PERKARA!$A$5:$A$104,0)),"ID TIDAK TERDAFTAR"))</f>
        <v/>
      </c>
      <c r="F77" s="6"/>
      <c r="G77" s="6"/>
      <c r="H77" s="6"/>
      <c r="I77" s="6"/>
      <c r="J77" s="6"/>
      <c r="K77" s="11"/>
      <c r="L77" s="6"/>
      <c r="M77" s="6"/>
      <c r="N77" s="6"/>
      <c r="O77" s="6"/>
      <c r="P77" s="6"/>
      <c r="Q77" s="103"/>
      <c r="R77" s="107"/>
      <c r="S77" s="11"/>
      <c r="T77" s="12" t="str">
        <f t="shared" si="13"/>
        <v/>
      </c>
      <c r="U77" s="10"/>
      <c r="V77" s="9" t="str">
        <f t="shared" si="14"/>
        <v/>
      </c>
      <c r="W77" s="6"/>
      <c r="X77" s="6"/>
      <c r="Y77" s="67" t="str">
        <f>IF(B77="","",IF(AND(D77&lt;&gt;"",E77="ID TIDAK TERDAFTAR"),"PERKARA TIDAK VALID",IF(I77="","AKUN BELUM DIISI",IF(AND(M77="Ya",N77=""),"KLAIM BELUM DIHUBUNGKAN",IF(AND(N77&lt;&gt;"",COUNTIF(REIMBURSE!$A$5:$A$124,N77)=0),"ID KLAIM TIDAK TERDAFTAR",IF(Q77="Ditolak","PENGELUARAN DITOLAK",IF(R77&gt;K77,"NILAI DISETUJUI MELEBIHI BIAYA",IF(AND(Q77="Disetujui",Z77=""),"PENYETUJU BELUM DIISI",IF(Q77&lt;&gt;"Disetujui","MENUNGGU PERSETUJUAN","OK")))))))))</f>
        <v/>
      </c>
      <c r="Z77" s="98"/>
      <c r="AA77" s="105"/>
      <c r="AB77" s="98"/>
      <c r="AC77" s="104" t="str">
        <f t="shared" si="15"/>
        <v/>
      </c>
    </row>
    <row r="78" spans="1:29">
      <c r="A78" s="9" t="str">
        <f t="shared" si="11"/>
        <v/>
      </c>
      <c r="B78" s="10"/>
      <c r="C78" s="9" t="str">
        <f t="shared" si="12"/>
        <v/>
      </c>
      <c r="D78" s="46"/>
      <c r="E78" s="47" t="str">
        <f>IF(D78="","",IFERROR(INDEX(PERKARA!$B$5:$B$104,MATCH(D78,PERKARA!$A$5:$A$104,0)),"ID TIDAK TERDAFTAR"))</f>
        <v/>
      </c>
      <c r="F78" s="6"/>
      <c r="G78" s="6"/>
      <c r="H78" s="6"/>
      <c r="I78" s="6"/>
      <c r="J78" s="6"/>
      <c r="K78" s="11"/>
      <c r="L78" s="6"/>
      <c r="M78" s="6"/>
      <c r="N78" s="6"/>
      <c r="O78" s="6"/>
      <c r="P78" s="6"/>
      <c r="Q78" s="103"/>
      <c r="R78" s="107"/>
      <c r="S78" s="11"/>
      <c r="T78" s="12" t="str">
        <f t="shared" si="13"/>
        <v/>
      </c>
      <c r="U78" s="10"/>
      <c r="V78" s="9" t="str">
        <f t="shared" si="14"/>
        <v/>
      </c>
      <c r="W78" s="6"/>
      <c r="X78" s="6"/>
      <c r="Y78" s="67" t="str">
        <f>IF(B78="","",IF(AND(D78&lt;&gt;"",E78="ID TIDAK TERDAFTAR"),"PERKARA TIDAK VALID",IF(I78="","AKUN BELUM DIISI",IF(AND(M78="Ya",N78=""),"KLAIM BELUM DIHUBUNGKAN",IF(AND(N78&lt;&gt;"",COUNTIF(REIMBURSE!$A$5:$A$124,N78)=0),"ID KLAIM TIDAK TERDAFTAR",IF(Q78="Ditolak","PENGELUARAN DITOLAK",IF(R78&gt;K78,"NILAI DISETUJUI MELEBIHI BIAYA",IF(AND(Q78="Disetujui",Z78=""),"PENYETUJU BELUM DIISI",IF(Q78&lt;&gt;"Disetujui","MENUNGGU PERSETUJUAN","OK")))))))))</f>
        <v/>
      </c>
      <c r="Z78" s="98"/>
      <c r="AA78" s="105"/>
      <c r="AB78" s="98"/>
      <c r="AC78" s="104" t="str">
        <f t="shared" si="15"/>
        <v/>
      </c>
    </row>
    <row r="79" spans="1:29">
      <c r="A79" s="9" t="str">
        <f t="shared" si="11"/>
        <v/>
      </c>
      <c r="B79" s="10"/>
      <c r="C79" s="9" t="str">
        <f t="shared" si="12"/>
        <v/>
      </c>
      <c r="D79" s="46"/>
      <c r="E79" s="47" t="str">
        <f>IF(D79="","",IFERROR(INDEX(PERKARA!$B$5:$B$104,MATCH(D79,PERKARA!$A$5:$A$104,0)),"ID TIDAK TERDAFTAR"))</f>
        <v/>
      </c>
      <c r="F79" s="6"/>
      <c r="G79" s="6"/>
      <c r="H79" s="6"/>
      <c r="I79" s="6"/>
      <c r="J79" s="6"/>
      <c r="K79" s="11"/>
      <c r="L79" s="6"/>
      <c r="M79" s="6"/>
      <c r="N79" s="6"/>
      <c r="O79" s="6"/>
      <c r="P79" s="6"/>
      <c r="Q79" s="103"/>
      <c r="R79" s="107"/>
      <c r="S79" s="11"/>
      <c r="T79" s="12" t="str">
        <f t="shared" si="13"/>
        <v/>
      </c>
      <c r="U79" s="10"/>
      <c r="V79" s="9" t="str">
        <f t="shared" si="14"/>
        <v/>
      </c>
      <c r="W79" s="6"/>
      <c r="X79" s="6"/>
      <c r="Y79" s="67" t="str">
        <f>IF(B79="","",IF(AND(D79&lt;&gt;"",E79="ID TIDAK TERDAFTAR"),"PERKARA TIDAK VALID",IF(I79="","AKUN BELUM DIISI",IF(AND(M79="Ya",N79=""),"KLAIM BELUM DIHUBUNGKAN",IF(AND(N79&lt;&gt;"",COUNTIF(REIMBURSE!$A$5:$A$124,N79)=0),"ID KLAIM TIDAK TERDAFTAR",IF(Q79="Ditolak","PENGELUARAN DITOLAK",IF(R79&gt;K79,"NILAI DISETUJUI MELEBIHI BIAYA",IF(AND(Q79="Disetujui",Z79=""),"PENYETUJU BELUM DIISI",IF(Q79&lt;&gt;"Disetujui","MENUNGGU PERSETUJUAN","OK")))))))))</f>
        <v/>
      </c>
      <c r="Z79" s="98"/>
      <c r="AA79" s="105"/>
      <c r="AB79" s="98"/>
      <c r="AC79" s="104" t="str">
        <f t="shared" si="15"/>
        <v/>
      </c>
    </row>
    <row r="80" spans="1:29">
      <c r="A80" s="9" t="str">
        <f t="shared" si="11"/>
        <v/>
      </c>
      <c r="B80" s="10"/>
      <c r="C80" s="9" t="str">
        <f t="shared" si="12"/>
        <v/>
      </c>
      <c r="D80" s="46"/>
      <c r="E80" s="47" t="str">
        <f>IF(D80="","",IFERROR(INDEX(PERKARA!$B$5:$B$104,MATCH(D80,PERKARA!$A$5:$A$104,0)),"ID TIDAK TERDAFTAR"))</f>
        <v/>
      </c>
      <c r="F80" s="6"/>
      <c r="G80" s="6"/>
      <c r="H80" s="6"/>
      <c r="I80" s="6"/>
      <c r="J80" s="6"/>
      <c r="K80" s="11"/>
      <c r="L80" s="6"/>
      <c r="M80" s="6"/>
      <c r="N80" s="6"/>
      <c r="O80" s="6"/>
      <c r="P80" s="6"/>
      <c r="Q80" s="103"/>
      <c r="R80" s="107"/>
      <c r="S80" s="11"/>
      <c r="T80" s="12" t="str">
        <f t="shared" si="13"/>
        <v/>
      </c>
      <c r="U80" s="10"/>
      <c r="V80" s="9" t="str">
        <f t="shared" si="14"/>
        <v/>
      </c>
      <c r="W80" s="6"/>
      <c r="X80" s="6"/>
      <c r="Y80" s="67" t="str">
        <f>IF(B80="","",IF(AND(D80&lt;&gt;"",E80="ID TIDAK TERDAFTAR"),"PERKARA TIDAK VALID",IF(I80="","AKUN BELUM DIISI",IF(AND(M80="Ya",N80=""),"KLAIM BELUM DIHUBUNGKAN",IF(AND(N80&lt;&gt;"",COUNTIF(REIMBURSE!$A$5:$A$124,N80)=0),"ID KLAIM TIDAK TERDAFTAR",IF(Q80="Ditolak","PENGELUARAN DITOLAK",IF(R80&gt;K80,"NILAI DISETUJUI MELEBIHI BIAYA",IF(AND(Q80="Disetujui",Z80=""),"PENYETUJU BELUM DIISI",IF(Q80&lt;&gt;"Disetujui","MENUNGGU PERSETUJUAN","OK")))))))))</f>
        <v/>
      </c>
      <c r="Z80" s="98"/>
      <c r="AA80" s="105"/>
      <c r="AB80" s="98"/>
      <c r="AC80" s="104" t="str">
        <f t="shared" si="15"/>
        <v/>
      </c>
    </row>
    <row r="81" spans="1:29">
      <c r="A81" s="9" t="str">
        <f t="shared" si="11"/>
        <v/>
      </c>
      <c r="B81" s="10"/>
      <c r="C81" s="9" t="str">
        <f t="shared" si="12"/>
        <v/>
      </c>
      <c r="D81" s="46"/>
      <c r="E81" s="47" t="str">
        <f>IF(D81="","",IFERROR(INDEX(PERKARA!$B$5:$B$104,MATCH(D81,PERKARA!$A$5:$A$104,0)),"ID TIDAK TERDAFTAR"))</f>
        <v/>
      </c>
      <c r="F81" s="6"/>
      <c r="G81" s="6"/>
      <c r="H81" s="6"/>
      <c r="I81" s="6"/>
      <c r="J81" s="6"/>
      <c r="K81" s="11"/>
      <c r="L81" s="6"/>
      <c r="M81" s="6"/>
      <c r="N81" s="6"/>
      <c r="O81" s="6"/>
      <c r="P81" s="6"/>
      <c r="Q81" s="103"/>
      <c r="R81" s="107"/>
      <c r="S81" s="11"/>
      <c r="T81" s="12" t="str">
        <f t="shared" si="13"/>
        <v/>
      </c>
      <c r="U81" s="10"/>
      <c r="V81" s="9" t="str">
        <f t="shared" si="14"/>
        <v/>
      </c>
      <c r="W81" s="6"/>
      <c r="X81" s="6"/>
      <c r="Y81" s="67" t="str">
        <f>IF(B81="","",IF(AND(D81&lt;&gt;"",E81="ID TIDAK TERDAFTAR"),"PERKARA TIDAK VALID",IF(I81="","AKUN BELUM DIISI",IF(AND(M81="Ya",N81=""),"KLAIM BELUM DIHUBUNGKAN",IF(AND(N81&lt;&gt;"",COUNTIF(REIMBURSE!$A$5:$A$124,N81)=0),"ID KLAIM TIDAK TERDAFTAR",IF(Q81="Ditolak","PENGELUARAN DITOLAK",IF(R81&gt;K81,"NILAI DISETUJUI MELEBIHI BIAYA",IF(AND(Q81="Disetujui",Z81=""),"PENYETUJU BELUM DIISI",IF(Q81&lt;&gt;"Disetujui","MENUNGGU PERSETUJUAN","OK")))))))))</f>
        <v/>
      </c>
      <c r="Z81" s="98"/>
      <c r="AA81" s="105"/>
      <c r="AB81" s="98"/>
      <c r="AC81" s="104" t="str">
        <f t="shared" si="15"/>
        <v/>
      </c>
    </row>
    <row r="82" spans="1:29">
      <c r="A82" s="9" t="str">
        <f t="shared" si="11"/>
        <v/>
      </c>
      <c r="B82" s="10"/>
      <c r="C82" s="9" t="str">
        <f t="shared" si="12"/>
        <v/>
      </c>
      <c r="D82" s="46"/>
      <c r="E82" s="47" t="str">
        <f>IF(D82="","",IFERROR(INDEX(PERKARA!$B$5:$B$104,MATCH(D82,PERKARA!$A$5:$A$104,0)),"ID TIDAK TERDAFTAR"))</f>
        <v/>
      </c>
      <c r="F82" s="6"/>
      <c r="G82" s="6"/>
      <c r="H82" s="6"/>
      <c r="I82" s="6"/>
      <c r="J82" s="6"/>
      <c r="K82" s="11"/>
      <c r="L82" s="6"/>
      <c r="M82" s="6"/>
      <c r="N82" s="6"/>
      <c r="O82" s="6"/>
      <c r="P82" s="6"/>
      <c r="Q82" s="103"/>
      <c r="R82" s="107"/>
      <c r="S82" s="11"/>
      <c r="T82" s="12" t="str">
        <f t="shared" si="13"/>
        <v/>
      </c>
      <c r="U82" s="10"/>
      <c r="V82" s="9" t="str">
        <f t="shared" si="14"/>
        <v/>
      </c>
      <c r="W82" s="6"/>
      <c r="X82" s="6"/>
      <c r="Y82" s="67" t="str">
        <f>IF(B82="","",IF(AND(D82&lt;&gt;"",E82="ID TIDAK TERDAFTAR"),"PERKARA TIDAK VALID",IF(I82="","AKUN BELUM DIISI",IF(AND(M82="Ya",N82=""),"KLAIM BELUM DIHUBUNGKAN",IF(AND(N82&lt;&gt;"",COUNTIF(REIMBURSE!$A$5:$A$124,N82)=0),"ID KLAIM TIDAK TERDAFTAR",IF(Q82="Ditolak","PENGELUARAN DITOLAK",IF(R82&gt;K82,"NILAI DISETUJUI MELEBIHI BIAYA",IF(AND(Q82="Disetujui",Z82=""),"PENYETUJU BELUM DIISI",IF(Q82&lt;&gt;"Disetujui","MENUNGGU PERSETUJUAN","OK")))))))))</f>
        <v/>
      </c>
      <c r="Z82" s="98"/>
      <c r="AA82" s="105"/>
      <c r="AB82" s="98"/>
      <c r="AC82" s="104" t="str">
        <f t="shared" si="15"/>
        <v/>
      </c>
    </row>
    <row r="83" spans="1:29">
      <c r="A83" s="9" t="str">
        <f t="shared" si="11"/>
        <v/>
      </c>
      <c r="B83" s="10"/>
      <c r="C83" s="9" t="str">
        <f t="shared" si="12"/>
        <v/>
      </c>
      <c r="D83" s="46"/>
      <c r="E83" s="47" t="str">
        <f>IF(D83="","",IFERROR(INDEX(PERKARA!$B$5:$B$104,MATCH(D83,PERKARA!$A$5:$A$104,0)),"ID TIDAK TERDAFTAR"))</f>
        <v/>
      </c>
      <c r="F83" s="6"/>
      <c r="G83" s="6"/>
      <c r="H83" s="6"/>
      <c r="I83" s="6"/>
      <c r="J83" s="6"/>
      <c r="K83" s="11"/>
      <c r="L83" s="6"/>
      <c r="M83" s="6"/>
      <c r="N83" s="6"/>
      <c r="O83" s="6"/>
      <c r="P83" s="6"/>
      <c r="Q83" s="103"/>
      <c r="R83" s="107"/>
      <c r="S83" s="11"/>
      <c r="T83" s="12" t="str">
        <f t="shared" si="13"/>
        <v/>
      </c>
      <c r="U83" s="10"/>
      <c r="V83" s="9" t="str">
        <f t="shared" si="14"/>
        <v/>
      </c>
      <c r="W83" s="6"/>
      <c r="X83" s="6"/>
      <c r="Y83" s="67" t="str">
        <f>IF(B83="","",IF(AND(D83&lt;&gt;"",E83="ID TIDAK TERDAFTAR"),"PERKARA TIDAK VALID",IF(I83="","AKUN BELUM DIISI",IF(AND(M83="Ya",N83=""),"KLAIM BELUM DIHUBUNGKAN",IF(AND(N83&lt;&gt;"",COUNTIF(REIMBURSE!$A$5:$A$124,N83)=0),"ID KLAIM TIDAK TERDAFTAR",IF(Q83="Ditolak","PENGELUARAN DITOLAK",IF(R83&gt;K83,"NILAI DISETUJUI MELEBIHI BIAYA",IF(AND(Q83="Disetujui",Z83=""),"PENYETUJU BELUM DIISI",IF(Q83&lt;&gt;"Disetujui","MENUNGGU PERSETUJUAN","OK")))))))))</f>
        <v/>
      </c>
      <c r="Z83" s="98"/>
      <c r="AA83" s="105"/>
      <c r="AB83" s="98"/>
      <c r="AC83" s="104" t="str">
        <f t="shared" si="15"/>
        <v/>
      </c>
    </row>
    <row r="84" spans="1:29">
      <c r="A84" s="9" t="str">
        <f t="shared" si="11"/>
        <v/>
      </c>
      <c r="B84" s="10"/>
      <c r="C84" s="9" t="str">
        <f t="shared" si="12"/>
        <v/>
      </c>
      <c r="D84" s="46"/>
      <c r="E84" s="47" t="str">
        <f>IF(D84="","",IFERROR(INDEX(PERKARA!$B$5:$B$104,MATCH(D84,PERKARA!$A$5:$A$104,0)),"ID TIDAK TERDAFTAR"))</f>
        <v/>
      </c>
      <c r="F84" s="6"/>
      <c r="G84" s="6"/>
      <c r="H84" s="6"/>
      <c r="I84" s="6"/>
      <c r="J84" s="6"/>
      <c r="K84" s="11"/>
      <c r="L84" s="6"/>
      <c r="M84" s="6"/>
      <c r="N84" s="6"/>
      <c r="O84" s="6"/>
      <c r="P84" s="6"/>
      <c r="Q84" s="103"/>
      <c r="R84" s="107"/>
      <c r="S84" s="11"/>
      <c r="T84" s="12" t="str">
        <f t="shared" si="13"/>
        <v/>
      </c>
      <c r="U84" s="10"/>
      <c r="V84" s="9" t="str">
        <f t="shared" si="14"/>
        <v/>
      </c>
      <c r="W84" s="6"/>
      <c r="X84" s="6"/>
      <c r="Y84" s="67" t="str">
        <f>IF(B84="","",IF(AND(D84&lt;&gt;"",E84="ID TIDAK TERDAFTAR"),"PERKARA TIDAK VALID",IF(I84="","AKUN BELUM DIISI",IF(AND(M84="Ya",N84=""),"KLAIM BELUM DIHUBUNGKAN",IF(AND(N84&lt;&gt;"",COUNTIF(REIMBURSE!$A$5:$A$124,N84)=0),"ID KLAIM TIDAK TERDAFTAR",IF(Q84="Ditolak","PENGELUARAN DITOLAK",IF(R84&gt;K84,"NILAI DISETUJUI MELEBIHI BIAYA",IF(AND(Q84="Disetujui",Z84=""),"PENYETUJU BELUM DIISI",IF(Q84&lt;&gt;"Disetujui","MENUNGGU PERSETUJUAN","OK")))))))))</f>
        <v/>
      </c>
      <c r="Z84" s="98"/>
      <c r="AA84" s="105"/>
      <c r="AB84" s="98"/>
      <c r="AC84" s="104" t="str">
        <f t="shared" si="15"/>
        <v/>
      </c>
    </row>
    <row r="85" spans="1:29">
      <c r="A85" s="9" t="str">
        <f t="shared" si="11"/>
        <v/>
      </c>
      <c r="B85" s="10"/>
      <c r="C85" s="9" t="str">
        <f t="shared" si="12"/>
        <v/>
      </c>
      <c r="D85" s="46"/>
      <c r="E85" s="47" t="str">
        <f>IF(D85="","",IFERROR(INDEX(PERKARA!$B$5:$B$104,MATCH(D85,PERKARA!$A$5:$A$104,0)),"ID TIDAK TERDAFTAR"))</f>
        <v/>
      </c>
      <c r="F85" s="6"/>
      <c r="G85" s="6"/>
      <c r="H85" s="6"/>
      <c r="I85" s="6"/>
      <c r="J85" s="6"/>
      <c r="K85" s="11"/>
      <c r="L85" s="6"/>
      <c r="M85" s="6"/>
      <c r="N85" s="6"/>
      <c r="O85" s="6"/>
      <c r="P85" s="6"/>
      <c r="Q85" s="103"/>
      <c r="R85" s="107"/>
      <c r="S85" s="11"/>
      <c r="T85" s="12" t="str">
        <f t="shared" si="13"/>
        <v/>
      </c>
      <c r="U85" s="10"/>
      <c r="V85" s="9" t="str">
        <f t="shared" si="14"/>
        <v/>
      </c>
      <c r="W85" s="6"/>
      <c r="X85" s="6"/>
      <c r="Y85" s="67" t="str">
        <f>IF(B85="","",IF(AND(D85&lt;&gt;"",E85="ID TIDAK TERDAFTAR"),"PERKARA TIDAK VALID",IF(I85="","AKUN BELUM DIISI",IF(AND(M85="Ya",N85=""),"KLAIM BELUM DIHUBUNGKAN",IF(AND(N85&lt;&gt;"",COUNTIF(REIMBURSE!$A$5:$A$124,N85)=0),"ID KLAIM TIDAK TERDAFTAR",IF(Q85="Ditolak","PENGELUARAN DITOLAK",IF(R85&gt;K85,"NILAI DISETUJUI MELEBIHI BIAYA",IF(AND(Q85="Disetujui",Z85=""),"PENYETUJU BELUM DIISI",IF(Q85&lt;&gt;"Disetujui","MENUNGGU PERSETUJUAN","OK")))))))))</f>
        <v/>
      </c>
      <c r="Z85" s="98"/>
      <c r="AA85" s="105"/>
      <c r="AB85" s="98"/>
      <c r="AC85" s="104" t="str">
        <f t="shared" si="15"/>
        <v/>
      </c>
    </row>
    <row r="86" spans="1:29">
      <c r="A86" s="9" t="str">
        <f t="shared" si="11"/>
        <v/>
      </c>
      <c r="B86" s="10"/>
      <c r="C86" s="9" t="str">
        <f t="shared" si="12"/>
        <v/>
      </c>
      <c r="D86" s="46"/>
      <c r="E86" s="47" t="str">
        <f>IF(D86="","",IFERROR(INDEX(PERKARA!$B$5:$B$104,MATCH(D86,PERKARA!$A$5:$A$104,0)),"ID TIDAK TERDAFTAR"))</f>
        <v/>
      </c>
      <c r="F86" s="6"/>
      <c r="G86" s="6"/>
      <c r="H86" s="6"/>
      <c r="I86" s="6"/>
      <c r="J86" s="6"/>
      <c r="K86" s="11"/>
      <c r="L86" s="6"/>
      <c r="M86" s="6"/>
      <c r="N86" s="6"/>
      <c r="O86" s="6"/>
      <c r="P86" s="6"/>
      <c r="Q86" s="103"/>
      <c r="R86" s="107"/>
      <c r="S86" s="11"/>
      <c r="T86" s="12" t="str">
        <f t="shared" si="13"/>
        <v/>
      </c>
      <c r="U86" s="10"/>
      <c r="V86" s="9" t="str">
        <f t="shared" si="14"/>
        <v/>
      </c>
      <c r="W86" s="6"/>
      <c r="X86" s="6"/>
      <c r="Y86" s="67" t="str">
        <f>IF(B86="","",IF(AND(D86&lt;&gt;"",E86="ID TIDAK TERDAFTAR"),"PERKARA TIDAK VALID",IF(I86="","AKUN BELUM DIISI",IF(AND(M86="Ya",N86=""),"KLAIM BELUM DIHUBUNGKAN",IF(AND(N86&lt;&gt;"",COUNTIF(REIMBURSE!$A$5:$A$124,N86)=0),"ID KLAIM TIDAK TERDAFTAR",IF(Q86="Ditolak","PENGELUARAN DITOLAK",IF(R86&gt;K86,"NILAI DISETUJUI MELEBIHI BIAYA",IF(AND(Q86="Disetujui",Z86=""),"PENYETUJU BELUM DIISI",IF(Q86&lt;&gt;"Disetujui","MENUNGGU PERSETUJUAN","OK")))))))))</f>
        <v/>
      </c>
      <c r="Z86" s="98"/>
      <c r="AA86" s="105"/>
      <c r="AB86" s="98"/>
      <c r="AC86" s="104" t="str">
        <f t="shared" si="15"/>
        <v/>
      </c>
    </row>
    <row r="87" spans="1:29">
      <c r="A87" s="9" t="str">
        <f t="shared" si="11"/>
        <v/>
      </c>
      <c r="B87" s="10"/>
      <c r="C87" s="9" t="str">
        <f t="shared" si="12"/>
        <v/>
      </c>
      <c r="D87" s="46"/>
      <c r="E87" s="47" t="str">
        <f>IF(D87="","",IFERROR(INDEX(PERKARA!$B$5:$B$104,MATCH(D87,PERKARA!$A$5:$A$104,0)),"ID TIDAK TERDAFTAR"))</f>
        <v/>
      </c>
      <c r="F87" s="6"/>
      <c r="G87" s="6"/>
      <c r="H87" s="6"/>
      <c r="I87" s="6"/>
      <c r="J87" s="6"/>
      <c r="K87" s="11"/>
      <c r="L87" s="6"/>
      <c r="M87" s="6"/>
      <c r="N87" s="6"/>
      <c r="O87" s="6"/>
      <c r="P87" s="6"/>
      <c r="Q87" s="103"/>
      <c r="R87" s="107"/>
      <c r="S87" s="11"/>
      <c r="T87" s="12" t="str">
        <f t="shared" si="13"/>
        <v/>
      </c>
      <c r="U87" s="10"/>
      <c r="V87" s="9" t="str">
        <f t="shared" si="14"/>
        <v/>
      </c>
      <c r="W87" s="6"/>
      <c r="X87" s="6"/>
      <c r="Y87" s="67" t="str">
        <f>IF(B87="","",IF(AND(D87&lt;&gt;"",E87="ID TIDAK TERDAFTAR"),"PERKARA TIDAK VALID",IF(I87="","AKUN BELUM DIISI",IF(AND(M87="Ya",N87=""),"KLAIM BELUM DIHUBUNGKAN",IF(AND(N87&lt;&gt;"",COUNTIF(REIMBURSE!$A$5:$A$124,N87)=0),"ID KLAIM TIDAK TERDAFTAR",IF(Q87="Ditolak","PENGELUARAN DITOLAK",IF(R87&gt;K87,"NILAI DISETUJUI MELEBIHI BIAYA",IF(AND(Q87="Disetujui",Z87=""),"PENYETUJU BELUM DIISI",IF(Q87&lt;&gt;"Disetujui","MENUNGGU PERSETUJUAN","OK")))))))))</f>
        <v/>
      </c>
      <c r="Z87" s="98"/>
      <c r="AA87" s="105"/>
      <c r="AB87" s="98"/>
      <c r="AC87" s="104" t="str">
        <f t="shared" si="15"/>
        <v/>
      </c>
    </row>
    <row r="88" spans="1:29">
      <c r="A88" s="9" t="str">
        <f t="shared" si="11"/>
        <v/>
      </c>
      <c r="B88" s="10"/>
      <c r="C88" s="9" t="str">
        <f t="shared" si="12"/>
        <v/>
      </c>
      <c r="D88" s="46"/>
      <c r="E88" s="47" t="str">
        <f>IF(D88="","",IFERROR(INDEX(PERKARA!$B$5:$B$104,MATCH(D88,PERKARA!$A$5:$A$104,0)),"ID TIDAK TERDAFTAR"))</f>
        <v/>
      </c>
      <c r="F88" s="6"/>
      <c r="G88" s="6"/>
      <c r="H88" s="6"/>
      <c r="I88" s="6"/>
      <c r="J88" s="6"/>
      <c r="K88" s="11"/>
      <c r="L88" s="6"/>
      <c r="M88" s="6"/>
      <c r="N88" s="6"/>
      <c r="O88" s="6"/>
      <c r="P88" s="6"/>
      <c r="Q88" s="103"/>
      <c r="R88" s="107"/>
      <c r="S88" s="11"/>
      <c r="T88" s="12" t="str">
        <f t="shared" si="13"/>
        <v/>
      </c>
      <c r="U88" s="10"/>
      <c r="V88" s="9" t="str">
        <f t="shared" si="14"/>
        <v/>
      </c>
      <c r="W88" s="6"/>
      <c r="X88" s="6"/>
      <c r="Y88" s="67" t="str">
        <f>IF(B88="","",IF(AND(D88&lt;&gt;"",E88="ID TIDAK TERDAFTAR"),"PERKARA TIDAK VALID",IF(I88="","AKUN BELUM DIISI",IF(AND(M88="Ya",N88=""),"KLAIM BELUM DIHUBUNGKAN",IF(AND(N88&lt;&gt;"",COUNTIF(REIMBURSE!$A$5:$A$124,N88)=0),"ID KLAIM TIDAK TERDAFTAR",IF(Q88="Ditolak","PENGELUARAN DITOLAK",IF(R88&gt;K88,"NILAI DISETUJUI MELEBIHI BIAYA",IF(AND(Q88="Disetujui",Z88=""),"PENYETUJU BELUM DIISI",IF(Q88&lt;&gt;"Disetujui","MENUNGGU PERSETUJUAN","OK")))))))))</f>
        <v/>
      </c>
      <c r="Z88" s="98"/>
      <c r="AA88" s="105"/>
      <c r="AB88" s="98"/>
      <c r="AC88" s="104" t="str">
        <f t="shared" si="15"/>
        <v/>
      </c>
    </row>
    <row r="89" spans="1:29">
      <c r="A89" s="9" t="str">
        <f t="shared" si="11"/>
        <v/>
      </c>
      <c r="B89" s="10"/>
      <c r="C89" s="9" t="str">
        <f t="shared" si="12"/>
        <v/>
      </c>
      <c r="D89" s="46"/>
      <c r="E89" s="47" t="str">
        <f>IF(D89="","",IFERROR(INDEX(PERKARA!$B$5:$B$104,MATCH(D89,PERKARA!$A$5:$A$104,0)),"ID TIDAK TERDAFTAR"))</f>
        <v/>
      </c>
      <c r="F89" s="6"/>
      <c r="G89" s="6"/>
      <c r="H89" s="6"/>
      <c r="I89" s="6"/>
      <c r="J89" s="6"/>
      <c r="K89" s="11"/>
      <c r="L89" s="6"/>
      <c r="M89" s="6"/>
      <c r="N89" s="6"/>
      <c r="O89" s="6"/>
      <c r="P89" s="6"/>
      <c r="Q89" s="103"/>
      <c r="R89" s="107"/>
      <c r="S89" s="11"/>
      <c r="T89" s="12" t="str">
        <f t="shared" si="13"/>
        <v/>
      </c>
      <c r="U89" s="10"/>
      <c r="V89" s="9" t="str">
        <f t="shared" si="14"/>
        <v/>
      </c>
      <c r="W89" s="6"/>
      <c r="X89" s="6"/>
      <c r="Y89" s="67" t="str">
        <f>IF(B89="","",IF(AND(D89&lt;&gt;"",E89="ID TIDAK TERDAFTAR"),"PERKARA TIDAK VALID",IF(I89="","AKUN BELUM DIISI",IF(AND(M89="Ya",N89=""),"KLAIM BELUM DIHUBUNGKAN",IF(AND(N89&lt;&gt;"",COUNTIF(REIMBURSE!$A$5:$A$124,N89)=0),"ID KLAIM TIDAK TERDAFTAR",IF(Q89="Ditolak","PENGELUARAN DITOLAK",IF(R89&gt;K89,"NILAI DISETUJUI MELEBIHI BIAYA",IF(AND(Q89="Disetujui",Z89=""),"PENYETUJU BELUM DIISI",IF(Q89&lt;&gt;"Disetujui","MENUNGGU PERSETUJUAN","OK")))))))))</f>
        <v/>
      </c>
      <c r="Z89" s="98"/>
      <c r="AA89" s="105"/>
      <c r="AB89" s="98"/>
      <c r="AC89" s="104" t="str">
        <f t="shared" si="15"/>
        <v/>
      </c>
    </row>
    <row r="90" spans="1:29">
      <c r="A90" s="9" t="str">
        <f t="shared" si="11"/>
        <v/>
      </c>
      <c r="B90" s="10"/>
      <c r="C90" s="9" t="str">
        <f t="shared" si="12"/>
        <v/>
      </c>
      <c r="D90" s="46"/>
      <c r="E90" s="47" t="str">
        <f>IF(D90="","",IFERROR(INDEX(PERKARA!$B$5:$B$104,MATCH(D90,PERKARA!$A$5:$A$104,0)),"ID TIDAK TERDAFTAR"))</f>
        <v/>
      </c>
      <c r="F90" s="6"/>
      <c r="G90" s="6"/>
      <c r="H90" s="6"/>
      <c r="I90" s="6"/>
      <c r="J90" s="6"/>
      <c r="K90" s="11"/>
      <c r="L90" s="6"/>
      <c r="M90" s="6"/>
      <c r="N90" s="6"/>
      <c r="O90" s="6"/>
      <c r="P90" s="6"/>
      <c r="Q90" s="103"/>
      <c r="R90" s="107"/>
      <c r="S90" s="11"/>
      <c r="T90" s="12" t="str">
        <f t="shared" si="13"/>
        <v/>
      </c>
      <c r="U90" s="10"/>
      <c r="V90" s="9" t="str">
        <f t="shared" si="14"/>
        <v/>
      </c>
      <c r="W90" s="6"/>
      <c r="X90" s="6"/>
      <c r="Y90" s="67" t="str">
        <f>IF(B90="","",IF(AND(D90&lt;&gt;"",E90="ID TIDAK TERDAFTAR"),"PERKARA TIDAK VALID",IF(I90="","AKUN BELUM DIISI",IF(AND(M90="Ya",N90=""),"KLAIM BELUM DIHUBUNGKAN",IF(AND(N90&lt;&gt;"",COUNTIF(REIMBURSE!$A$5:$A$124,N90)=0),"ID KLAIM TIDAK TERDAFTAR",IF(Q90="Ditolak","PENGELUARAN DITOLAK",IF(R90&gt;K90,"NILAI DISETUJUI MELEBIHI BIAYA",IF(AND(Q90="Disetujui",Z90=""),"PENYETUJU BELUM DIISI",IF(Q90&lt;&gt;"Disetujui","MENUNGGU PERSETUJUAN","OK")))))))))</f>
        <v/>
      </c>
      <c r="Z90" s="98"/>
      <c r="AA90" s="105"/>
      <c r="AB90" s="98"/>
      <c r="AC90" s="104" t="str">
        <f t="shared" si="15"/>
        <v/>
      </c>
    </row>
    <row r="91" spans="1:29">
      <c r="A91" s="9" t="str">
        <f t="shared" si="11"/>
        <v/>
      </c>
      <c r="B91" s="10"/>
      <c r="C91" s="9" t="str">
        <f t="shared" si="12"/>
        <v/>
      </c>
      <c r="D91" s="46"/>
      <c r="E91" s="47" t="str">
        <f>IF(D91="","",IFERROR(INDEX(PERKARA!$B$5:$B$104,MATCH(D91,PERKARA!$A$5:$A$104,0)),"ID TIDAK TERDAFTAR"))</f>
        <v/>
      </c>
      <c r="F91" s="6"/>
      <c r="G91" s="6"/>
      <c r="H91" s="6"/>
      <c r="I91" s="6"/>
      <c r="J91" s="6"/>
      <c r="K91" s="11"/>
      <c r="L91" s="6"/>
      <c r="M91" s="6"/>
      <c r="N91" s="6"/>
      <c r="O91" s="6"/>
      <c r="P91" s="6"/>
      <c r="Q91" s="103"/>
      <c r="R91" s="107"/>
      <c r="S91" s="11"/>
      <c r="T91" s="12" t="str">
        <f t="shared" si="13"/>
        <v/>
      </c>
      <c r="U91" s="10"/>
      <c r="V91" s="9" t="str">
        <f t="shared" si="14"/>
        <v/>
      </c>
      <c r="W91" s="6"/>
      <c r="X91" s="6"/>
      <c r="Y91" s="67" t="str">
        <f>IF(B91="","",IF(AND(D91&lt;&gt;"",E91="ID TIDAK TERDAFTAR"),"PERKARA TIDAK VALID",IF(I91="","AKUN BELUM DIISI",IF(AND(M91="Ya",N91=""),"KLAIM BELUM DIHUBUNGKAN",IF(AND(N91&lt;&gt;"",COUNTIF(REIMBURSE!$A$5:$A$124,N91)=0),"ID KLAIM TIDAK TERDAFTAR",IF(Q91="Ditolak","PENGELUARAN DITOLAK",IF(R91&gt;K91,"NILAI DISETUJUI MELEBIHI BIAYA",IF(AND(Q91="Disetujui",Z91=""),"PENYETUJU BELUM DIISI",IF(Q91&lt;&gt;"Disetujui","MENUNGGU PERSETUJUAN","OK")))))))))</f>
        <v/>
      </c>
      <c r="Z91" s="98"/>
      <c r="AA91" s="105"/>
      <c r="AB91" s="98"/>
      <c r="AC91" s="104" t="str">
        <f t="shared" si="15"/>
        <v/>
      </c>
    </row>
    <row r="92" spans="1:29">
      <c r="A92" s="9" t="str">
        <f t="shared" si="11"/>
        <v/>
      </c>
      <c r="B92" s="10"/>
      <c r="C92" s="9" t="str">
        <f t="shared" si="12"/>
        <v/>
      </c>
      <c r="D92" s="46"/>
      <c r="E92" s="47" t="str">
        <f>IF(D92="","",IFERROR(INDEX(PERKARA!$B$5:$B$104,MATCH(D92,PERKARA!$A$5:$A$104,0)),"ID TIDAK TERDAFTAR"))</f>
        <v/>
      </c>
      <c r="F92" s="6"/>
      <c r="G92" s="6"/>
      <c r="H92" s="6"/>
      <c r="I92" s="6"/>
      <c r="J92" s="6"/>
      <c r="K92" s="11"/>
      <c r="L92" s="6"/>
      <c r="M92" s="6"/>
      <c r="N92" s="6"/>
      <c r="O92" s="6"/>
      <c r="P92" s="6"/>
      <c r="Q92" s="103"/>
      <c r="R92" s="107"/>
      <c r="S92" s="11"/>
      <c r="T92" s="12" t="str">
        <f t="shared" si="13"/>
        <v/>
      </c>
      <c r="U92" s="10"/>
      <c r="V92" s="9" t="str">
        <f t="shared" si="14"/>
        <v/>
      </c>
      <c r="W92" s="6"/>
      <c r="X92" s="6"/>
      <c r="Y92" s="67" t="str">
        <f>IF(B92="","",IF(AND(D92&lt;&gt;"",E92="ID TIDAK TERDAFTAR"),"PERKARA TIDAK VALID",IF(I92="","AKUN BELUM DIISI",IF(AND(M92="Ya",N92=""),"KLAIM BELUM DIHUBUNGKAN",IF(AND(N92&lt;&gt;"",COUNTIF(REIMBURSE!$A$5:$A$124,N92)=0),"ID KLAIM TIDAK TERDAFTAR",IF(Q92="Ditolak","PENGELUARAN DITOLAK",IF(R92&gt;K92,"NILAI DISETUJUI MELEBIHI BIAYA",IF(AND(Q92="Disetujui",Z92=""),"PENYETUJU BELUM DIISI",IF(Q92&lt;&gt;"Disetujui","MENUNGGU PERSETUJUAN","OK")))))))))</f>
        <v/>
      </c>
      <c r="Z92" s="98"/>
      <c r="AA92" s="105"/>
      <c r="AB92" s="98"/>
      <c r="AC92" s="104" t="str">
        <f t="shared" si="15"/>
        <v/>
      </c>
    </row>
    <row r="93" spans="1:29">
      <c r="A93" s="9" t="str">
        <f t="shared" si="11"/>
        <v/>
      </c>
      <c r="B93" s="10"/>
      <c r="C93" s="9" t="str">
        <f t="shared" si="12"/>
        <v/>
      </c>
      <c r="D93" s="46"/>
      <c r="E93" s="47" t="str">
        <f>IF(D93="","",IFERROR(INDEX(PERKARA!$B$5:$B$104,MATCH(D93,PERKARA!$A$5:$A$104,0)),"ID TIDAK TERDAFTAR"))</f>
        <v/>
      </c>
      <c r="F93" s="6"/>
      <c r="G93" s="6"/>
      <c r="H93" s="6"/>
      <c r="I93" s="6"/>
      <c r="J93" s="6"/>
      <c r="K93" s="11"/>
      <c r="L93" s="6"/>
      <c r="M93" s="6"/>
      <c r="N93" s="6"/>
      <c r="O93" s="6"/>
      <c r="P93" s="6"/>
      <c r="Q93" s="103"/>
      <c r="R93" s="107"/>
      <c r="S93" s="11"/>
      <c r="T93" s="12" t="str">
        <f t="shared" si="13"/>
        <v/>
      </c>
      <c r="U93" s="10"/>
      <c r="V93" s="9" t="str">
        <f t="shared" si="14"/>
        <v/>
      </c>
      <c r="W93" s="6"/>
      <c r="X93" s="6"/>
      <c r="Y93" s="67" t="str">
        <f>IF(B93="","",IF(AND(D93&lt;&gt;"",E93="ID TIDAK TERDAFTAR"),"PERKARA TIDAK VALID",IF(I93="","AKUN BELUM DIISI",IF(AND(M93="Ya",N93=""),"KLAIM BELUM DIHUBUNGKAN",IF(AND(N93&lt;&gt;"",COUNTIF(REIMBURSE!$A$5:$A$124,N93)=0),"ID KLAIM TIDAK TERDAFTAR",IF(Q93="Ditolak","PENGELUARAN DITOLAK",IF(R93&gt;K93,"NILAI DISETUJUI MELEBIHI BIAYA",IF(AND(Q93="Disetujui",Z93=""),"PENYETUJU BELUM DIISI",IF(Q93&lt;&gt;"Disetujui","MENUNGGU PERSETUJUAN","OK")))))))))</f>
        <v/>
      </c>
      <c r="Z93" s="98"/>
      <c r="AA93" s="105"/>
      <c r="AB93" s="98"/>
      <c r="AC93" s="104" t="str">
        <f t="shared" si="15"/>
        <v/>
      </c>
    </row>
    <row r="94" spans="1:29">
      <c r="A94" s="9" t="str">
        <f t="shared" si="11"/>
        <v/>
      </c>
      <c r="B94" s="10"/>
      <c r="C94" s="9" t="str">
        <f t="shared" si="12"/>
        <v/>
      </c>
      <c r="D94" s="46"/>
      <c r="E94" s="47" t="str">
        <f>IF(D94="","",IFERROR(INDEX(PERKARA!$B$5:$B$104,MATCH(D94,PERKARA!$A$5:$A$104,0)),"ID TIDAK TERDAFTAR"))</f>
        <v/>
      </c>
      <c r="F94" s="6"/>
      <c r="G94" s="6"/>
      <c r="H94" s="6"/>
      <c r="I94" s="6"/>
      <c r="J94" s="6"/>
      <c r="K94" s="11"/>
      <c r="L94" s="6"/>
      <c r="M94" s="6"/>
      <c r="N94" s="6"/>
      <c r="O94" s="6"/>
      <c r="P94" s="6"/>
      <c r="Q94" s="103"/>
      <c r="R94" s="107"/>
      <c r="S94" s="11"/>
      <c r="T94" s="12" t="str">
        <f t="shared" si="13"/>
        <v/>
      </c>
      <c r="U94" s="10"/>
      <c r="V94" s="9" t="str">
        <f t="shared" si="14"/>
        <v/>
      </c>
      <c r="W94" s="6"/>
      <c r="X94" s="6"/>
      <c r="Y94" s="67" t="str">
        <f>IF(B94="","",IF(AND(D94&lt;&gt;"",E94="ID TIDAK TERDAFTAR"),"PERKARA TIDAK VALID",IF(I94="","AKUN BELUM DIISI",IF(AND(M94="Ya",N94=""),"KLAIM BELUM DIHUBUNGKAN",IF(AND(N94&lt;&gt;"",COUNTIF(REIMBURSE!$A$5:$A$124,N94)=0),"ID KLAIM TIDAK TERDAFTAR",IF(Q94="Ditolak","PENGELUARAN DITOLAK",IF(R94&gt;K94,"NILAI DISETUJUI MELEBIHI BIAYA",IF(AND(Q94="Disetujui",Z94=""),"PENYETUJU BELUM DIISI",IF(Q94&lt;&gt;"Disetujui","MENUNGGU PERSETUJUAN","OK")))))))))</f>
        <v/>
      </c>
      <c r="Z94" s="98"/>
      <c r="AA94" s="105"/>
      <c r="AB94" s="98"/>
      <c r="AC94" s="104" t="str">
        <f t="shared" si="15"/>
        <v/>
      </c>
    </row>
    <row r="95" spans="1:29">
      <c r="A95" s="9" t="str">
        <f t="shared" si="11"/>
        <v/>
      </c>
      <c r="B95" s="10"/>
      <c r="C95" s="9" t="str">
        <f t="shared" si="12"/>
        <v/>
      </c>
      <c r="D95" s="46"/>
      <c r="E95" s="47" t="str">
        <f>IF(D95="","",IFERROR(INDEX(PERKARA!$B$5:$B$104,MATCH(D95,PERKARA!$A$5:$A$104,0)),"ID TIDAK TERDAFTAR"))</f>
        <v/>
      </c>
      <c r="F95" s="6"/>
      <c r="G95" s="6"/>
      <c r="H95" s="6"/>
      <c r="I95" s="6"/>
      <c r="J95" s="6"/>
      <c r="K95" s="11"/>
      <c r="L95" s="6"/>
      <c r="M95" s="6"/>
      <c r="N95" s="6"/>
      <c r="O95" s="6"/>
      <c r="P95" s="6"/>
      <c r="Q95" s="103"/>
      <c r="R95" s="107"/>
      <c r="S95" s="11"/>
      <c r="T95" s="12" t="str">
        <f t="shared" si="13"/>
        <v/>
      </c>
      <c r="U95" s="10"/>
      <c r="V95" s="9" t="str">
        <f t="shared" si="14"/>
        <v/>
      </c>
      <c r="W95" s="6"/>
      <c r="X95" s="6"/>
      <c r="Y95" s="67" t="str">
        <f>IF(B95="","",IF(AND(D95&lt;&gt;"",E95="ID TIDAK TERDAFTAR"),"PERKARA TIDAK VALID",IF(I95="","AKUN BELUM DIISI",IF(AND(M95="Ya",N95=""),"KLAIM BELUM DIHUBUNGKAN",IF(AND(N95&lt;&gt;"",COUNTIF(REIMBURSE!$A$5:$A$124,N95)=0),"ID KLAIM TIDAK TERDAFTAR",IF(Q95="Ditolak","PENGELUARAN DITOLAK",IF(R95&gt;K95,"NILAI DISETUJUI MELEBIHI BIAYA",IF(AND(Q95="Disetujui",Z95=""),"PENYETUJU BELUM DIISI",IF(Q95&lt;&gt;"Disetujui","MENUNGGU PERSETUJUAN","OK")))))))))</f>
        <v/>
      </c>
      <c r="Z95" s="98"/>
      <c r="AA95" s="105"/>
      <c r="AB95" s="98"/>
      <c r="AC95" s="104" t="str">
        <f t="shared" si="15"/>
        <v/>
      </c>
    </row>
    <row r="96" spans="1:29">
      <c r="A96" s="9" t="str">
        <f t="shared" si="11"/>
        <v/>
      </c>
      <c r="B96" s="10"/>
      <c r="C96" s="9" t="str">
        <f t="shared" si="12"/>
        <v/>
      </c>
      <c r="D96" s="46"/>
      <c r="E96" s="47" t="str">
        <f>IF(D96="","",IFERROR(INDEX(PERKARA!$B$5:$B$104,MATCH(D96,PERKARA!$A$5:$A$104,0)),"ID TIDAK TERDAFTAR"))</f>
        <v/>
      </c>
      <c r="F96" s="6"/>
      <c r="G96" s="6"/>
      <c r="H96" s="6"/>
      <c r="I96" s="6"/>
      <c r="J96" s="6"/>
      <c r="K96" s="11"/>
      <c r="L96" s="6"/>
      <c r="M96" s="6"/>
      <c r="N96" s="6"/>
      <c r="O96" s="6"/>
      <c r="P96" s="6"/>
      <c r="Q96" s="103"/>
      <c r="R96" s="107"/>
      <c r="S96" s="11"/>
      <c r="T96" s="12" t="str">
        <f t="shared" si="13"/>
        <v/>
      </c>
      <c r="U96" s="10"/>
      <c r="V96" s="9" t="str">
        <f t="shared" si="14"/>
        <v/>
      </c>
      <c r="W96" s="6"/>
      <c r="X96" s="6"/>
      <c r="Y96" s="67" t="str">
        <f>IF(B96="","",IF(AND(D96&lt;&gt;"",E96="ID TIDAK TERDAFTAR"),"PERKARA TIDAK VALID",IF(I96="","AKUN BELUM DIISI",IF(AND(M96="Ya",N96=""),"KLAIM BELUM DIHUBUNGKAN",IF(AND(N96&lt;&gt;"",COUNTIF(REIMBURSE!$A$5:$A$124,N96)=0),"ID KLAIM TIDAK TERDAFTAR",IF(Q96="Ditolak","PENGELUARAN DITOLAK",IF(R96&gt;K96,"NILAI DISETUJUI MELEBIHI BIAYA",IF(AND(Q96="Disetujui",Z96=""),"PENYETUJU BELUM DIISI",IF(Q96&lt;&gt;"Disetujui","MENUNGGU PERSETUJUAN","OK")))))))))</f>
        <v/>
      </c>
      <c r="Z96" s="98"/>
      <c r="AA96" s="105"/>
      <c r="AB96" s="98"/>
      <c r="AC96" s="104" t="str">
        <f t="shared" si="15"/>
        <v/>
      </c>
    </row>
    <row r="97" spans="1:29">
      <c r="A97" s="9" t="str">
        <f t="shared" si="11"/>
        <v/>
      </c>
      <c r="B97" s="10"/>
      <c r="C97" s="9" t="str">
        <f t="shared" si="12"/>
        <v/>
      </c>
      <c r="D97" s="46"/>
      <c r="E97" s="47" t="str">
        <f>IF(D97="","",IFERROR(INDEX(PERKARA!$B$5:$B$104,MATCH(D97,PERKARA!$A$5:$A$104,0)),"ID TIDAK TERDAFTAR"))</f>
        <v/>
      </c>
      <c r="F97" s="6"/>
      <c r="G97" s="6"/>
      <c r="H97" s="6"/>
      <c r="I97" s="6"/>
      <c r="J97" s="6"/>
      <c r="K97" s="11"/>
      <c r="L97" s="6"/>
      <c r="M97" s="6"/>
      <c r="N97" s="6"/>
      <c r="O97" s="6"/>
      <c r="P97" s="6"/>
      <c r="Q97" s="103"/>
      <c r="R97" s="107"/>
      <c r="S97" s="11"/>
      <c r="T97" s="12" t="str">
        <f t="shared" si="13"/>
        <v/>
      </c>
      <c r="U97" s="10"/>
      <c r="V97" s="9" t="str">
        <f t="shared" si="14"/>
        <v/>
      </c>
      <c r="W97" s="6"/>
      <c r="X97" s="6"/>
      <c r="Y97" s="67" t="str">
        <f>IF(B97="","",IF(AND(D97&lt;&gt;"",E97="ID TIDAK TERDAFTAR"),"PERKARA TIDAK VALID",IF(I97="","AKUN BELUM DIISI",IF(AND(M97="Ya",N97=""),"KLAIM BELUM DIHUBUNGKAN",IF(AND(N97&lt;&gt;"",COUNTIF(REIMBURSE!$A$5:$A$124,N97)=0),"ID KLAIM TIDAK TERDAFTAR",IF(Q97="Ditolak","PENGELUARAN DITOLAK",IF(R97&gt;K97,"NILAI DISETUJUI MELEBIHI BIAYA",IF(AND(Q97="Disetujui",Z97=""),"PENYETUJU BELUM DIISI",IF(Q97&lt;&gt;"Disetujui","MENUNGGU PERSETUJUAN","OK")))))))))</f>
        <v/>
      </c>
      <c r="Z97" s="98"/>
      <c r="AA97" s="105"/>
      <c r="AB97" s="98"/>
      <c r="AC97" s="104" t="str">
        <f t="shared" si="15"/>
        <v/>
      </c>
    </row>
    <row r="98" spans="1:29">
      <c r="A98" s="9" t="str">
        <f t="shared" si="11"/>
        <v/>
      </c>
      <c r="B98" s="10"/>
      <c r="C98" s="9" t="str">
        <f t="shared" si="12"/>
        <v/>
      </c>
      <c r="D98" s="46"/>
      <c r="E98" s="47" t="str">
        <f>IF(D98="","",IFERROR(INDEX(PERKARA!$B$5:$B$104,MATCH(D98,PERKARA!$A$5:$A$104,0)),"ID TIDAK TERDAFTAR"))</f>
        <v/>
      </c>
      <c r="F98" s="6"/>
      <c r="G98" s="6"/>
      <c r="H98" s="6"/>
      <c r="I98" s="6"/>
      <c r="J98" s="6"/>
      <c r="K98" s="11"/>
      <c r="L98" s="6"/>
      <c r="M98" s="6"/>
      <c r="N98" s="6"/>
      <c r="O98" s="6"/>
      <c r="P98" s="6"/>
      <c r="Q98" s="103"/>
      <c r="R98" s="107"/>
      <c r="S98" s="11"/>
      <c r="T98" s="12" t="str">
        <f t="shared" si="13"/>
        <v/>
      </c>
      <c r="U98" s="10"/>
      <c r="V98" s="9" t="str">
        <f t="shared" si="14"/>
        <v/>
      </c>
      <c r="W98" s="6"/>
      <c r="X98" s="6"/>
      <c r="Y98" s="67" t="str">
        <f>IF(B98="","",IF(AND(D98&lt;&gt;"",E98="ID TIDAK TERDAFTAR"),"PERKARA TIDAK VALID",IF(I98="","AKUN BELUM DIISI",IF(AND(M98="Ya",N98=""),"KLAIM BELUM DIHUBUNGKAN",IF(AND(N98&lt;&gt;"",COUNTIF(REIMBURSE!$A$5:$A$124,N98)=0),"ID KLAIM TIDAK TERDAFTAR",IF(Q98="Ditolak","PENGELUARAN DITOLAK",IF(R98&gt;K98,"NILAI DISETUJUI MELEBIHI BIAYA",IF(AND(Q98="Disetujui",Z98=""),"PENYETUJU BELUM DIISI",IF(Q98&lt;&gt;"Disetujui","MENUNGGU PERSETUJUAN","OK")))))))))</f>
        <v/>
      </c>
      <c r="Z98" s="98"/>
      <c r="AA98" s="105"/>
      <c r="AB98" s="98"/>
      <c r="AC98" s="104" t="str">
        <f t="shared" si="15"/>
        <v/>
      </c>
    </row>
    <row r="99" spans="1:29">
      <c r="A99" s="9" t="str">
        <f t="shared" si="11"/>
        <v/>
      </c>
      <c r="B99" s="10"/>
      <c r="C99" s="9" t="str">
        <f t="shared" si="12"/>
        <v/>
      </c>
      <c r="D99" s="46"/>
      <c r="E99" s="47" t="str">
        <f>IF(D99="","",IFERROR(INDEX(PERKARA!$B$5:$B$104,MATCH(D99,PERKARA!$A$5:$A$104,0)),"ID TIDAK TERDAFTAR"))</f>
        <v/>
      </c>
      <c r="F99" s="6"/>
      <c r="G99" s="6"/>
      <c r="H99" s="6"/>
      <c r="I99" s="6"/>
      <c r="J99" s="6"/>
      <c r="K99" s="11"/>
      <c r="L99" s="6"/>
      <c r="M99" s="6"/>
      <c r="N99" s="6"/>
      <c r="O99" s="6"/>
      <c r="P99" s="6"/>
      <c r="Q99" s="103"/>
      <c r="R99" s="107"/>
      <c r="S99" s="11"/>
      <c r="T99" s="12" t="str">
        <f t="shared" si="13"/>
        <v/>
      </c>
      <c r="U99" s="10"/>
      <c r="V99" s="9" t="str">
        <f t="shared" si="14"/>
        <v/>
      </c>
      <c r="W99" s="6"/>
      <c r="X99" s="6"/>
      <c r="Y99" s="67" t="str">
        <f>IF(B99="","",IF(AND(D99&lt;&gt;"",E99="ID TIDAK TERDAFTAR"),"PERKARA TIDAK VALID",IF(I99="","AKUN BELUM DIISI",IF(AND(M99="Ya",N99=""),"KLAIM BELUM DIHUBUNGKAN",IF(AND(N99&lt;&gt;"",COUNTIF(REIMBURSE!$A$5:$A$124,N99)=0),"ID KLAIM TIDAK TERDAFTAR",IF(Q99="Ditolak","PENGELUARAN DITOLAK",IF(R99&gt;K99,"NILAI DISETUJUI MELEBIHI BIAYA",IF(AND(Q99="Disetujui",Z99=""),"PENYETUJU BELUM DIISI",IF(Q99&lt;&gt;"Disetujui","MENUNGGU PERSETUJUAN","OK")))))))))</f>
        <v/>
      </c>
      <c r="Z99" s="98"/>
      <c r="AA99" s="105"/>
      <c r="AB99" s="98"/>
      <c r="AC99" s="104" t="str">
        <f t="shared" si="15"/>
        <v/>
      </c>
    </row>
    <row r="100" spans="1:29">
      <c r="A100" s="9" t="str">
        <f t="shared" si="11"/>
        <v/>
      </c>
      <c r="B100" s="10"/>
      <c r="C100" s="9" t="str">
        <f t="shared" si="12"/>
        <v/>
      </c>
      <c r="D100" s="46"/>
      <c r="E100" s="47" t="str">
        <f>IF(D100="","",IFERROR(INDEX(PERKARA!$B$5:$B$104,MATCH(D100,PERKARA!$A$5:$A$104,0)),"ID TIDAK TERDAFTAR"))</f>
        <v/>
      </c>
      <c r="F100" s="6"/>
      <c r="G100" s="6"/>
      <c r="H100" s="6"/>
      <c r="I100" s="6"/>
      <c r="J100" s="6"/>
      <c r="K100" s="11"/>
      <c r="L100" s="6"/>
      <c r="M100" s="6"/>
      <c r="N100" s="6"/>
      <c r="O100" s="6"/>
      <c r="P100" s="6"/>
      <c r="Q100" s="103"/>
      <c r="R100" s="107"/>
      <c r="S100" s="11"/>
      <c r="T100" s="12" t="str">
        <f t="shared" si="13"/>
        <v/>
      </c>
      <c r="U100" s="10"/>
      <c r="V100" s="9" t="str">
        <f t="shared" si="14"/>
        <v/>
      </c>
      <c r="W100" s="6"/>
      <c r="X100" s="6"/>
      <c r="Y100" s="67" t="str">
        <f>IF(B100="","",IF(AND(D100&lt;&gt;"",E100="ID TIDAK TERDAFTAR"),"PERKARA TIDAK VALID",IF(I100="","AKUN BELUM DIISI",IF(AND(M100="Ya",N100=""),"KLAIM BELUM DIHUBUNGKAN",IF(AND(N100&lt;&gt;"",COUNTIF(REIMBURSE!$A$5:$A$124,N100)=0),"ID KLAIM TIDAK TERDAFTAR",IF(Q100="Ditolak","PENGELUARAN DITOLAK",IF(R100&gt;K100,"NILAI DISETUJUI MELEBIHI BIAYA",IF(AND(Q100="Disetujui",Z100=""),"PENYETUJU BELUM DIISI",IF(Q100&lt;&gt;"Disetujui","MENUNGGU PERSETUJUAN","OK")))))))))</f>
        <v/>
      </c>
      <c r="Z100" s="98"/>
      <c r="AA100" s="105"/>
      <c r="AB100" s="98"/>
      <c r="AC100" s="104" t="str">
        <f t="shared" si="15"/>
        <v/>
      </c>
    </row>
    <row r="101" spans="1:29">
      <c r="A101" s="9" t="str">
        <f t="shared" ref="A101:A132" si="16">IF(B101="","","EXP-"&amp;TEXT(B101,"yyyymmdd")&amp;"-"&amp;TEXT(ROW()-4,"000"))</f>
        <v/>
      </c>
      <c r="B101" s="10"/>
      <c r="C101" s="9" t="str">
        <f t="shared" ref="C101:C132" si="17">IF(B101="","",TEXT(B101,"yyyy-mm"))</f>
        <v/>
      </c>
      <c r="D101" s="46"/>
      <c r="E101" s="47" t="str">
        <f>IF(D101="","",IFERROR(INDEX(PERKARA!$B$5:$B$104,MATCH(D101,PERKARA!$A$5:$A$104,0)),"ID TIDAK TERDAFTAR"))</f>
        <v/>
      </c>
      <c r="F101" s="6"/>
      <c r="G101" s="6"/>
      <c r="H101" s="6"/>
      <c r="I101" s="6"/>
      <c r="J101" s="6"/>
      <c r="K101" s="11"/>
      <c r="L101" s="6"/>
      <c r="M101" s="6"/>
      <c r="N101" s="6"/>
      <c r="O101" s="6"/>
      <c r="P101" s="6"/>
      <c r="Q101" s="103"/>
      <c r="R101" s="107"/>
      <c r="S101" s="11"/>
      <c r="T101" s="12" t="str">
        <f t="shared" ref="T101:T132" si="18">IF(B101="","",IF(M101&lt;&gt;"Ya",0,MAX(IF(R101="",K101,R101)-S101,0)))</f>
        <v/>
      </c>
      <c r="U101" s="10"/>
      <c r="V101" s="9" t="str">
        <f t="shared" ref="V101:V132" si="19">IF(B101="","",IF(M101&lt;&gt;"Ya","Tidak Perlu",IF(Q101="Ditolak","Ditolak",IF(S101=0,IF(Q101="Disetujui","Belum Dibayar","Belum Diajukan"),IF(T101=0,"Lunas","Dibayar Sebagian")))))</f>
        <v/>
      </c>
      <c r="W101" s="6"/>
      <c r="X101" s="6"/>
      <c r="Y101" s="67" t="str">
        <f>IF(B101="","",IF(AND(D101&lt;&gt;"",E101="ID TIDAK TERDAFTAR"),"PERKARA TIDAK VALID",IF(I101="","AKUN BELUM DIISI",IF(AND(M101="Ya",N101=""),"KLAIM BELUM DIHUBUNGKAN",IF(AND(N101&lt;&gt;"",COUNTIF(REIMBURSE!$A$5:$A$124,N101)=0),"ID KLAIM TIDAK TERDAFTAR",IF(Q101="Ditolak","PENGELUARAN DITOLAK",IF(R101&gt;K101,"NILAI DISETUJUI MELEBIHI BIAYA",IF(AND(Q101="Disetujui",Z101=""),"PENYETUJU BELUM DIISI",IF(Q101&lt;&gt;"Disetujui","MENUNGGU PERSETUJUAN","OK")))))))))</f>
        <v/>
      </c>
      <c r="Z101" s="98"/>
      <c r="AA101" s="105"/>
      <c r="AB101" s="98"/>
      <c r="AC101" s="104" t="str">
        <f t="shared" ref="AC101:AC132" si="20">IF(B101="","",IF(Q101="Ditolak","DITOLAK",IF(AND(Q101="Disetujui",R101&gt;K101),"NILAI DISETUJUI MELEBIHI BIAYA",IF(AND(Q101="Disetujui",R101=""),"NILAI PERSETUJUAN BELUM DIISI",IF(AND(Q101="Disetujui",Z101&lt;&gt;""),"LENGKAP",IF(Q101="Disetujui","NAMA PENYETUJU BELUM DIISI","MENUNGGU PERSETUJUAN MANUAL"))))))</f>
        <v/>
      </c>
    </row>
    <row r="102" spans="1:29">
      <c r="A102" s="9" t="str">
        <f t="shared" si="16"/>
        <v/>
      </c>
      <c r="B102" s="10"/>
      <c r="C102" s="9" t="str">
        <f t="shared" si="17"/>
        <v/>
      </c>
      <c r="D102" s="46"/>
      <c r="E102" s="47" t="str">
        <f>IF(D102="","",IFERROR(INDEX(PERKARA!$B$5:$B$104,MATCH(D102,PERKARA!$A$5:$A$104,0)),"ID TIDAK TERDAFTAR"))</f>
        <v/>
      </c>
      <c r="F102" s="6"/>
      <c r="G102" s="6"/>
      <c r="H102" s="6"/>
      <c r="I102" s="6"/>
      <c r="J102" s="6"/>
      <c r="K102" s="11"/>
      <c r="L102" s="6"/>
      <c r="M102" s="6"/>
      <c r="N102" s="6"/>
      <c r="O102" s="6"/>
      <c r="P102" s="6"/>
      <c r="Q102" s="103"/>
      <c r="R102" s="107"/>
      <c r="S102" s="11"/>
      <c r="T102" s="12" t="str">
        <f t="shared" si="18"/>
        <v/>
      </c>
      <c r="U102" s="10"/>
      <c r="V102" s="9" t="str">
        <f t="shared" si="19"/>
        <v/>
      </c>
      <c r="W102" s="6"/>
      <c r="X102" s="6"/>
      <c r="Y102" s="67" t="str">
        <f>IF(B102="","",IF(AND(D102&lt;&gt;"",E102="ID TIDAK TERDAFTAR"),"PERKARA TIDAK VALID",IF(I102="","AKUN BELUM DIISI",IF(AND(M102="Ya",N102=""),"KLAIM BELUM DIHUBUNGKAN",IF(AND(N102&lt;&gt;"",COUNTIF(REIMBURSE!$A$5:$A$124,N102)=0),"ID KLAIM TIDAK TERDAFTAR",IF(Q102="Ditolak","PENGELUARAN DITOLAK",IF(R102&gt;K102,"NILAI DISETUJUI MELEBIHI BIAYA",IF(AND(Q102="Disetujui",Z102=""),"PENYETUJU BELUM DIISI",IF(Q102&lt;&gt;"Disetujui","MENUNGGU PERSETUJUAN","OK")))))))))</f>
        <v/>
      </c>
      <c r="Z102" s="98"/>
      <c r="AA102" s="105"/>
      <c r="AB102" s="98"/>
      <c r="AC102" s="104" t="str">
        <f t="shared" si="20"/>
        <v/>
      </c>
    </row>
    <row r="103" spans="1:29">
      <c r="A103" s="9" t="str">
        <f t="shared" si="16"/>
        <v/>
      </c>
      <c r="B103" s="10"/>
      <c r="C103" s="9" t="str">
        <f t="shared" si="17"/>
        <v/>
      </c>
      <c r="D103" s="46"/>
      <c r="E103" s="47" t="str">
        <f>IF(D103="","",IFERROR(INDEX(PERKARA!$B$5:$B$104,MATCH(D103,PERKARA!$A$5:$A$104,0)),"ID TIDAK TERDAFTAR"))</f>
        <v/>
      </c>
      <c r="F103" s="6"/>
      <c r="G103" s="6"/>
      <c r="H103" s="6"/>
      <c r="I103" s="6"/>
      <c r="J103" s="6"/>
      <c r="K103" s="11"/>
      <c r="L103" s="6"/>
      <c r="M103" s="6"/>
      <c r="N103" s="6"/>
      <c r="O103" s="6"/>
      <c r="P103" s="6"/>
      <c r="Q103" s="103"/>
      <c r="R103" s="107"/>
      <c r="S103" s="11"/>
      <c r="T103" s="12" t="str">
        <f t="shared" si="18"/>
        <v/>
      </c>
      <c r="U103" s="10"/>
      <c r="V103" s="9" t="str">
        <f t="shared" si="19"/>
        <v/>
      </c>
      <c r="W103" s="6"/>
      <c r="X103" s="6"/>
      <c r="Y103" s="67" t="str">
        <f>IF(B103="","",IF(AND(D103&lt;&gt;"",E103="ID TIDAK TERDAFTAR"),"PERKARA TIDAK VALID",IF(I103="","AKUN BELUM DIISI",IF(AND(M103="Ya",N103=""),"KLAIM BELUM DIHUBUNGKAN",IF(AND(N103&lt;&gt;"",COUNTIF(REIMBURSE!$A$5:$A$124,N103)=0),"ID KLAIM TIDAK TERDAFTAR",IF(Q103="Ditolak","PENGELUARAN DITOLAK",IF(R103&gt;K103,"NILAI DISETUJUI MELEBIHI BIAYA",IF(AND(Q103="Disetujui",Z103=""),"PENYETUJU BELUM DIISI",IF(Q103&lt;&gt;"Disetujui","MENUNGGU PERSETUJUAN","OK")))))))))</f>
        <v/>
      </c>
      <c r="Z103" s="98"/>
      <c r="AA103" s="105"/>
      <c r="AB103" s="98"/>
      <c r="AC103" s="104" t="str">
        <f t="shared" si="20"/>
        <v/>
      </c>
    </row>
    <row r="104" spans="1:29">
      <c r="A104" s="9" t="str">
        <f t="shared" si="16"/>
        <v/>
      </c>
      <c r="B104" s="10"/>
      <c r="C104" s="9" t="str">
        <f t="shared" si="17"/>
        <v/>
      </c>
      <c r="D104" s="46"/>
      <c r="E104" s="47" t="str">
        <f>IF(D104="","",IFERROR(INDEX(PERKARA!$B$5:$B$104,MATCH(D104,PERKARA!$A$5:$A$104,0)),"ID TIDAK TERDAFTAR"))</f>
        <v/>
      </c>
      <c r="F104" s="6"/>
      <c r="G104" s="6"/>
      <c r="H104" s="6"/>
      <c r="I104" s="6"/>
      <c r="J104" s="6"/>
      <c r="K104" s="11"/>
      <c r="L104" s="6"/>
      <c r="M104" s="6"/>
      <c r="N104" s="6"/>
      <c r="O104" s="6"/>
      <c r="P104" s="6"/>
      <c r="Q104" s="103"/>
      <c r="R104" s="107"/>
      <c r="S104" s="11"/>
      <c r="T104" s="12" t="str">
        <f t="shared" si="18"/>
        <v/>
      </c>
      <c r="U104" s="10"/>
      <c r="V104" s="9" t="str">
        <f t="shared" si="19"/>
        <v/>
      </c>
      <c r="W104" s="6"/>
      <c r="X104" s="6"/>
      <c r="Y104" s="67" t="str">
        <f>IF(B104="","",IF(AND(D104&lt;&gt;"",E104="ID TIDAK TERDAFTAR"),"PERKARA TIDAK VALID",IF(I104="","AKUN BELUM DIISI",IF(AND(M104="Ya",N104=""),"KLAIM BELUM DIHUBUNGKAN",IF(AND(N104&lt;&gt;"",COUNTIF(REIMBURSE!$A$5:$A$124,N104)=0),"ID KLAIM TIDAK TERDAFTAR",IF(Q104="Ditolak","PENGELUARAN DITOLAK",IF(R104&gt;K104,"NILAI DISETUJUI MELEBIHI BIAYA",IF(AND(Q104="Disetujui",Z104=""),"PENYETUJU BELUM DIISI",IF(Q104&lt;&gt;"Disetujui","MENUNGGU PERSETUJUAN","OK")))))))))</f>
        <v/>
      </c>
      <c r="Z104" s="98"/>
      <c r="AA104" s="105"/>
      <c r="AB104" s="98"/>
      <c r="AC104" s="104" t="str">
        <f t="shared" si="20"/>
        <v/>
      </c>
    </row>
    <row r="105" spans="1:29">
      <c r="A105" s="9" t="str">
        <f t="shared" si="16"/>
        <v/>
      </c>
      <c r="B105" s="10"/>
      <c r="C105" s="9" t="str">
        <f t="shared" si="17"/>
        <v/>
      </c>
      <c r="D105" s="46"/>
      <c r="E105" s="47" t="str">
        <f>IF(D105="","",IFERROR(INDEX(PERKARA!$B$5:$B$104,MATCH(D105,PERKARA!$A$5:$A$104,0)),"ID TIDAK TERDAFTAR"))</f>
        <v/>
      </c>
      <c r="F105" s="6"/>
      <c r="G105" s="6"/>
      <c r="H105" s="6"/>
      <c r="I105" s="6"/>
      <c r="J105" s="6"/>
      <c r="K105" s="11"/>
      <c r="L105" s="6"/>
      <c r="M105" s="6"/>
      <c r="N105" s="6"/>
      <c r="O105" s="6"/>
      <c r="P105" s="6"/>
      <c r="Q105" s="103"/>
      <c r="R105" s="107"/>
      <c r="S105" s="11"/>
      <c r="T105" s="12" t="str">
        <f t="shared" si="18"/>
        <v/>
      </c>
      <c r="U105" s="10"/>
      <c r="V105" s="9" t="str">
        <f t="shared" si="19"/>
        <v/>
      </c>
      <c r="W105" s="6"/>
      <c r="X105" s="6"/>
      <c r="Y105" s="67" t="str">
        <f>IF(B105="","",IF(AND(D105&lt;&gt;"",E105="ID TIDAK TERDAFTAR"),"PERKARA TIDAK VALID",IF(I105="","AKUN BELUM DIISI",IF(AND(M105="Ya",N105=""),"KLAIM BELUM DIHUBUNGKAN",IF(AND(N105&lt;&gt;"",COUNTIF(REIMBURSE!$A$5:$A$124,N105)=0),"ID KLAIM TIDAK TERDAFTAR",IF(Q105="Ditolak","PENGELUARAN DITOLAK",IF(R105&gt;K105,"NILAI DISETUJUI MELEBIHI BIAYA",IF(AND(Q105="Disetujui",Z105=""),"PENYETUJU BELUM DIISI",IF(Q105&lt;&gt;"Disetujui","MENUNGGU PERSETUJUAN","OK")))))))))</f>
        <v/>
      </c>
      <c r="Z105" s="98"/>
      <c r="AA105" s="105"/>
      <c r="AB105" s="98"/>
      <c r="AC105" s="104" t="str">
        <f t="shared" si="20"/>
        <v/>
      </c>
    </row>
    <row r="106" spans="1:29">
      <c r="A106" s="9" t="str">
        <f t="shared" si="16"/>
        <v/>
      </c>
      <c r="B106" s="10"/>
      <c r="C106" s="9" t="str">
        <f t="shared" si="17"/>
        <v/>
      </c>
      <c r="D106" s="46"/>
      <c r="E106" s="47" t="str">
        <f>IF(D106="","",IFERROR(INDEX(PERKARA!$B$5:$B$104,MATCH(D106,PERKARA!$A$5:$A$104,0)),"ID TIDAK TERDAFTAR"))</f>
        <v/>
      </c>
      <c r="F106" s="6"/>
      <c r="G106" s="6"/>
      <c r="H106" s="6"/>
      <c r="I106" s="6"/>
      <c r="J106" s="6"/>
      <c r="K106" s="11"/>
      <c r="L106" s="6"/>
      <c r="M106" s="6"/>
      <c r="N106" s="6"/>
      <c r="O106" s="6"/>
      <c r="P106" s="6"/>
      <c r="Q106" s="103"/>
      <c r="R106" s="107"/>
      <c r="S106" s="11"/>
      <c r="T106" s="12" t="str">
        <f t="shared" si="18"/>
        <v/>
      </c>
      <c r="U106" s="10"/>
      <c r="V106" s="9" t="str">
        <f t="shared" si="19"/>
        <v/>
      </c>
      <c r="W106" s="6"/>
      <c r="X106" s="6"/>
      <c r="Y106" s="67" t="str">
        <f>IF(B106="","",IF(AND(D106&lt;&gt;"",E106="ID TIDAK TERDAFTAR"),"PERKARA TIDAK VALID",IF(I106="","AKUN BELUM DIISI",IF(AND(M106="Ya",N106=""),"KLAIM BELUM DIHUBUNGKAN",IF(AND(N106&lt;&gt;"",COUNTIF(REIMBURSE!$A$5:$A$124,N106)=0),"ID KLAIM TIDAK TERDAFTAR",IF(Q106="Ditolak","PENGELUARAN DITOLAK",IF(R106&gt;K106,"NILAI DISETUJUI MELEBIHI BIAYA",IF(AND(Q106="Disetujui",Z106=""),"PENYETUJU BELUM DIISI",IF(Q106&lt;&gt;"Disetujui","MENUNGGU PERSETUJUAN","OK")))))))))</f>
        <v/>
      </c>
      <c r="Z106" s="98"/>
      <c r="AA106" s="105"/>
      <c r="AB106" s="98"/>
      <c r="AC106" s="104" t="str">
        <f t="shared" si="20"/>
        <v/>
      </c>
    </row>
    <row r="107" spans="1:29">
      <c r="A107" s="9" t="str">
        <f t="shared" si="16"/>
        <v/>
      </c>
      <c r="B107" s="10"/>
      <c r="C107" s="9" t="str">
        <f t="shared" si="17"/>
        <v/>
      </c>
      <c r="D107" s="46"/>
      <c r="E107" s="47" t="str">
        <f>IF(D107="","",IFERROR(INDEX(PERKARA!$B$5:$B$104,MATCH(D107,PERKARA!$A$5:$A$104,0)),"ID TIDAK TERDAFTAR"))</f>
        <v/>
      </c>
      <c r="F107" s="6"/>
      <c r="G107" s="6"/>
      <c r="H107" s="6"/>
      <c r="I107" s="6"/>
      <c r="J107" s="6"/>
      <c r="K107" s="11"/>
      <c r="L107" s="6"/>
      <c r="M107" s="6"/>
      <c r="N107" s="6"/>
      <c r="O107" s="6"/>
      <c r="P107" s="6"/>
      <c r="Q107" s="103"/>
      <c r="R107" s="107"/>
      <c r="S107" s="11"/>
      <c r="T107" s="12" t="str">
        <f t="shared" si="18"/>
        <v/>
      </c>
      <c r="U107" s="10"/>
      <c r="V107" s="9" t="str">
        <f t="shared" si="19"/>
        <v/>
      </c>
      <c r="W107" s="6"/>
      <c r="X107" s="6"/>
      <c r="Y107" s="67" t="str">
        <f>IF(B107="","",IF(AND(D107&lt;&gt;"",E107="ID TIDAK TERDAFTAR"),"PERKARA TIDAK VALID",IF(I107="","AKUN BELUM DIISI",IF(AND(M107="Ya",N107=""),"KLAIM BELUM DIHUBUNGKAN",IF(AND(N107&lt;&gt;"",COUNTIF(REIMBURSE!$A$5:$A$124,N107)=0),"ID KLAIM TIDAK TERDAFTAR",IF(Q107="Ditolak","PENGELUARAN DITOLAK",IF(R107&gt;K107,"NILAI DISETUJUI MELEBIHI BIAYA",IF(AND(Q107="Disetujui",Z107=""),"PENYETUJU BELUM DIISI",IF(Q107&lt;&gt;"Disetujui","MENUNGGU PERSETUJUAN","OK")))))))))</f>
        <v/>
      </c>
      <c r="Z107" s="98"/>
      <c r="AA107" s="105"/>
      <c r="AB107" s="98"/>
      <c r="AC107" s="104" t="str">
        <f t="shared" si="20"/>
        <v/>
      </c>
    </row>
    <row r="108" spans="1:29">
      <c r="A108" s="9" t="str">
        <f t="shared" si="16"/>
        <v/>
      </c>
      <c r="B108" s="10"/>
      <c r="C108" s="9" t="str">
        <f t="shared" si="17"/>
        <v/>
      </c>
      <c r="D108" s="46"/>
      <c r="E108" s="47" t="str">
        <f>IF(D108="","",IFERROR(INDEX(PERKARA!$B$5:$B$104,MATCH(D108,PERKARA!$A$5:$A$104,0)),"ID TIDAK TERDAFTAR"))</f>
        <v/>
      </c>
      <c r="F108" s="6"/>
      <c r="G108" s="6"/>
      <c r="H108" s="6"/>
      <c r="I108" s="6"/>
      <c r="J108" s="6"/>
      <c r="K108" s="11"/>
      <c r="L108" s="6"/>
      <c r="M108" s="6"/>
      <c r="N108" s="6"/>
      <c r="O108" s="6"/>
      <c r="P108" s="6"/>
      <c r="Q108" s="103"/>
      <c r="R108" s="107"/>
      <c r="S108" s="11"/>
      <c r="T108" s="12" t="str">
        <f t="shared" si="18"/>
        <v/>
      </c>
      <c r="U108" s="10"/>
      <c r="V108" s="9" t="str">
        <f t="shared" si="19"/>
        <v/>
      </c>
      <c r="W108" s="6"/>
      <c r="X108" s="6"/>
      <c r="Y108" s="67" t="str">
        <f>IF(B108="","",IF(AND(D108&lt;&gt;"",E108="ID TIDAK TERDAFTAR"),"PERKARA TIDAK VALID",IF(I108="","AKUN BELUM DIISI",IF(AND(M108="Ya",N108=""),"KLAIM BELUM DIHUBUNGKAN",IF(AND(N108&lt;&gt;"",COUNTIF(REIMBURSE!$A$5:$A$124,N108)=0),"ID KLAIM TIDAK TERDAFTAR",IF(Q108="Ditolak","PENGELUARAN DITOLAK",IF(R108&gt;K108,"NILAI DISETUJUI MELEBIHI BIAYA",IF(AND(Q108="Disetujui",Z108=""),"PENYETUJU BELUM DIISI",IF(Q108&lt;&gt;"Disetujui","MENUNGGU PERSETUJUAN","OK")))))))))</f>
        <v/>
      </c>
      <c r="Z108" s="98"/>
      <c r="AA108" s="105"/>
      <c r="AB108" s="98"/>
      <c r="AC108" s="104" t="str">
        <f t="shared" si="20"/>
        <v/>
      </c>
    </row>
    <row r="109" spans="1:29">
      <c r="A109" s="9" t="str">
        <f t="shared" si="16"/>
        <v/>
      </c>
      <c r="B109" s="10"/>
      <c r="C109" s="9" t="str">
        <f t="shared" si="17"/>
        <v/>
      </c>
      <c r="D109" s="46"/>
      <c r="E109" s="47" t="str">
        <f>IF(D109="","",IFERROR(INDEX(PERKARA!$B$5:$B$104,MATCH(D109,PERKARA!$A$5:$A$104,0)),"ID TIDAK TERDAFTAR"))</f>
        <v/>
      </c>
      <c r="F109" s="6"/>
      <c r="G109" s="6"/>
      <c r="H109" s="6"/>
      <c r="I109" s="6"/>
      <c r="J109" s="6"/>
      <c r="K109" s="11"/>
      <c r="L109" s="6"/>
      <c r="M109" s="6"/>
      <c r="N109" s="6"/>
      <c r="O109" s="6"/>
      <c r="P109" s="6"/>
      <c r="Q109" s="103"/>
      <c r="R109" s="107"/>
      <c r="S109" s="11"/>
      <c r="T109" s="12" t="str">
        <f t="shared" si="18"/>
        <v/>
      </c>
      <c r="U109" s="10"/>
      <c r="V109" s="9" t="str">
        <f t="shared" si="19"/>
        <v/>
      </c>
      <c r="W109" s="6"/>
      <c r="X109" s="6"/>
      <c r="Y109" s="67" t="str">
        <f>IF(B109="","",IF(AND(D109&lt;&gt;"",E109="ID TIDAK TERDAFTAR"),"PERKARA TIDAK VALID",IF(I109="","AKUN BELUM DIISI",IF(AND(M109="Ya",N109=""),"KLAIM BELUM DIHUBUNGKAN",IF(AND(N109&lt;&gt;"",COUNTIF(REIMBURSE!$A$5:$A$124,N109)=0),"ID KLAIM TIDAK TERDAFTAR",IF(Q109="Ditolak","PENGELUARAN DITOLAK",IF(R109&gt;K109,"NILAI DISETUJUI MELEBIHI BIAYA",IF(AND(Q109="Disetujui",Z109=""),"PENYETUJU BELUM DIISI",IF(Q109&lt;&gt;"Disetujui","MENUNGGU PERSETUJUAN","OK")))))))))</f>
        <v/>
      </c>
      <c r="Z109" s="98"/>
      <c r="AA109" s="105"/>
      <c r="AB109" s="98"/>
      <c r="AC109" s="104" t="str">
        <f t="shared" si="20"/>
        <v/>
      </c>
    </row>
    <row r="110" spans="1:29">
      <c r="A110" s="9" t="str">
        <f t="shared" si="16"/>
        <v/>
      </c>
      <c r="B110" s="10"/>
      <c r="C110" s="9" t="str">
        <f t="shared" si="17"/>
        <v/>
      </c>
      <c r="D110" s="46"/>
      <c r="E110" s="47" t="str">
        <f>IF(D110="","",IFERROR(INDEX(PERKARA!$B$5:$B$104,MATCH(D110,PERKARA!$A$5:$A$104,0)),"ID TIDAK TERDAFTAR"))</f>
        <v/>
      </c>
      <c r="F110" s="6"/>
      <c r="G110" s="6"/>
      <c r="H110" s="6"/>
      <c r="I110" s="6"/>
      <c r="J110" s="6"/>
      <c r="K110" s="11"/>
      <c r="L110" s="6"/>
      <c r="M110" s="6"/>
      <c r="N110" s="6"/>
      <c r="O110" s="6"/>
      <c r="P110" s="6"/>
      <c r="Q110" s="103"/>
      <c r="R110" s="107"/>
      <c r="S110" s="11"/>
      <c r="T110" s="12" t="str">
        <f t="shared" si="18"/>
        <v/>
      </c>
      <c r="U110" s="10"/>
      <c r="V110" s="9" t="str">
        <f t="shared" si="19"/>
        <v/>
      </c>
      <c r="W110" s="6"/>
      <c r="X110" s="6"/>
      <c r="Y110" s="67" t="str">
        <f>IF(B110="","",IF(AND(D110&lt;&gt;"",E110="ID TIDAK TERDAFTAR"),"PERKARA TIDAK VALID",IF(I110="","AKUN BELUM DIISI",IF(AND(M110="Ya",N110=""),"KLAIM BELUM DIHUBUNGKAN",IF(AND(N110&lt;&gt;"",COUNTIF(REIMBURSE!$A$5:$A$124,N110)=0),"ID KLAIM TIDAK TERDAFTAR",IF(Q110="Ditolak","PENGELUARAN DITOLAK",IF(R110&gt;K110,"NILAI DISETUJUI MELEBIHI BIAYA",IF(AND(Q110="Disetujui",Z110=""),"PENYETUJU BELUM DIISI",IF(Q110&lt;&gt;"Disetujui","MENUNGGU PERSETUJUAN","OK")))))))))</f>
        <v/>
      </c>
      <c r="Z110" s="98"/>
      <c r="AA110" s="105"/>
      <c r="AB110" s="98"/>
      <c r="AC110" s="104" t="str">
        <f t="shared" si="20"/>
        <v/>
      </c>
    </row>
    <row r="111" spans="1:29">
      <c r="A111" s="9" t="str">
        <f t="shared" si="16"/>
        <v/>
      </c>
      <c r="B111" s="10"/>
      <c r="C111" s="9" t="str">
        <f t="shared" si="17"/>
        <v/>
      </c>
      <c r="D111" s="46"/>
      <c r="E111" s="47" t="str">
        <f>IF(D111="","",IFERROR(INDEX(PERKARA!$B$5:$B$104,MATCH(D111,PERKARA!$A$5:$A$104,0)),"ID TIDAK TERDAFTAR"))</f>
        <v/>
      </c>
      <c r="F111" s="6"/>
      <c r="G111" s="6"/>
      <c r="H111" s="6"/>
      <c r="I111" s="6"/>
      <c r="J111" s="6"/>
      <c r="K111" s="11"/>
      <c r="L111" s="6"/>
      <c r="M111" s="6"/>
      <c r="N111" s="6"/>
      <c r="O111" s="6"/>
      <c r="P111" s="6"/>
      <c r="Q111" s="103"/>
      <c r="R111" s="107"/>
      <c r="S111" s="11"/>
      <c r="T111" s="12" t="str">
        <f t="shared" si="18"/>
        <v/>
      </c>
      <c r="U111" s="10"/>
      <c r="V111" s="9" t="str">
        <f t="shared" si="19"/>
        <v/>
      </c>
      <c r="W111" s="6"/>
      <c r="X111" s="6"/>
      <c r="Y111" s="67" t="str">
        <f>IF(B111="","",IF(AND(D111&lt;&gt;"",E111="ID TIDAK TERDAFTAR"),"PERKARA TIDAK VALID",IF(I111="","AKUN BELUM DIISI",IF(AND(M111="Ya",N111=""),"KLAIM BELUM DIHUBUNGKAN",IF(AND(N111&lt;&gt;"",COUNTIF(REIMBURSE!$A$5:$A$124,N111)=0),"ID KLAIM TIDAK TERDAFTAR",IF(Q111="Ditolak","PENGELUARAN DITOLAK",IF(R111&gt;K111,"NILAI DISETUJUI MELEBIHI BIAYA",IF(AND(Q111="Disetujui",Z111=""),"PENYETUJU BELUM DIISI",IF(Q111&lt;&gt;"Disetujui","MENUNGGU PERSETUJUAN","OK")))))))))</f>
        <v/>
      </c>
      <c r="Z111" s="98"/>
      <c r="AA111" s="105"/>
      <c r="AB111" s="98"/>
      <c r="AC111" s="104" t="str">
        <f t="shared" si="20"/>
        <v/>
      </c>
    </row>
    <row r="112" spans="1:29">
      <c r="A112" s="9" t="str">
        <f t="shared" si="16"/>
        <v/>
      </c>
      <c r="B112" s="10"/>
      <c r="C112" s="9" t="str">
        <f t="shared" si="17"/>
        <v/>
      </c>
      <c r="D112" s="46"/>
      <c r="E112" s="47" t="str">
        <f>IF(D112="","",IFERROR(INDEX(PERKARA!$B$5:$B$104,MATCH(D112,PERKARA!$A$5:$A$104,0)),"ID TIDAK TERDAFTAR"))</f>
        <v/>
      </c>
      <c r="F112" s="6"/>
      <c r="G112" s="6"/>
      <c r="H112" s="6"/>
      <c r="I112" s="6"/>
      <c r="J112" s="6"/>
      <c r="K112" s="11"/>
      <c r="L112" s="6"/>
      <c r="M112" s="6"/>
      <c r="N112" s="6"/>
      <c r="O112" s="6"/>
      <c r="P112" s="6"/>
      <c r="Q112" s="103"/>
      <c r="R112" s="107"/>
      <c r="S112" s="11"/>
      <c r="T112" s="12" t="str">
        <f t="shared" si="18"/>
        <v/>
      </c>
      <c r="U112" s="10"/>
      <c r="V112" s="9" t="str">
        <f t="shared" si="19"/>
        <v/>
      </c>
      <c r="W112" s="6"/>
      <c r="X112" s="6"/>
      <c r="Y112" s="67" t="str">
        <f>IF(B112="","",IF(AND(D112&lt;&gt;"",E112="ID TIDAK TERDAFTAR"),"PERKARA TIDAK VALID",IF(I112="","AKUN BELUM DIISI",IF(AND(M112="Ya",N112=""),"KLAIM BELUM DIHUBUNGKAN",IF(AND(N112&lt;&gt;"",COUNTIF(REIMBURSE!$A$5:$A$124,N112)=0),"ID KLAIM TIDAK TERDAFTAR",IF(Q112="Ditolak","PENGELUARAN DITOLAK",IF(R112&gt;K112,"NILAI DISETUJUI MELEBIHI BIAYA",IF(AND(Q112="Disetujui",Z112=""),"PENYETUJU BELUM DIISI",IF(Q112&lt;&gt;"Disetujui","MENUNGGU PERSETUJUAN","OK")))))))))</f>
        <v/>
      </c>
      <c r="Z112" s="98"/>
      <c r="AA112" s="105"/>
      <c r="AB112" s="98"/>
      <c r="AC112" s="104" t="str">
        <f t="shared" si="20"/>
        <v/>
      </c>
    </row>
    <row r="113" spans="1:29">
      <c r="A113" s="9" t="str">
        <f t="shared" si="16"/>
        <v/>
      </c>
      <c r="B113" s="10"/>
      <c r="C113" s="9" t="str">
        <f t="shared" si="17"/>
        <v/>
      </c>
      <c r="D113" s="46"/>
      <c r="E113" s="47" t="str">
        <f>IF(D113="","",IFERROR(INDEX(PERKARA!$B$5:$B$104,MATCH(D113,PERKARA!$A$5:$A$104,0)),"ID TIDAK TERDAFTAR"))</f>
        <v/>
      </c>
      <c r="F113" s="6"/>
      <c r="G113" s="6"/>
      <c r="H113" s="6"/>
      <c r="I113" s="6"/>
      <c r="J113" s="6"/>
      <c r="K113" s="11"/>
      <c r="L113" s="6"/>
      <c r="M113" s="6"/>
      <c r="N113" s="6"/>
      <c r="O113" s="6"/>
      <c r="P113" s="6"/>
      <c r="Q113" s="103"/>
      <c r="R113" s="107"/>
      <c r="S113" s="11"/>
      <c r="T113" s="12" t="str">
        <f t="shared" si="18"/>
        <v/>
      </c>
      <c r="U113" s="10"/>
      <c r="V113" s="9" t="str">
        <f t="shared" si="19"/>
        <v/>
      </c>
      <c r="W113" s="6"/>
      <c r="X113" s="6"/>
      <c r="Y113" s="67" t="str">
        <f>IF(B113="","",IF(AND(D113&lt;&gt;"",E113="ID TIDAK TERDAFTAR"),"PERKARA TIDAK VALID",IF(I113="","AKUN BELUM DIISI",IF(AND(M113="Ya",N113=""),"KLAIM BELUM DIHUBUNGKAN",IF(AND(N113&lt;&gt;"",COUNTIF(REIMBURSE!$A$5:$A$124,N113)=0),"ID KLAIM TIDAK TERDAFTAR",IF(Q113="Ditolak","PENGELUARAN DITOLAK",IF(R113&gt;K113,"NILAI DISETUJUI MELEBIHI BIAYA",IF(AND(Q113="Disetujui",Z113=""),"PENYETUJU BELUM DIISI",IF(Q113&lt;&gt;"Disetujui","MENUNGGU PERSETUJUAN","OK")))))))))</f>
        <v/>
      </c>
      <c r="Z113" s="98"/>
      <c r="AA113" s="105"/>
      <c r="AB113" s="98"/>
      <c r="AC113" s="104" t="str">
        <f t="shared" si="20"/>
        <v/>
      </c>
    </row>
    <row r="114" spans="1:29">
      <c r="A114" s="9" t="str">
        <f t="shared" si="16"/>
        <v/>
      </c>
      <c r="B114" s="10"/>
      <c r="C114" s="9" t="str">
        <f t="shared" si="17"/>
        <v/>
      </c>
      <c r="D114" s="46"/>
      <c r="E114" s="47" t="str">
        <f>IF(D114="","",IFERROR(INDEX(PERKARA!$B$5:$B$104,MATCH(D114,PERKARA!$A$5:$A$104,0)),"ID TIDAK TERDAFTAR"))</f>
        <v/>
      </c>
      <c r="F114" s="6"/>
      <c r="G114" s="6"/>
      <c r="H114" s="6"/>
      <c r="I114" s="6"/>
      <c r="J114" s="6"/>
      <c r="K114" s="11"/>
      <c r="L114" s="6"/>
      <c r="M114" s="6"/>
      <c r="N114" s="6"/>
      <c r="O114" s="6"/>
      <c r="P114" s="6"/>
      <c r="Q114" s="103"/>
      <c r="R114" s="107"/>
      <c r="S114" s="11"/>
      <c r="T114" s="12" t="str">
        <f t="shared" si="18"/>
        <v/>
      </c>
      <c r="U114" s="10"/>
      <c r="V114" s="9" t="str">
        <f t="shared" si="19"/>
        <v/>
      </c>
      <c r="W114" s="6"/>
      <c r="X114" s="6"/>
      <c r="Y114" s="67" t="str">
        <f>IF(B114="","",IF(AND(D114&lt;&gt;"",E114="ID TIDAK TERDAFTAR"),"PERKARA TIDAK VALID",IF(I114="","AKUN BELUM DIISI",IF(AND(M114="Ya",N114=""),"KLAIM BELUM DIHUBUNGKAN",IF(AND(N114&lt;&gt;"",COUNTIF(REIMBURSE!$A$5:$A$124,N114)=0),"ID KLAIM TIDAK TERDAFTAR",IF(Q114="Ditolak","PENGELUARAN DITOLAK",IF(R114&gt;K114,"NILAI DISETUJUI MELEBIHI BIAYA",IF(AND(Q114="Disetujui",Z114=""),"PENYETUJU BELUM DIISI",IF(Q114&lt;&gt;"Disetujui","MENUNGGU PERSETUJUAN","OK")))))))))</f>
        <v/>
      </c>
      <c r="Z114" s="98"/>
      <c r="AA114" s="105"/>
      <c r="AB114" s="98"/>
      <c r="AC114" s="104" t="str">
        <f t="shared" si="20"/>
        <v/>
      </c>
    </row>
    <row r="115" spans="1:29">
      <c r="A115" s="9" t="str">
        <f t="shared" si="16"/>
        <v/>
      </c>
      <c r="B115" s="10"/>
      <c r="C115" s="9" t="str">
        <f t="shared" si="17"/>
        <v/>
      </c>
      <c r="D115" s="46"/>
      <c r="E115" s="47" t="str">
        <f>IF(D115="","",IFERROR(INDEX(PERKARA!$B$5:$B$104,MATCH(D115,PERKARA!$A$5:$A$104,0)),"ID TIDAK TERDAFTAR"))</f>
        <v/>
      </c>
      <c r="F115" s="6"/>
      <c r="G115" s="6"/>
      <c r="H115" s="6"/>
      <c r="I115" s="6"/>
      <c r="J115" s="6"/>
      <c r="K115" s="11"/>
      <c r="L115" s="6"/>
      <c r="M115" s="6"/>
      <c r="N115" s="6"/>
      <c r="O115" s="6"/>
      <c r="P115" s="6"/>
      <c r="Q115" s="103"/>
      <c r="R115" s="107"/>
      <c r="S115" s="11"/>
      <c r="T115" s="12" t="str">
        <f t="shared" si="18"/>
        <v/>
      </c>
      <c r="U115" s="10"/>
      <c r="V115" s="9" t="str">
        <f t="shared" si="19"/>
        <v/>
      </c>
      <c r="W115" s="6"/>
      <c r="X115" s="6"/>
      <c r="Y115" s="67" t="str">
        <f>IF(B115="","",IF(AND(D115&lt;&gt;"",E115="ID TIDAK TERDAFTAR"),"PERKARA TIDAK VALID",IF(I115="","AKUN BELUM DIISI",IF(AND(M115="Ya",N115=""),"KLAIM BELUM DIHUBUNGKAN",IF(AND(N115&lt;&gt;"",COUNTIF(REIMBURSE!$A$5:$A$124,N115)=0),"ID KLAIM TIDAK TERDAFTAR",IF(Q115="Ditolak","PENGELUARAN DITOLAK",IF(R115&gt;K115,"NILAI DISETUJUI MELEBIHI BIAYA",IF(AND(Q115="Disetujui",Z115=""),"PENYETUJU BELUM DIISI",IF(Q115&lt;&gt;"Disetujui","MENUNGGU PERSETUJUAN","OK")))))))))</f>
        <v/>
      </c>
      <c r="Z115" s="98"/>
      <c r="AA115" s="105"/>
      <c r="AB115" s="98"/>
      <c r="AC115" s="104" t="str">
        <f t="shared" si="20"/>
        <v/>
      </c>
    </row>
    <row r="116" spans="1:29">
      <c r="A116" s="9" t="str">
        <f t="shared" si="16"/>
        <v/>
      </c>
      <c r="B116" s="10"/>
      <c r="C116" s="9" t="str">
        <f t="shared" si="17"/>
        <v/>
      </c>
      <c r="D116" s="46"/>
      <c r="E116" s="47" t="str">
        <f>IF(D116="","",IFERROR(INDEX(PERKARA!$B$5:$B$104,MATCH(D116,PERKARA!$A$5:$A$104,0)),"ID TIDAK TERDAFTAR"))</f>
        <v/>
      </c>
      <c r="F116" s="6"/>
      <c r="G116" s="6"/>
      <c r="H116" s="6"/>
      <c r="I116" s="6"/>
      <c r="J116" s="6"/>
      <c r="K116" s="11"/>
      <c r="L116" s="6"/>
      <c r="M116" s="6"/>
      <c r="N116" s="6"/>
      <c r="O116" s="6"/>
      <c r="P116" s="6"/>
      <c r="Q116" s="103"/>
      <c r="R116" s="107"/>
      <c r="S116" s="11"/>
      <c r="T116" s="12" t="str">
        <f t="shared" si="18"/>
        <v/>
      </c>
      <c r="U116" s="10"/>
      <c r="V116" s="9" t="str">
        <f t="shared" si="19"/>
        <v/>
      </c>
      <c r="W116" s="6"/>
      <c r="X116" s="6"/>
      <c r="Y116" s="67" t="str">
        <f>IF(B116="","",IF(AND(D116&lt;&gt;"",E116="ID TIDAK TERDAFTAR"),"PERKARA TIDAK VALID",IF(I116="","AKUN BELUM DIISI",IF(AND(M116="Ya",N116=""),"KLAIM BELUM DIHUBUNGKAN",IF(AND(N116&lt;&gt;"",COUNTIF(REIMBURSE!$A$5:$A$124,N116)=0),"ID KLAIM TIDAK TERDAFTAR",IF(Q116="Ditolak","PENGELUARAN DITOLAK",IF(R116&gt;K116,"NILAI DISETUJUI MELEBIHI BIAYA",IF(AND(Q116="Disetujui",Z116=""),"PENYETUJU BELUM DIISI",IF(Q116&lt;&gt;"Disetujui","MENUNGGU PERSETUJUAN","OK")))))))))</f>
        <v/>
      </c>
      <c r="Z116" s="98"/>
      <c r="AA116" s="105"/>
      <c r="AB116" s="98"/>
      <c r="AC116" s="104" t="str">
        <f t="shared" si="20"/>
        <v/>
      </c>
    </row>
    <row r="117" spans="1:29">
      <c r="A117" s="9" t="str">
        <f t="shared" si="16"/>
        <v/>
      </c>
      <c r="B117" s="10"/>
      <c r="C117" s="9" t="str">
        <f t="shared" si="17"/>
        <v/>
      </c>
      <c r="D117" s="46"/>
      <c r="E117" s="47" t="str">
        <f>IF(D117="","",IFERROR(INDEX(PERKARA!$B$5:$B$104,MATCH(D117,PERKARA!$A$5:$A$104,0)),"ID TIDAK TERDAFTAR"))</f>
        <v/>
      </c>
      <c r="F117" s="6"/>
      <c r="G117" s="6"/>
      <c r="H117" s="6"/>
      <c r="I117" s="6"/>
      <c r="J117" s="6"/>
      <c r="K117" s="11"/>
      <c r="L117" s="6"/>
      <c r="M117" s="6"/>
      <c r="N117" s="6"/>
      <c r="O117" s="6"/>
      <c r="P117" s="6"/>
      <c r="Q117" s="103"/>
      <c r="R117" s="107"/>
      <c r="S117" s="11"/>
      <c r="T117" s="12" t="str">
        <f t="shared" si="18"/>
        <v/>
      </c>
      <c r="U117" s="10"/>
      <c r="V117" s="9" t="str">
        <f t="shared" si="19"/>
        <v/>
      </c>
      <c r="W117" s="6"/>
      <c r="X117" s="6"/>
      <c r="Y117" s="67" t="str">
        <f>IF(B117="","",IF(AND(D117&lt;&gt;"",E117="ID TIDAK TERDAFTAR"),"PERKARA TIDAK VALID",IF(I117="","AKUN BELUM DIISI",IF(AND(M117="Ya",N117=""),"KLAIM BELUM DIHUBUNGKAN",IF(AND(N117&lt;&gt;"",COUNTIF(REIMBURSE!$A$5:$A$124,N117)=0),"ID KLAIM TIDAK TERDAFTAR",IF(Q117="Ditolak","PENGELUARAN DITOLAK",IF(R117&gt;K117,"NILAI DISETUJUI MELEBIHI BIAYA",IF(AND(Q117="Disetujui",Z117=""),"PENYETUJU BELUM DIISI",IF(Q117&lt;&gt;"Disetujui","MENUNGGU PERSETUJUAN","OK")))))))))</f>
        <v/>
      </c>
      <c r="Z117" s="98"/>
      <c r="AA117" s="105"/>
      <c r="AB117" s="98"/>
      <c r="AC117" s="104" t="str">
        <f t="shared" si="20"/>
        <v/>
      </c>
    </row>
    <row r="118" spans="1:29">
      <c r="A118" s="9" t="str">
        <f t="shared" si="16"/>
        <v/>
      </c>
      <c r="B118" s="10"/>
      <c r="C118" s="9" t="str">
        <f t="shared" si="17"/>
        <v/>
      </c>
      <c r="D118" s="46"/>
      <c r="E118" s="47" t="str">
        <f>IF(D118="","",IFERROR(INDEX(PERKARA!$B$5:$B$104,MATCH(D118,PERKARA!$A$5:$A$104,0)),"ID TIDAK TERDAFTAR"))</f>
        <v/>
      </c>
      <c r="F118" s="6"/>
      <c r="G118" s="6"/>
      <c r="H118" s="6"/>
      <c r="I118" s="6"/>
      <c r="J118" s="6"/>
      <c r="K118" s="11"/>
      <c r="L118" s="6"/>
      <c r="M118" s="6"/>
      <c r="N118" s="6"/>
      <c r="O118" s="6"/>
      <c r="P118" s="6"/>
      <c r="Q118" s="103"/>
      <c r="R118" s="107"/>
      <c r="S118" s="11"/>
      <c r="T118" s="12" t="str">
        <f t="shared" si="18"/>
        <v/>
      </c>
      <c r="U118" s="10"/>
      <c r="V118" s="9" t="str">
        <f t="shared" si="19"/>
        <v/>
      </c>
      <c r="W118" s="6"/>
      <c r="X118" s="6"/>
      <c r="Y118" s="67" t="str">
        <f>IF(B118="","",IF(AND(D118&lt;&gt;"",E118="ID TIDAK TERDAFTAR"),"PERKARA TIDAK VALID",IF(I118="","AKUN BELUM DIISI",IF(AND(M118="Ya",N118=""),"KLAIM BELUM DIHUBUNGKAN",IF(AND(N118&lt;&gt;"",COUNTIF(REIMBURSE!$A$5:$A$124,N118)=0),"ID KLAIM TIDAK TERDAFTAR",IF(Q118="Ditolak","PENGELUARAN DITOLAK",IF(R118&gt;K118,"NILAI DISETUJUI MELEBIHI BIAYA",IF(AND(Q118="Disetujui",Z118=""),"PENYETUJU BELUM DIISI",IF(Q118&lt;&gt;"Disetujui","MENUNGGU PERSETUJUAN","OK")))))))))</f>
        <v/>
      </c>
      <c r="Z118" s="98"/>
      <c r="AA118" s="105"/>
      <c r="AB118" s="98"/>
      <c r="AC118" s="104" t="str">
        <f t="shared" si="20"/>
        <v/>
      </c>
    </row>
    <row r="119" spans="1:29">
      <c r="A119" s="9" t="str">
        <f t="shared" si="16"/>
        <v/>
      </c>
      <c r="B119" s="10"/>
      <c r="C119" s="9" t="str">
        <f t="shared" si="17"/>
        <v/>
      </c>
      <c r="D119" s="46"/>
      <c r="E119" s="47" t="str">
        <f>IF(D119="","",IFERROR(INDEX(PERKARA!$B$5:$B$104,MATCH(D119,PERKARA!$A$5:$A$104,0)),"ID TIDAK TERDAFTAR"))</f>
        <v/>
      </c>
      <c r="F119" s="6"/>
      <c r="G119" s="6"/>
      <c r="H119" s="6"/>
      <c r="I119" s="6"/>
      <c r="J119" s="6"/>
      <c r="K119" s="11"/>
      <c r="L119" s="6"/>
      <c r="M119" s="6"/>
      <c r="N119" s="6"/>
      <c r="O119" s="6"/>
      <c r="P119" s="6"/>
      <c r="Q119" s="103"/>
      <c r="R119" s="107"/>
      <c r="S119" s="11"/>
      <c r="T119" s="12" t="str">
        <f t="shared" si="18"/>
        <v/>
      </c>
      <c r="U119" s="10"/>
      <c r="V119" s="9" t="str">
        <f t="shared" si="19"/>
        <v/>
      </c>
      <c r="W119" s="6"/>
      <c r="X119" s="6"/>
      <c r="Y119" s="67" t="str">
        <f>IF(B119="","",IF(AND(D119&lt;&gt;"",E119="ID TIDAK TERDAFTAR"),"PERKARA TIDAK VALID",IF(I119="","AKUN BELUM DIISI",IF(AND(M119="Ya",N119=""),"KLAIM BELUM DIHUBUNGKAN",IF(AND(N119&lt;&gt;"",COUNTIF(REIMBURSE!$A$5:$A$124,N119)=0),"ID KLAIM TIDAK TERDAFTAR",IF(Q119="Ditolak","PENGELUARAN DITOLAK",IF(R119&gt;K119,"NILAI DISETUJUI MELEBIHI BIAYA",IF(AND(Q119="Disetujui",Z119=""),"PENYETUJU BELUM DIISI",IF(Q119&lt;&gt;"Disetujui","MENUNGGU PERSETUJUAN","OK")))))))))</f>
        <v/>
      </c>
      <c r="Z119" s="98"/>
      <c r="AA119" s="105"/>
      <c r="AB119" s="98"/>
      <c r="AC119" s="104" t="str">
        <f t="shared" si="20"/>
        <v/>
      </c>
    </row>
    <row r="120" spans="1:29">
      <c r="A120" s="9" t="str">
        <f t="shared" si="16"/>
        <v/>
      </c>
      <c r="B120" s="10"/>
      <c r="C120" s="9" t="str">
        <f t="shared" si="17"/>
        <v/>
      </c>
      <c r="D120" s="46"/>
      <c r="E120" s="47" t="str">
        <f>IF(D120="","",IFERROR(INDEX(PERKARA!$B$5:$B$104,MATCH(D120,PERKARA!$A$5:$A$104,0)),"ID TIDAK TERDAFTAR"))</f>
        <v/>
      </c>
      <c r="F120" s="6"/>
      <c r="G120" s="6"/>
      <c r="H120" s="6"/>
      <c r="I120" s="6"/>
      <c r="J120" s="6"/>
      <c r="K120" s="11"/>
      <c r="L120" s="6"/>
      <c r="M120" s="6"/>
      <c r="N120" s="6"/>
      <c r="O120" s="6"/>
      <c r="P120" s="6"/>
      <c r="Q120" s="103"/>
      <c r="R120" s="107"/>
      <c r="S120" s="11"/>
      <c r="T120" s="12" t="str">
        <f t="shared" si="18"/>
        <v/>
      </c>
      <c r="U120" s="10"/>
      <c r="V120" s="9" t="str">
        <f t="shared" si="19"/>
        <v/>
      </c>
      <c r="W120" s="6"/>
      <c r="X120" s="6"/>
      <c r="Y120" s="67" t="str">
        <f>IF(B120="","",IF(AND(D120&lt;&gt;"",E120="ID TIDAK TERDAFTAR"),"PERKARA TIDAK VALID",IF(I120="","AKUN BELUM DIISI",IF(AND(M120="Ya",N120=""),"KLAIM BELUM DIHUBUNGKAN",IF(AND(N120&lt;&gt;"",COUNTIF(REIMBURSE!$A$5:$A$124,N120)=0),"ID KLAIM TIDAK TERDAFTAR",IF(Q120="Ditolak","PENGELUARAN DITOLAK",IF(R120&gt;K120,"NILAI DISETUJUI MELEBIHI BIAYA",IF(AND(Q120="Disetujui",Z120=""),"PENYETUJU BELUM DIISI",IF(Q120&lt;&gt;"Disetujui","MENUNGGU PERSETUJUAN","OK")))))))))</f>
        <v/>
      </c>
      <c r="Z120" s="98"/>
      <c r="AA120" s="105"/>
      <c r="AB120" s="98"/>
      <c r="AC120" s="104" t="str">
        <f t="shared" si="20"/>
        <v/>
      </c>
    </row>
    <row r="121" spans="1:29">
      <c r="A121" s="9" t="str">
        <f t="shared" si="16"/>
        <v/>
      </c>
      <c r="B121" s="10"/>
      <c r="C121" s="9" t="str">
        <f t="shared" si="17"/>
        <v/>
      </c>
      <c r="D121" s="46"/>
      <c r="E121" s="47" t="str">
        <f>IF(D121="","",IFERROR(INDEX(PERKARA!$B$5:$B$104,MATCH(D121,PERKARA!$A$5:$A$104,0)),"ID TIDAK TERDAFTAR"))</f>
        <v/>
      </c>
      <c r="F121" s="6"/>
      <c r="G121" s="6"/>
      <c r="H121" s="6"/>
      <c r="I121" s="6"/>
      <c r="J121" s="6"/>
      <c r="K121" s="11"/>
      <c r="L121" s="6"/>
      <c r="M121" s="6"/>
      <c r="N121" s="6"/>
      <c r="O121" s="6"/>
      <c r="P121" s="6"/>
      <c r="Q121" s="103"/>
      <c r="R121" s="107"/>
      <c r="S121" s="11"/>
      <c r="T121" s="12" t="str">
        <f t="shared" si="18"/>
        <v/>
      </c>
      <c r="U121" s="10"/>
      <c r="V121" s="9" t="str">
        <f t="shared" si="19"/>
        <v/>
      </c>
      <c r="W121" s="6"/>
      <c r="X121" s="6"/>
      <c r="Y121" s="67" t="str">
        <f>IF(B121="","",IF(AND(D121&lt;&gt;"",E121="ID TIDAK TERDAFTAR"),"PERKARA TIDAK VALID",IF(I121="","AKUN BELUM DIISI",IF(AND(M121="Ya",N121=""),"KLAIM BELUM DIHUBUNGKAN",IF(AND(N121&lt;&gt;"",COUNTIF(REIMBURSE!$A$5:$A$124,N121)=0),"ID KLAIM TIDAK TERDAFTAR",IF(Q121="Ditolak","PENGELUARAN DITOLAK",IF(R121&gt;K121,"NILAI DISETUJUI MELEBIHI BIAYA",IF(AND(Q121="Disetujui",Z121=""),"PENYETUJU BELUM DIISI",IF(Q121&lt;&gt;"Disetujui","MENUNGGU PERSETUJUAN","OK")))))))))</f>
        <v/>
      </c>
      <c r="Z121" s="98"/>
      <c r="AA121" s="105"/>
      <c r="AB121" s="98"/>
      <c r="AC121" s="104" t="str">
        <f t="shared" si="20"/>
        <v/>
      </c>
    </row>
    <row r="122" spans="1:29">
      <c r="A122" s="9" t="str">
        <f t="shared" si="16"/>
        <v/>
      </c>
      <c r="B122" s="10"/>
      <c r="C122" s="9" t="str">
        <f t="shared" si="17"/>
        <v/>
      </c>
      <c r="D122" s="46"/>
      <c r="E122" s="47" t="str">
        <f>IF(D122="","",IFERROR(INDEX(PERKARA!$B$5:$B$104,MATCH(D122,PERKARA!$A$5:$A$104,0)),"ID TIDAK TERDAFTAR"))</f>
        <v/>
      </c>
      <c r="F122" s="6"/>
      <c r="G122" s="6"/>
      <c r="H122" s="6"/>
      <c r="I122" s="6"/>
      <c r="J122" s="6"/>
      <c r="K122" s="11"/>
      <c r="L122" s="6"/>
      <c r="M122" s="6"/>
      <c r="N122" s="6"/>
      <c r="O122" s="6"/>
      <c r="P122" s="6"/>
      <c r="Q122" s="103"/>
      <c r="R122" s="107"/>
      <c r="S122" s="11"/>
      <c r="T122" s="12" t="str">
        <f t="shared" si="18"/>
        <v/>
      </c>
      <c r="U122" s="10"/>
      <c r="V122" s="9" t="str">
        <f t="shared" si="19"/>
        <v/>
      </c>
      <c r="W122" s="6"/>
      <c r="X122" s="6"/>
      <c r="Y122" s="67" t="str">
        <f>IF(B122="","",IF(AND(D122&lt;&gt;"",E122="ID TIDAK TERDAFTAR"),"PERKARA TIDAK VALID",IF(I122="","AKUN BELUM DIISI",IF(AND(M122="Ya",N122=""),"KLAIM BELUM DIHUBUNGKAN",IF(AND(N122&lt;&gt;"",COUNTIF(REIMBURSE!$A$5:$A$124,N122)=0),"ID KLAIM TIDAK TERDAFTAR",IF(Q122="Ditolak","PENGELUARAN DITOLAK",IF(R122&gt;K122,"NILAI DISETUJUI MELEBIHI BIAYA",IF(AND(Q122="Disetujui",Z122=""),"PENYETUJU BELUM DIISI",IF(Q122&lt;&gt;"Disetujui","MENUNGGU PERSETUJUAN","OK")))))))))</f>
        <v/>
      </c>
      <c r="Z122" s="98"/>
      <c r="AA122" s="105"/>
      <c r="AB122" s="98"/>
      <c r="AC122" s="104" t="str">
        <f t="shared" si="20"/>
        <v/>
      </c>
    </row>
    <row r="123" spans="1:29">
      <c r="A123" s="9" t="str">
        <f t="shared" si="16"/>
        <v/>
      </c>
      <c r="B123" s="10"/>
      <c r="C123" s="9" t="str">
        <f t="shared" si="17"/>
        <v/>
      </c>
      <c r="D123" s="46"/>
      <c r="E123" s="47" t="str">
        <f>IF(D123="","",IFERROR(INDEX(PERKARA!$B$5:$B$104,MATCH(D123,PERKARA!$A$5:$A$104,0)),"ID TIDAK TERDAFTAR"))</f>
        <v/>
      </c>
      <c r="F123" s="6"/>
      <c r="G123" s="6"/>
      <c r="H123" s="6"/>
      <c r="I123" s="6"/>
      <c r="J123" s="6"/>
      <c r="K123" s="11"/>
      <c r="L123" s="6"/>
      <c r="M123" s="6"/>
      <c r="N123" s="6"/>
      <c r="O123" s="6"/>
      <c r="P123" s="6"/>
      <c r="Q123" s="103"/>
      <c r="R123" s="107"/>
      <c r="S123" s="11"/>
      <c r="T123" s="12" t="str">
        <f t="shared" si="18"/>
        <v/>
      </c>
      <c r="U123" s="10"/>
      <c r="V123" s="9" t="str">
        <f t="shared" si="19"/>
        <v/>
      </c>
      <c r="W123" s="6"/>
      <c r="X123" s="6"/>
      <c r="Y123" s="67" t="str">
        <f>IF(B123="","",IF(AND(D123&lt;&gt;"",E123="ID TIDAK TERDAFTAR"),"PERKARA TIDAK VALID",IF(I123="","AKUN BELUM DIISI",IF(AND(M123="Ya",N123=""),"KLAIM BELUM DIHUBUNGKAN",IF(AND(N123&lt;&gt;"",COUNTIF(REIMBURSE!$A$5:$A$124,N123)=0),"ID KLAIM TIDAK TERDAFTAR",IF(Q123="Ditolak","PENGELUARAN DITOLAK",IF(R123&gt;K123,"NILAI DISETUJUI MELEBIHI BIAYA",IF(AND(Q123="Disetujui",Z123=""),"PENYETUJU BELUM DIISI",IF(Q123&lt;&gt;"Disetujui","MENUNGGU PERSETUJUAN","OK")))))))))</f>
        <v/>
      </c>
      <c r="Z123" s="98"/>
      <c r="AA123" s="105"/>
      <c r="AB123" s="98"/>
      <c r="AC123" s="104" t="str">
        <f t="shared" si="20"/>
        <v/>
      </c>
    </row>
    <row r="124" spans="1:29">
      <c r="A124" s="9" t="str">
        <f t="shared" si="16"/>
        <v/>
      </c>
      <c r="B124" s="10"/>
      <c r="C124" s="9" t="str">
        <f t="shared" si="17"/>
        <v/>
      </c>
      <c r="D124" s="46"/>
      <c r="E124" s="47" t="str">
        <f>IF(D124="","",IFERROR(INDEX(PERKARA!$B$5:$B$104,MATCH(D124,PERKARA!$A$5:$A$104,0)),"ID TIDAK TERDAFTAR"))</f>
        <v/>
      </c>
      <c r="F124" s="6"/>
      <c r="G124" s="6"/>
      <c r="H124" s="6"/>
      <c r="I124" s="6"/>
      <c r="J124" s="6"/>
      <c r="K124" s="11"/>
      <c r="L124" s="6"/>
      <c r="M124" s="6"/>
      <c r="N124" s="6"/>
      <c r="O124" s="6"/>
      <c r="P124" s="6"/>
      <c r="Q124" s="103"/>
      <c r="R124" s="107"/>
      <c r="S124" s="11"/>
      <c r="T124" s="12" t="str">
        <f t="shared" si="18"/>
        <v/>
      </c>
      <c r="U124" s="10"/>
      <c r="V124" s="9" t="str">
        <f t="shared" si="19"/>
        <v/>
      </c>
      <c r="W124" s="6"/>
      <c r="X124" s="6"/>
      <c r="Y124" s="67" t="str">
        <f>IF(B124="","",IF(AND(D124&lt;&gt;"",E124="ID TIDAK TERDAFTAR"),"PERKARA TIDAK VALID",IF(I124="","AKUN BELUM DIISI",IF(AND(M124="Ya",N124=""),"KLAIM BELUM DIHUBUNGKAN",IF(AND(N124&lt;&gt;"",COUNTIF(REIMBURSE!$A$5:$A$124,N124)=0),"ID KLAIM TIDAK TERDAFTAR",IF(Q124="Ditolak","PENGELUARAN DITOLAK",IF(R124&gt;K124,"NILAI DISETUJUI MELEBIHI BIAYA",IF(AND(Q124="Disetujui",Z124=""),"PENYETUJU BELUM DIISI",IF(Q124&lt;&gt;"Disetujui","MENUNGGU PERSETUJUAN","OK")))))))))</f>
        <v/>
      </c>
      <c r="Z124" s="98"/>
      <c r="AA124" s="105"/>
      <c r="AB124" s="98"/>
      <c r="AC124" s="104" t="str">
        <f t="shared" si="20"/>
        <v/>
      </c>
    </row>
    <row r="125" spans="1:29">
      <c r="A125" s="9" t="str">
        <f t="shared" si="16"/>
        <v/>
      </c>
      <c r="B125" s="10"/>
      <c r="C125" s="9" t="str">
        <f t="shared" si="17"/>
        <v/>
      </c>
      <c r="D125" s="46"/>
      <c r="E125" s="47" t="str">
        <f>IF(D125="","",IFERROR(INDEX(PERKARA!$B$5:$B$104,MATCH(D125,PERKARA!$A$5:$A$104,0)),"ID TIDAK TERDAFTAR"))</f>
        <v/>
      </c>
      <c r="F125" s="6"/>
      <c r="G125" s="6"/>
      <c r="H125" s="6"/>
      <c r="I125" s="6"/>
      <c r="J125" s="6"/>
      <c r="K125" s="11"/>
      <c r="L125" s="6"/>
      <c r="M125" s="6"/>
      <c r="N125" s="6"/>
      <c r="O125" s="6"/>
      <c r="P125" s="6"/>
      <c r="Q125" s="103"/>
      <c r="R125" s="107"/>
      <c r="S125" s="11"/>
      <c r="T125" s="12" t="str">
        <f t="shared" si="18"/>
        <v/>
      </c>
      <c r="U125" s="10"/>
      <c r="V125" s="9" t="str">
        <f t="shared" si="19"/>
        <v/>
      </c>
      <c r="W125" s="6"/>
      <c r="X125" s="6"/>
      <c r="Y125" s="67" t="str">
        <f>IF(B125="","",IF(AND(D125&lt;&gt;"",E125="ID TIDAK TERDAFTAR"),"PERKARA TIDAK VALID",IF(I125="","AKUN BELUM DIISI",IF(AND(M125="Ya",N125=""),"KLAIM BELUM DIHUBUNGKAN",IF(AND(N125&lt;&gt;"",COUNTIF(REIMBURSE!$A$5:$A$124,N125)=0),"ID KLAIM TIDAK TERDAFTAR",IF(Q125="Ditolak","PENGELUARAN DITOLAK",IF(R125&gt;K125,"NILAI DISETUJUI MELEBIHI BIAYA",IF(AND(Q125="Disetujui",Z125=""),"PENYETUJU BELUM DIISI",IF(Q125&lt;&gt;"Disetujui","MENUNGGU PERSETUJUAN","OK")))))))))</f>
        <v/>
      </c>
      <c r="Z125" s="98"/>
      <c r="AA125" s="105"/>
      <c r="AB125" s="98"/>
      <c r="AC125" s="104" t="str">
        <f t="shared" si="20"/>
        <v/>
      </c>
    </row>
    <row r="126" spans="1:29">
      <c r="A126" s="9" t="str">
        <f t="shared" si="16"/>
        <v/>
      </c>
      <c r="B126" s="10"/>
      <c r="C126" s="9" t="str">
        <f t="shared" si="17"/>
        <v/>
      </c>
      <c r="D126" s="46"/>
      <c r="E126" s="47" t="str">
        <f>IF(D126="","",IFERROR(INDEX(PERKARA!$B$5:$B$104,MATCH(D126,PERKARA!$A$5:$A$104,0)),"ID TIDAK TERDAFTAR"))</f>
        <v/>
      </c>
      <c r="F126" s="6"/>
      <c r="G126" s="6"/>
      <c r="H126" s="6"/>
      <c r="I126" s="6"/>
      <c r="J126" s="6"/>
      <c r="K126" s="11"/>
      <c r="L126" s="6"/>
      <c r="M126" s="6"/>
      <c r="N126" s="6"/>
      <c r="O126" s="6"/>
      <c r="P126" s="6"/>
      <c r="Q126" s="103"/>
      <c r="R126" s="107"/>
      <c r="S126" s="11"/>
      <c r="T126" s="12" t="str">
        <f t="shared" si="18"/>
        <v/>
      </c>
      <c r="U126" s="10"/>
      <c r="V126" s="9" t="str">
        <f t="shared" si="19"/>
        <v/>
      </c>
      <c r="W126" s="6"/>
      <c r="X126" s="6"/>
      <c r="Y126" s="67" t="str">
        <f>IF(B126="","",IF(AND(D126&lt;&gt;"",E126="ID TIDAK TERDAFTAR"),"PERKARA TIDAK VALID",IF(I126="","AKUN BELUM DIISI",IF(AND(M126="Ya",N126=""),"KLAIM BELUM DIHUBUNGKAN",IF(AND(N126&lt;&gt;"",COUNTIF(REIMBURSE!$A$5:$A$124,N126)=0),"ID KLAIM TIDAK TERDAFTAR",IF(Q126="Ditolak","PENGELUARAN DITOLAK",IF(R126&gt;K126,"NILAI DISETUJUI MELEBIHI BIAYA",IF(AND(Q126="Disetujui",Z126=""),"PENYETUJU BELUM DIISI",IF(Q126&lt;&gt;"Disetujui","MENUNGGU PERSETUJUAN","OK")))))))))</f>
        <v/>
      </c>
      <c r="Z126" s="98"/>
      <c r="AA126" s="105"/>
      <c r="AB126" s="98"/>
      <c r="AC126" s="104" t="str">
        <f t="shared" si="20"/>
        <v/>
      </c>
    </row>
    <row r="127" spans="1:29">
      <c r="A127" s="9" t="str">
        <f t="shared" si="16"/>
        <v/>
      </c>
      <c r="B127" s="10"/>
      <c r="C127" s="9" t="str">
        <f t="shared" si="17"/>
        <v/>
      </c>
      <c r="D127" s="46"/>
      <c r="E127" s="47" t="str">
        <f>IF(D127="","",IFERROR(INDEX(PERKARA!$B$5:$B$104,MATCH(D127,PERKARA!$A$5:$A$104,0)),"ID TIDAK TERDAFTAR"))</f>
        <v/>
      </c>
      <c r="F127" s="6"/>
      <c r="G127" s="6"/>
      <c r="H127" s="6"/>
      <c r="I127" s="6"/>
      <c r="J127" s="6"/>
      <c r="K127" s="11"/>
      <c r="L127" s="6"/>
      <c r="M127" s="6"/>
      <c r="N127" s="6"/>
      <c r="O127" s="6"/>
      <c r="P127" s="6"/>
      <c r="Q127" s="103"/>
      <c r="R127" s="107"/>
      <c r="S127" s="11"/>
      <c r="T127" s="12" t="str">
        <f t="shared" si="18"/>
        <v/>
      </c>
      <c r="U127" s="10"/>
      <c r="V127" s="9" t="str">
        <f t="shared" si="19"/>
        <v/>
      </c>
      <c r="W127" s="6"/>
      <c r="X127" s="6"/>
      <c r="Y127" s="67" t="str">
        <f>IF(B127="","",IF(AND(D127&lt;&gt;"",E127="ID TIDAK TERDAFTAR"),"PERKARA TIDAK VALID",IF(I127="","AKUN BELUM DIISI",IF(AND(M127="Ya",N127=""),"KLAIM BELUM DIHUBUNGKAN",IF(AND(N127&lt;&gt;"",COUNTIF(REIMBURSE!$A$5:$A$124,N127)=0),"ID KLAIM TIDAK TERDAFTAR",IF(Q127="Ditolak","PENGELUARAN DITOLAK",IF(R127&gt;K127,"NILAI DISETUJUI MELEBIHI BIAYA",IF(AND(Q127="Disetujui",Z127=""),"PENYETUJU BELUM DIISI",IF(Q127&lt;&gt;"Disetujui","MENUNGGU PERSETUJUAN","OK")))))))))</f>
        <v/>
      </c>
      <c r="Z127" s="98"/>
      <c r="AA127" s="105"/>
      <c r="AB127" s="98"/>
      <c r="AC127" s="104" t="str">
        <f t="shared" si="20"/>
        <v/>
      </c>
    </row>
    <row r="128" spans="1:29">
      <c r="A128" s="9" t="str">
        <f t="shared" si="16"/>
        <v/>
      </c>
      <c r="B128" s="10"/>
      <c r="C128" s="9" t="str">
        <f t="shared" si="17"/>
        <v/>
      </c>
      <c r="D128" s="46"/>
      <c r="E128" s="47" t="str">
        <f>IF(D128="","",IFERROR(INDEX(PERKARA!$B$5:$B$104,MATCH(D128,PERKARA!$A$5:$A$104,0)),"ID TIDAK TERDAFTAR"))</f>
        <v/>
      </c>
      <c r="F128" s="6"/>
      <c r="G128" s="6"/>
      <c r="H128" s="6"/>
      <c r="I128" s="6"/>
      <c r="J128" s="6"/>
      <c r="K128" s="11"/>
      <c r="L128" s="6"/>
      <c r="M128" s="6"/>
      <c r="N128" s="6"/>
      <c r="O128" s="6"/>
      <c r="P128" s="6"/>
      <c r="Q128" s="103"/>
      <c r="R128" s="107"/>
      <c r="S128" s="11"/>
      <c r="T128" s="12" t="str">
        <f t="shared" si="18"/>
        <v/>
      </c>
      <c r="U128" s="10"/>
      <c r="V128" s="9" t="str">
        <f t="shared" si="19"/>
        <v/>
      </c>
      <c r="W128" s="6"/>
      <c r="X128" s="6"/>
      <c r="Y128" s="67" t="str">
        <f>IF(B128="","",IF(AND(D128&lt;&gt;"",E128="ID TIDAK TERDAFTAR"),"PERKARA TIDAK VALID",IF(I128="","AKUN BELUM DIISI",IF(AND(M128="Ya",N128=""),"KLAIM BELUM DIHUBUNGKAN",IF(AND(N128&lt;&gt;"",COUNTIF(REIMBURSE!$A$5:$A$124,N128)=0),"ID KLAIM TIDAK TERDAFTAR",IF(Q128="Ditolak","PENGELUARAN DITOLAK",IF(R128&gt;K128,"NILAI DISETUJUI MELEBIHI BIAYA",IF(AND(Q128="Disetujui",Z128=""),"PENYETUJU BELUM DIISI",IF(Q128&lt;&gt;"Disetujui","MENUNGGU PERSETUJUAN","OK")))))))))</f>
        <v/>
      </c>
      <c r="Z128" s="98"/>
      <c r="AA128" s="105"/>
      <c r="AB128" s="98"/>
      <c r="AC128" s="104" t="str">
        <f t="shared" si="20"/>
        <v/>
      </c>
    </row>
    <row r="129" spans="1:29">
      <c r="A129" s="9" t="str">
        <f t="shared" si="16"/>
        <v/>
      </c>
      <c r="B129" s="10"/>
      <c r="C129" s="9" t="str">
        <f t="shared" si="17"/>
        <v/>
      </c>
      <c r="D129" s="46"/>
      <c r="E129" s="47" t="str">
        <f>IF(D129="","",IFERROR(INDEX(PERKARA!$B$5:$B$104,MATCH(D129,PERKARA!$A$5:$A$104,0)),"ID TIDAK TERDAFTAR"))</f>
        <v/>
      </c>
      <c r="F129" s="6"/>
      <c r="G129" s="6"/>
      <c r="H129" s="6"/>
      <c r="I129" s="6"/>
      <c r="J129" s="6"/>
      <c r="K129" s="11"/>
      <c r="L129" s="6"/>
      <c r="M129" s="6"/>
      <c r="N129" s="6"/>
      <c r="O129" s="6"/>
      <c r="P129" s="6"/>
      <c r="Q129" s="103"/>
      <c r="R129" s="107"/>
      <c r="S129" s="11"/>
      <c r="T129" s="12" t="str">
        <f t="shared" si="18"/>
        <v/>
      </c>
      <c r="U129" s="10"/>
      <c r="V129" s="9" t="str">
        <f t="shared" si="19"/>
        <v/>
      </c>
      <c r="W129" s="6"/>
      <c r="X129" s="6"/>
      <c r="Y129" s="67" t="str">
        <f>IF(B129="","",IF(AND(D129&lt;&gt;"",E129="ID TIDAK TERDAFTAR"),"PERKARA TIDAK VALID",IF(I129="","AKUN BELUM DIISI",IF(AND(M129="Ya",N129=""),"KLAIM BELUM DIHUBUNGKAN",IF(AND(N129&lt;&gt;"",COUNTIF(REIMBURSE!$A$5:$A$124,N129)=0),"ID KLAIM TIDAK TERDAFTAR",IF(Q129="Ditolak","PENGELUARAN DITOLAK",IF(R129&gt;K129,"NILAI DISETUJUI MELEBIHI BIAYA",IF(AND(Q129="Disetujui",Z129=""),"PENYETUJU BELUM DIISI",IF(Q129&lt;&gt;"Disetujui","MENUNGGU PERSETUJUAN","OK")))))))))</f>
        <v/>
      </c>
      <c r="Z129" s="98"/>
      <c r="AA129" s="105"/>
      <c r="AB129" s="98"/>
      <c r="AC129" s="104" t="str">
        <f t="shared" si="20"/>
        <v/>
      </c>
    </row>
    <row r="130" spans="1:29">
      <c r="A130" s="9" t="str">
        <f t="shared" si="16"/>
        <v/>
      </c>
      <c r="B130" s="10"/>
      <c r="C130" s="9" t="str">
        <f t="shared" si="17"/>
        <v/>
      </c>
      <c r="D130" s="46"/>
      <c r="E130" s="47" t="str">
        <f>IF(D130="","",IFERROR(INDEX(PERKARA!$B$5:$B$104,MATCH(D130,PERKARA!$A$5:$A$104,0)),"ID TIDAK TERDAFTAR"))</f>
        <v/>
      </c>
      <c r="F130" s="6"/>
      <c r="G130" s="6"/>
      <c r="H130" s="6"/>
      <c r="I130" s="6"/>
      <c r="J130" s="6"/>
      <c r="K130" s="11"/>
      <c r="L130" s="6"/>
      <c r="M130" s="6"/>
      <c r="N130" s="6"/>
      <c r="O130" s="6"/>
      <c r="P130" s="6"/>
      <c r="Q130" s="103"/>
      <c r="R130" s="107"/>
      <c r="S130" s="11"/>
      <c r="T130" s="12" t="str">
        <f t="shared" si="18"/>
        <v/>
      </c>
      <c r="U130" s="10"/>
      <c r="V130" s="9" t="str">
        <f t="shared" si="19"/>
        <v/>
      </c>
      <c r="W130" s="6"/>
      <c r="X130" s="6"/>
      <c r="Y130" s="67" t="str">
        <f>IF(B130="","",IF(AND(D130&lt;&gt;"",E130="ID TIDAK TERDAFTAR"),"PERKARA TIDAK VALID",IF(I130="","AKUN BELUM DIISI",IF(AND(M130="Ya",N130=""),"KLAIM BELUM DIHUBUNGKAN",IF(AND(N130&lt;&gt;"",COUNTIF(REIMBURSE!$A$5:$A$124,N130)=0),"ID KLAIM TIDAK TERDAFTAR",IF(Q130="Ditolak","PENGELUARAN DITOLAK",IF(R130&gt;K130,"NILAI DISETUJUI MELEBIHI BIAYA",IF(AND(Q130="Disetujui",Z130=""),"PENYETUJU BELUM DIISI",IF(Q130&lt;&gt;"Disetujui","MENUNGGU PERSETUJUAN","OK")))))))))</f>
        <v/>
      </c>
      <c r="Z130" s="98"/>
      <c r="AA130" s="105"/>
      <c r="AB130" s="98"/>
      <c r="AC130" s="104" t="str">
        <f t="shared" si="20"/>
        <v/>
      </c>
    </row>
    <row r="131" spans="1:29">
      <c r="A131" s="9" t="str">
        <f t="shared" si="16"/>
        <v/>
      </c>
      <c r="B131" s="10"/>
      <c r="C131" s="9" t="str">
        <f t="shared" si="17"/>
        <v/>
      </c>
      <c r="D131" s="46"/>
      <c r="E131" s="47" t="str">
        <f>IF(D131="","",IFERROR(INDEX(PERKARA!$B$5:$B$104,MATCH(D131,PERKARA!$A$5:$A$104,0)),"ID TIDAK TERDAFTAR"))</f>
        <v/>
      </c>
      <c r="F131" s="6"/>
      <c r="G131" s="6"/>
      <c r="H131" s="6"/>
      <c r="I131" s="6"/>
      <c r="J131" s="6"/>
      <c r="K131" s="11"/>
      <c r="L131" s="6"/>
      <c r="M131" s="6"/>
      <c r="N131" s="6"/>
      <c r="O131" s="6"/>
      <c r="P131" s="6"/>
      <c r="Q131" s="103"/>
      <c r="R131" s="107"/>
      <c r="S131" s="11"/>
      <c r="T131" s="12" t="str">
        <f t="shared" si="18"/>
        <v/>
      </c>
      <c r="U131" s="10"/>
      <c r="V131" s="9" t="str">
        <f t="shared" si="19"/>
        <v/>
      </c>
      <c r="W131" s="6"/>
      <c r="X131" s="6"/>
      <c r="Y131" s="67" t="str">
        <f>IF(B131="","",IF(AND(D131&lt;&gt;"",E131="ID TIDAK TERDAFTAR"),"PERKARA TIDAK VALID",IF(I131="","AKUN BELUM DIISI",IF(AND(M131="Ya",N131=""),"KLAIM BELUM DIHUBUNGKAN",IF(AND(N131&lt;&gt;"",COUNTIF(REIMBURSE!$A$5:$A$124,N131)=0),"ID KLAIM TIDAK TERDAFTAR",IF(Q131="Ditolak","PENGELUARAN DITOLAK",IF(R131&gt;K131,"NILAI DISETUJUI MELEBIHI BIAYA",IF(AND(Q131="Disetujui",Z131=""),"PENYETUJU BELUM DIISI",IF(Q131&lt;&gt;"Disetujui","MENUNGGU PERSETUJUAN","OK")))))))))</f>
        <v/>
      </c>
      <c r="Z131" s="98"/>
      <c r="AA131" s="105"/>
      <c r="AB131" s="98"/>
      <c r="AC131" s="104" t="str">
        <f t="shared" si="20"/>
        <v/>
      </c>
    </row>
    <row r="132" spans="1:29">
      <c r="A132" s="9" t="str">
        <f t="shared" si="16"/>
        <v/>
      </c>
      <c r="B132" s="10"/>
      <c r="C132" s="9" t="str">
        <f t="shared" si="17"/>
        <v/>
      </c>
      <c r="D132" s="46"/>
      <c r="E132" s="47" t="str">
        <f>IF(D132="","",IFERROR(INDEX(PERKARA!$B$5:$B$104,MATCH(D132,PERKARA!$A$5:$A$104,0)),"ID TIDAK TERDAFTAR"))</f>
        <v/>
      </c>
      <c r="F132" s="6"/>
      <c r="G132" s="6"/>
      <c r="H132" s="6"/>
      <c r="I132" s="6"/>
      <c r="J132" s="6"/>
      <c r="K132" s="11"/>
      <c r="L132" s="6"/>
      <c r="M132" s="6"/>
      <c r="N132" s="6"/>
      <c r="O132" s="6"/>
      <c r="P132" s="6"/>
      <c r="Q132" s="103"/>
      <c r="R132" s="107"/>
      <c r="S132" s="11"/>
      <c r="T132" s="12" t="str">
        <f t="shared" si="18"/>
        <v/>
      </c>
      <c r="U132" s="10"/>
      <c r="V132" s="9" t="str">
        <f t="shared" si="19"/>
        <v/>
      </c>
      <c r="W132" s="6"/>
      <c r="X132" s="6"/>
      <c r="Y132" s="67" t="str">
        <f>IF(B132="","",IF(AND(D132&lt;&gt;"",E132="ID TIDAK TERDAFTAR"),"PERKARA TIDAK VALID",IF(I132="","AKUN BELUM DIISI",IF(AND(M132="Ya",N132=""),"KLAIM BELUM DIHUBUNGKAN",IF(AND(N132&lt;&gt;"",COUNTIF(REIMBURSE!$A$5:$A$124,N132)=0),"ID KLAIM TIDAK TERDAFTAR",IF(Q132="Ditolak","PENGELUARAN DITOLAK",IF(R132&gt;K132,"NILAI DISETUJUI MELEBIHI BIAYA",IF(AND(Q132="Disetujui",Z132=""),"PENYETUJU BELUM DIISI",IF(Q132&lt;&gt;"Disetujui","MENUNGGU PERSETUJUAN","OK")))))))))</f>
        <v/>
      </c>
      <c r="Z132" s="98"/>
      <c r="AA132" s="105"/>
      <c r="AB132" s="98"/>
      <c r="AC132" s="104" t="str">
        <f t="shared" si="20"/>
        <v/>
      </c>
    </row>
    <row r="133" spans="1:29">
      <c r="A133" s="9" t="str">
        <f t="shared" ref="A133:A164" si="21">IF(B133="","","EXP-"&amp;TEXT(B133,"yyyymmdd")&amp;"-"&amp;TEXT(ROW()-4,"000"))</f>
        <v/>
      </c>
      <c r="B133" s="10"/>
      <c r="C133" s="9" t="str">
        <f t="shared" ref="C133:C164" si="22">IF(B133="","",TEXT(B133,"yyyy-mm"))</f>
        <v/>
      </c>
      <c r="D133" s="46"/>
      <c r="E133" s="47" t="str">
        <f>IF(D133="","",IFERROR(INDEX(PERKARA!$B$5:$B$104,MATCH(D133,PERKARA!$A$5:$A$104,0)),"ID TIDAK TERDAFTAR"))</f>
        <v/>
      </c>
      <c r="F133" s="6"/>
      <c r="G133" s="6"/>
      <c r="H133" s="6"/>
      <c r="I133" s="6"/>
      <c r="J133" s="6"/>
      <c r="K133" s="11"/>
      <c r="L133" s="6"/>
      <c r="M133" s="6"/>
      <c r="N133" s="6"/>
      <c r="O133" s="6"/>
      <c r="P133" s="6"/>
      <c r="Q133" s="103"/>
      <c r="R133" s="107"/>
      <c r="S133" s="11"/>
      <c r="T133" s="12" t="str">
        <f t="shared" ref="T133:T164" si="23">IF(B133="","",IF(M133&lt;&gt;"Ya",0,MAX(IF(R133="",K133,R133)-S133,0)))</f>
        <v/>
      </c>
      <c r="U133" s="10"/>
      <c r="V133" s="9" t="str">
        <f t="shared" ref="V133:V164" si="24">IF(B133="","",IF(M133&lt;&gt;"Ya","Tidak Perlu",IF(Q133="Ditolak","Ditolak",IF(S133=0,IF(Q133="Disetujui","Belum Dibayar","Belum Diajukan"),IF(T133=0,"Lunas","Dibayar Sebagian")))))</f>
        <v/>
      </c>
      <c r="W133" s="6"/>
      <c r="X133" s="6"/>
      <c r="Y133" s="67" t="str">
        <f>IF(B133="","",IF(AND(D133&lt;&gt;"",E133="ID TIDAK TERDAFTAR"),"PERKARA TIDAK VALID",IF(I133="","AKUN BELUM DIISI",IF(AND(M133="Ya",N133=""),"KLAIM BELUM DIHUBUNGKAN",IF(AND(N133&lt;&gt;"",COUNTIF(REIMBURSE!$A$5:$A$124,N133)=0),"ID KLAIM TIDAK TERDAFTAR",IF(Q133="Ditolak","PENGELUARAN DITOLAK",IF(R133&gt;K133,"NILAI DISETUJUI MELEBIHI BIAYA",IF(AND(Q133="Disetujui",Z133=""),"PENYETUJU BELUM DIISI",IF(Q133&lt;&gt;"Disetujui","MENUNGGU PERSETUJUAN","OK")))))))))</f>
        <v/>
      </c>
      <c r="Z133" s="98"/>
      <c r="AA133" s="105"/>
      <c r="AB133" s="98"/>
      <c r="AC133" s="104" t="str">
        <f t="shared" ref="AC133:AC164" si="25">IF(B133="","",IF(Q133="Ditolak","DITOLAK",IF(AND(Q133="Disetujui",R133&gt;K133),"NILAI DISETUJUI MELEBIHI BIAYA",IF(AND(Q133="Disetujui",R133=""),"NILAI PERSETUJUAN BELUM DIISI",IF(AND(Q133="Disetujui",Z133&lt;&gt;""),"LENGKAP",IF(Q133="Disetujui","NAMA PENYETUJU BELUM DIISI","MENUNGGU PERSETUJUAN MANUAL"))))))</f>
        <v/>
      </c>
    </row>
    <row r="134" spans="1:29">
      <c r="A134" s="9" t="str">
        <f t="shared" si="21"/>
        <v/>
      </c>
      <c r="B134" s="10"/>
      <c r="C134" s="9" t="str">
        <f t="shared" si="22"/>
        <v/>
      </c>
      <c r="D134" s="46"/>
      <c r="E134" s="47" t="str">
        <f>IF(D134="","",IFERROR(INDEX(PERKARA!$B$5:$B$104,MATCH(D134,PERKARA!$A$5:$A$104,0)),"ID TIDAK TERDAFTAR"))</f>
        <v/>
      </c>
      <c r="F134" s="6"/>
      <c r="G134" s="6"/>
      <c r="H134" s="6"/>
      <c r="I134" s="6"/>
      <c r="J134" s="6"/>
      <c r="K134" s="11"/>
      <c r="L134" s="6"/>
      <c r="M134" s="6"/>
      <c r="N134" s="6"/>
      <c r="O134" s="6"/>
      <c r="P134" s="6"/>
      <c r="Q134" s="103"/>
      <c r="R134" s="107"/>
      <c r="S134" s="11"/>
      <c r="T134" s="12" t="str">
        <f t="shared" si="23"/>
        <v/>
      </c>
      <c r="U134" s="10"/>
      <c r="V134" s="9" t="str">
        <f t="shared" si="24"/>
        <v/>
      </c>
      <c r="W134" s="6"/>
      <c r="X134" s="6"/>
      <c r="Y134" s="67" t="str">
        <f>IF(B134="","",IF(AND(D134&lt;&gt;"",E134="ID TIDAK TERDAFTAR"),"PERKARA TIDAK VALID",IF(I134="","AKUN BELUM DIISI",IF(AND(M134="Ya",N134=""),"KLAIM BELUM DIHUBUNGKAN",IF(AND(N134&lt;&gt;"",COUNTIF(REIMBURSE!$A$5:$A$124,N134)=0),"ID KLAIM TIDAK TERDAFTAR",IF(Q134="Ditolak","PENGELUARAN DITOLAK",IF(R134&gt;K134,"NILAI DISETUJUI MELEBIHI BIAYA",IF(AND(Q134="Disetujui",Z134=""),"PENYETUJU BELUM DIISI",IF(Q134&lt;&gt;"Disetujui","MENUNGGU PERSETUJUAN","OK")))))))))</f>
        <v/>
      </c>
      <c r="Z134" s="98"/>
      <c r="AA134" s="105"/>
      <c r="AB134" s="98"/>
      <c r="AC134" s="104" t="str">
        <f t="shared" si="25"/>
        <v/>
      </c>
    </row>
    <row r="135" spans="1:29">
      <c r="A135" s="9" t="str">
        <f t="shared" si="21"/>
        <v/>
      </c>
      <c r="B135" s="10"/>
      <c r="C135" s="9" t="str">
        <f t="shared" si="22"/>
        <v/>
      </c>
      <c r="D135" s="46"/>
      <c r="E135" s="47" t="str">
        <f>IF(D135="","",IFERROR(INDEX(PERKARA!$B$5:$B$104,MATCH(D135,PERKARA!$A$5:$A$104,0)),"ID TIDAK TERDAFTAR"))</f>
        <v/>
      </c>
      <c r="F135" s="6"/>
      <c r="G135" s="6"/>
      <c r="H135" s="6"/>
      <c r="I135" s="6"/>
      <c r="J135" s="6"/>
      <c r="K135" s="11"/>
      <c r="L135" s="6"/>
      <c r="M135" s="6"/>
      <c r="N135" s="6"/>
      <c r="O135" s="6"/>
      <c r="P135" s="6"/>
      <c r="Q135" s="103"/>
      <c r="R135" s="107"/>
      <c r="S135" s="11"/>
      <c r="T135" s="12" t="str">
        <f t="shared" si="23"/>
        <v/>
      </c>
      <c r="U135" s="10"/>
      <c r="V135" s="9" t="str">
        <f t="shared" si="24"/>
        <v/>
      </c>
      <c r="W135" s="6"/>
      <c r="X135" s="6"/>
      <c r="Y135" s="67" t="str">
        <f>IF(B135="","",IF(AND(D135&lt;&gt;"",E135="ID TIDAK TERDAFTAR"),"PERKARA TIDAK VALID",IF(I135="","AKUN BELUM DIISI",IF(AND(M135="Ya",N135=""),"KLAIM BELUM DIHUBUNGKAN",IF(AND(N135&lt;&gt;"",COUNTIF(REIMBURSE!$A$5:$A$124,N135)=0),"ID KLAIM TIDAK TERDAFTAR",IF(Q135="Ditolak","PENGELUARAN DITOLAK",IF(R135&gt;K135,"NILAI DISETUJUI MELEBIHI BIAYA",IF(AND(Q135="Disetujui",Z135=""),"PENYETUJU BELUM DIISI",IF(Q135&lt;&gt;"Disetujui","MENUNGGU PERSETUJUAN","OK")))))))))</f>
        <v/>
      </c>
      <c r="Z135" s="98"/>
      <c r="AA135" s="105"/>
      <c r="AB135" s="98"/>
      <c r="AC135" s="104" t="str">
        <f t="shared" si="25"/>
        <v/>
      </c>
    </row>
    <row r="136" spans="1:29">
      <c r="A136" s="9" t="str">
        <f t="shared" si="21"/>
        <v/>
      </c>
      <c r="B136" s="10"/>
      <c r="C136" s="9" t="str">
        <f t="shared" si="22"/>
        <v/>
      </c>
      <c r="D136" s="46"/>
      <c r="E136" s="47" t="str">
        <f>IF(D136="","",IFERROR(INDEX(PERKARA!$B$5:$B$104,MATCH(D136,PERKARA!$A$5:$A$104,0)),"ID TIDAK TERDAFTAR"))</f>
        <v/>
      </c>
      <c r="F136" s="6"/>
      <c r="G136" s="6"/>
      <c r="H136" s="6"/>
      <c r="I136" s="6"/>
      <c r="J136" s="6"/>
      <c r="K136" s="11"/>
      <c r="L136" s="6"/>
      <c r="M136" s="6"/>
      <c r="N136" s="6"/>
      <c r="O136" s="6"/>
      <c r="P136" s="6"/>
      <c r="Q136" s="103"/>
      <c r="R136" s="107"/>
      <c r="S136" s="11"/>
      <c r="T136" s="12" t="str">
        <f t="shared" si="23"/>
        <v/>
      </c>
      <c r="U136" s="10"/>
      <c r="V136" s="9" t="str">
        <f t="shared" si="24"/>
        <v/>
      </c>
      <c r="W136" s="6"/>
      <c r="X136" s="6"/>
      <c r="Y136" s="67" t="str">
        <f>IF(B136="","",IF(AND(D136&lt;&gt;"",E136="ID TIDAK TERDAFTAR"),"PERKARA TIDAK VALID",IF(I136="","AKUN BELUM DIISI",IF(AND(M136="Ya",N136=""),"KLAIM BELUM DIHUBUNGKAN",IF(AND(N136&lt;&gt;"",COUNTIF(REIMBURSE!$A$5:$A$124,N136)=0),"ID KLAIM TIDAK TERDAFTAR",IF(Q136="Ditolak","PENGELUARAN DITOLAK",IF(R136&gt;K136,"NILAI DISETUJUI MELEBIHI BIAYA",IF(AND(Q136="Disetujui",Z136=""),"PENYETUJU BELUM DIISI",IF(Q136&lt;&gt;"Disetujui","MENUNGGU PERSETUJUAN","OK")))))))))</f>
        <v/>
      </c>
      <c r="Z136" s="98"/>
      <c r="AA136" s="105"/>
      <c r="AB136" s="98"/>
      <c r="AC136" s="104" t="str">
        <f t="shared" si="25"/>
        <v/>
      </c>
    </row>
    <row r="137" spans="1:29">
      <c r="A137" s="9" t="str">
        <f t="shared" si="21"/>
        <v/>
      </c>
      <c r="B137" s="10"/>
      <c r="C137" s="9" t="str">
        <f t="shared" si="22"/>
        <v/>
      </c>
      <c r="D137" s="46"/>
      <c r="E137" s="47" t="str">
        <f>IF(D137="","",IFERROR(INDEX(PERKARA!$B$5:$B$104,MATCH(D137,PERKARA!$A$5:$A$104,0)),"ID TIDAK TERDAFTAR"))</f>
        <v/>
      </c>
      <c r="F137" s="6"/>
      <c r="G137" s="6"/>
      <c r="H137" s="6"/>
      <c r="I137" s="6"/>
      <c r="J137" s="6"/>
      <c r="K137" s="11"/>
      <c r="L137" s="6"/>
      <c r="M137" s="6"/>
      <c r="N137" s="6"/>
      <c r="O137" s="6"/>
      <c r="P137" s="6"/>
      <c r="Q137" s="103"/>
      <c r="R137" s="107"/>
      <c r="S137" s="11"/>
      <c r="T137" s="12" t="str">
        <f t="shared" si="23"/>
        <v/>
      </c>
      <c r="U137" s="10"/>
      <c r="V137" s="9" t="str">
        <f t="shared" si="24"/>
        <v/>
      </c>
      <c r="W137" s="6"/>
      <c r="X137" s="6"/>
      <c r="Y137" s="67" t="str">
        <f>IF(B137="","",IF(AND(D137&lt;&gt;"",E137="ID TIDAK TERDAFTAR"),"PERKARA TIDAK VALID",IF(I137="","AKUN BELUM DIISI",IF(AND(M137="Ya",N137=""),"KLAIM BELUM DIHUBUNGKAN",IF(AND(N137&lt;&gt;"",COUNTIF(REIMBURSE!$A$5:$A$124,N137)=0),"ID KLAIM TIDAK TERDAFTAR",IF(Q137="Ditolak","PENGELUARAN DITOLAK",IF(R137&gt;K137,"NILAI DISETUJUI MELEBIHI BIAYA",IF(AND(Q137="Disetujui",Z137=""),"PENYETUJU BELUM DIISI",IF(Q137&lt;&gt;"Disetujui","MENUNGGU PERSETUJUAN","OK")))))))))</f>
        <v/>
      </c>
      <c r="Z137" s="98"/>
      <c r="AA137" s="105"/>
      <c r="AB137" s="98"/>
      <c r="AC137" s="104" t="str">
        <f t="shared" si="25"/>
        <v/>
      </c>
    </row>
    <row r="138" spans="1:29">
      <c r="A138" s="9" t="str">
        <f t="shared" si="21"/>
        <v/>
      </c>
      <c r="B138" s="10"/>
      <c r="C138" s="9" t="str">
        <f t="shared" si="22"/>
        <v/>
      </c>
      <c r="D138" s="46"/>
      <c r="E138" s="47" t="str">
        <f>IF(D138="","",IFERROR(INDEX(PERKARA!$B$5:$B$104,MATCH(D138,PERKARA!$A$5:$A$104,0)),"ID TIDAK TERDAFTAR"))</f>
        <v/>
      </c>
      <c r="F138" s="6"/>
      <c r="G138" s="6"/>
      <c r="H138" s="6"/>
      <c r="I138" s="6"/>
      <c r="J138" s="6"/>
      <c r="K138" s="11"/>
      <c r="L138" s="6"/>
      <c r="M138" s="6"/>
      <c r="N138" s="6"/>
      <c r="O138" s="6"/>
      <c r="P138" s="6"/>
      <c r="Q138" s="103"/>
      <c r="R138" s="107"/>
      <c r="S138" s="11"/>
      <c r="T138" s="12" t="str">
        <f t="shared" si="23"/>
        <v/>
      </c>
      <c r="U138" s="10"/>
      <c r="V138" s="9" t="str">
        <f t="shared" si="24"/>
        <v/>
      </c>
      <c r="W138" s="6"/>
      <c r="X138" s="6"/>
      <c r="Y138" s="67" t="str">
        <f>IF(B138="","",IF(AND(D138&lt;&gt;"",E138="ID TIDAK TERDAFTAR"),"PERKARA TIDAK VALID",IF(I138="","AKUN BELUM DIISI",IF(AND(M138="Ya",N138=""),"KLAIM BELUM DIHUBUNGKAN",IF(AND(N138&lt;&gt;"",COUNTIF(REIMBURSE!$A$5:$A$124,N138)=0),"ID KLAIM TIDAK TERDAFTAR",IF(Q138="Ditolak","PENGELUARAN DITOLAK",IF(R138&gt;K138,"NILAI DISETUJUI MELEBIHI BIAYA",IF(AND(Q138="Disetujui",Z138=""),"PENYETUJU BELUM DIISI",IF(Q138&lt;&gt;"Disetujui","MENUNGGU PERSETUJUAN","OK")))))))))</f>
        <v/>
      </c>
      <c r="Z138" s="98"/>
      <c r="AA138" s="105"/>
      <c r="AB138" s="98"/>
      <c r="AC138" s="104" t="str">
        <f t="shared" si="25"/>
        <v/>
      </c>
    </row>
    <row r="139" spans="1:29">
      <c r="A139" s="9" t="str">
        <f t="shared" si="21"/>
        <v/>
      </c>
      <c r="B139" s="10"/>
      <c r="C139" s="9" t="str">
        <f t="shared" si="22"/>
        <v/>
      </c>
      <c r="D139" s="46"/>
      <c r="E139" s="47" t="str">
        <f>IF(D139="","",IFERROR(INDEX(PERKARA!$B$5:$B$104,MATCH(D139,PERKARA!$A$5:$A$104,0)),"ID TIDAK TERDAFTAR"))</f>
        <v/>
      </c>
      <c r="F139" s="6"/>
      <c r="G139" s="6"/>
      <c r="H139" s="6"/>
      <c r="I139" s="6"/>
      <c r="J139" s="6"/>
      <c r="K139" s="11"/>
      <c r="L139" s="6"/>
      <c r="M139" s="6"/>
      <c r="N139" s="6"/>
      <c r="O139" s="6"/>
      <c r="P139" s="6"/>
      <c r="Q139" s="103"/>
      <c r="R139" s="107"/>
      <c r="S139" s="11"/>
      <c r="T139" s="12" t="str">
        <f t="shared" si="23"/>
        <v/>
      </c>
      <c r="U139" s="10"/>
      <c r="V139" s="9" t="str">
        <f t="shared" si="24"/>
        <v/>
      </c>
      <c r="W139" s="6"/>
      <c r="X139" s="6"/>
      <c r="Y139" s="67" t="str">
        <f>IF(B139="","",IF(AND(D139&lt;&gt;"",E139="ID TIDAK TERDAFTAR"),"PERKARA TIDAK VALID",IF(I139="","AKUN BELUM DIISI",IF(AND(M139="Ya",N139=""),"KLAIM BELUM DIHUBUNGKAN",IF(AND(N139&lt;&gt;"",COUNTIF(REIMBURSE!$A$5:$A$124,N139)=0),"ID KLAIM TIDAK TERDAFTAR",IF(Q139="Ditolak","PENGELUARAN DITOLAK",IF(R139&gt;K139,"NILAI DISETUJUI MELEBIHI BIAYA",IF(AND(Q139="Disetujui",Z139=""),"PENYETUJU BELUM DIISI",IF(Q139&lt;&gt;"Disetujui","MENUNGGU PERSETUJUAN","OK")))))))))</f>
        <v/>
      </c>
      <c r="Z139" s="98"/>
      <c r="AA139" s="105"/>
      <c r="AB139" s="98"/>
      <c r="AC139" s="104" t="str">
        <f t="shared" si="25"/>
        <v/>
      </c>
    </row>
    <row r="140" spans="1:29">
      <c r="A140" s="9" t="str">
        <f t="shared" si="21"/>
        <v/>
      </c>
      <c r="B140" s="10"/>
      <c r="C140" s="9" t="str">
        <f t="shared" si="22"/>
        <v/>
      </c>
      <c r="D140" s="46"/>
      <c r="E140" s="47" t="str">
        <f>IF(D140="","",IFERROR(INDEX(PERKARA!$B$5:$B$104,MATCH(D140,PERKARA!$A$5:$A$104,0)),"ID TIDAK TERDAFTAR"))</f>
        <v/>
      </c>
      <c r="F140" s="6"/>
      <c r="G140" s="6"/>
      <c r="H140" s="6"/>
      <c r="I140" s="6"/>
      <c r="J140" s="6"/>
      <c r="K140" s="11"/>
      <c r="L140" s="6"/>
      <c r="M140" s="6"/>
      <c r="N140" s="6"/>
      <c r="O140" s="6"/>
      <c r="P140" s="6"/>
      <c r="Q140" s="103"/>
      <c r="R140" s="107"/>
      <c r="S140" s="11"/>
      <c r="T140" s="12" t="str">
        <f t="shared" si="23"/>
        <v/>
      </c>
      <c r="U140" s="10"/>
      <c r="V140" s="9" t="str">
        <f t="shared" si="24"/>
        <v/>
      </c>
      <c r="W140" s="6"/>
      <c r="X140" s="6"/>
      <c r="Y140" s="67" t="str">
        <f>IF(B140="","",IF(AND(D140&lt;&gt;"",E140="ID TIDAK TERDAFTAR"),"PERKARA TIDAK VALID",IF(I140="","AKUN BELUM DIISI",IF(AND(M140="Ya",N140=""),"KLAIM BELUM DIHUBUNGKAN",IF(AND(N140&lt;&gt;"",COUNTIF(REIMBURSE!$A$5:$A$124,N140)=0),"ID KLAIM TIDAK TERDAFTAR",IF(Q140="Ditolak","PENGELUARAN DITOLAK",IF(R140&gt;K140,"NILAI DISETUJUI MELEBIHI BIAYA",IF(AND(Q140="Disetujui",Z140=""),"PENYETUJU BELUM DIISI",IF(Q140&lt;&gt;"Disetujui","MENUNGGU PERSETUJUAN","OK")))))))))</f>
        <v/>
      </c>
      <c r="Z140" s="98"/>
      <c r="AA140" s="105"/>
      <c r="AB140" s="98"/>
      <c r="AC140" s="104" t="str">
        <f t="shared" si="25"/>
        <v/>
      </c>
    </row>
    <row r="141" spans="1:29">
      <c r="A141" s="9" t="str">
        <f t="shared" si="21"/>
        <v/>
      </c>
      <c r="B141" s="10"/>
      <c r="C141" s="9" t="str">
        <f t="shared" si="22"/>
        <v/>
      </c>
      <c r="D141" s="46"/>
      <c r="E141" s="47" t="str">
        <f>IF(D141="","",IFERROR(INDEX(PERKARA!$B$5:$B$104,MATCH(D141,PERKARA!$A$5:$A$104,0)),"ID TIDAK TERDAFTAR"))</f>
        <v/>
      </c>
      <c r="F141" s="6"/>
      <c r="G141" s="6"/>
      <c r="H141" s="6"/>
      <c r="I141" s="6"/>
      <c r="J141" s="6"/>
      <c r="K141" s="11"/>
      <c r="L141" s="6"/>
      <c r="M141" s="6"/>
      <c r="N141" s="6"/>
      <c r="O141" s="6"/>
      <c r="P141" s="6"/>
      <c r="Q141" s="103"/>
      <c r="R141" s="107"/>
      <c r="S141" s="11"/>
      <c r="T141" s="12" t="str">
        <f t="shared" si="23"/>
        <v/>
      </c>
      <c r="U141" s="10"/>
      <c r="V141" s="9" t="str">
        <f t="shared" si="24"/>
        <v/>
      </c>
      <c r="W141" s="6"/>
      <c r="X141" s="6"/>
      <c r="Y141" s="67" t="str">
        <f>IF(B141="","",IF(AND(D141&lt;&gt;"",E141="ID TIDAK TERDAFTAR"),"PERKARA TIDAK VALID",IF(I141="","AKUN BELUM DIISI",IF(AND(M141="Ya",N141=""),"KLAIM BELUM DIHUBUNGKAN",IF(AND(N141&lt;&gt;"",COUNTIF(REIMBURSE!$A$5:$A$124,N141)=0),"ID KLAIM TIDAK TERDAFTAR",IF(Q141="Ditolak","PENGELUARAN DITOLAK",IF(R141&gt;K141,"NILAI DISETUJUI MELEBIHI BIAYA",IF(AND(Q141="Disetujui",Z141=""),"PENYETUJU BELUM DIISI",IF(Q141&lt;&gt;"Disetujui","MENUNGGU PERSETUJUAN","OK")))))))))</f>
        <v/>
      </c>
      <c r="Z141" s="98"/>
      <c r="AA141" s="105"/>
      <c r="AB141" s="98"/>
      <c r="AC141" s="104" t="str">
        <f t="shared" si="25"/>
        <v/>
      </c>
    </row>
    <row r="142" spans="1:29">
      <c r="A142" s="9" t="str">
        <f t="shared" si="21"/>
        <v/>
      </c>
      <c r="B142" s="10"/>
      <c r="C142" s="9" t="str">
        <f t="shared" si="22"/>
        <v/>
      </c>
      <c r="D142" s="46"/>
      <c r="E142" s="47" t="str">
        <f>IF(D142="","",IFERROR(INDEX(PERKARA!$B$5:$B$104,MATCH(D142,PERKARA!$A$5:$A$104,0)),"ID TIDAK TERDAFTAR"))</f>
        <v/>
      </c>
      <c r="F142" s="6"/>
      <c r="G142" s="6"/>
      <c r="H142" s="6"/>
      <c r="I142" s="6"/>
      <c r="J142" s="6"/>
      <c r="K142" s="11"/>
      <c r="L142" s="6"/>
      <c r="M142" s="6"/>
      <c r="N142" s="6"/>
      <c r="O142" s="6"/>
      <c r="P142" s="6"/>
      <c r="Q142" s="103"/>
      <c r="R142" s="107"/>
      <c r="S142" s="11"/>
      <c r="T142" s="12" t="str">
        <f t="shared" si="23"/>
        <v/>
      </c>
      <c r="U142" s="10"/>
      <c r="V142" s="9" t="str">
        <f t="shared" si="24"/>
        <v/>
      </c>
      <c r="W142" s="6"/>
      <c r="X142" s="6"/>
      <c r="Y142" s="67" t="str">
        <f>IF(B142="","",IF(AND(D142&lt;&gt;"",E142="ID TIDAK TERDAFTAR"),"PERKARA TIDAK VALID",IF(I142="","AKUN BELUM DIISI",IF(AND(M142="Ya",N142=""),"KLAIM BELUM DIHUBUNGKAN",IF(AND(N142&lt;&gt;"",COUNTIF(REIMBURSE!$A$5:$A$124,N142)=0),"ID KLAIM TIDAK TERDAFTAR",IF(Q142="Ditolak","PENGELUARAN DITOLAK",IF(R142&gt;K142,"NILAI DISETUJUI MELEBIHI BIAYA",IF(AND(Q142="Disetujui",Z142=""),"PENYETUJU BELUM DIISI",IF(Q142&lt;&gt;"Disetujui","MENUNGGU PERSETUJUAN","OK")))))))))</f>
        <v/>
      </c>
      <c r="Z142" s="98"/>
      <c r="AA142" s="105"/>
      <c r="AB142" s="98"/>
      <c r="AC142" s="104" t="str">
        <f t="shared" si="25"/>
        <v/>
      </c>
    </row>
    <row r="143" spans="1:29">
      <c r="A143" s="9" t="str">
        <f t="shared" si="21"/>
        <v/>
      </c>
      <c r="B143" s="10"/>
      <c r="C143" s="9" t="str">
        <f t="shared" si="22"/>
        <v/>
      </c>
      <c r="D143" s="46"/>
      <c r="E143" s="47" t="str">
        <f>IF(D143="","",IFERROR(INDEX(PERKARA!$B$5:$B$104,MATCH(D143,PERKARA!$A$5:$A$104,0)),"ID TIDAK TERDAFTAR"))</f>
        <v/>
      </c>
      <c r="F143" s="6"/>
      <c r="G143" s="6"/>
      <c r="H143" s="6"/>
      <c r="I143" s="6"/>
      <c r="J143" s="6"/>
      <c r="K143" s="11"/>
      <c r="L143" s="6"/>
      <c r="M143" s="6"/>
      <c r="N143" s="6"/>
      <c r="O143" s="6"/>
      <c r="P143" s="6"/>
      <c r="Q143" s="103"/>
      <c r="R143" s="107"/>
      <c r="S143" s="11"/>
      <c r="T143" s="12" t="str">
        <f t="shared" si="23"/>
        <v/>
      </c>
      <c r="U143" s="10"/>
      <c r="V143" s="9" t="str">
        <f t="shared" si="24"/>
        <v/>
      </c>
      <c r="W143" s="6"/>
      <c r="X143" s="6"/>
      <c r="Y143" s="67" t="str">
        <f>IF(B143="","",IF(AND(D143&lt;&gt;"",E143="ID TIDAK TERDAFTAR"),"PERKARA TIDAK VALID",IF(I143="","AKUN BELUM DIISI",IF(AND(M143="Ya",N143=""),"KLAIM BELUM DIHUBUNGKAN",IF(AND(N143&lt;&gt;"",COUNTIF(REIMBURSE!$A$5:$A$124,N143)=0),"ID KLAIM TIDAK TERDAFTAR",IF(Q143="Ditolak","PENGELUARAN DITOLAK",IF(R143&gt;K143,"NILAI DISETUJUI MELEBIHI BIAYA",IF(AND(Q143="Disetujui",Z143=""),"PENYETUJU BELUM DIISI",IF(Q143&lt;&gt;"Disetujui","MENUNGGU PERSETUJUAN","OK")))))))))</f>
        <v/>
      </c>
      <c r="Z143" s="98"/>
      <c r="AA143" s="105"/>
      <c r="AB143" s="98"/>
      <c r="AC143" s="104" t="str">
        <f t="shared" si="25"/>
        <v/>
      </c>
    </row>
    <row r="144" spans="1:29">
      <c r="A144" s="9" t="str">
        <f t="shared" si="21"/>
        <v/>
      </c>
      <c r="B144" s="10"/>
      <c r="C144" s="9" t="str">
        <f t="shared" si="22"/>
        <v/>
      </c>
      <c r="D144" s="46"/>
      <c r="E144" s="47" t="str">
        <f>IF(D144="","",IFERROR(INDEX(PERKARA!$B$5:$B$104,MATCH(D144,PERKARA!$A$5:$A$104,0)),"ID TIDAK TERDAFTAR"))</f>
        <v/>
      </c>
      <c r="F144" s="6"/>
      <c r="G144" s="6"/>
      <c r="H144" s="6"/>
      <c r="I144" s="6"/>
      <c r="J144" s="6"/>
      <c r="K144" s="11"/>
      <c r="L144" s="6"/>
      <c r="M144" s="6"/>
      <c r="N144" s="6"/>
      <c r="O144" s="6"/>
      <c r="P144" s="6"/>
      <c r="Q144" s="103"/>
      <c r="R144" s="107"/>
      <c r="S144" s="11"/>
      <c r="T144" s="12" t="str">
        <f t="shared" si="23"/>
        <v/>
      </c>
      <c r="U144" s="10"/>
      <c r="V144" s="9" t="str">
        <f t="shared" si="24"/>
        <v/>
      </c>
      <c r="W144" s="6"/>
      <c r="X144" s="6"/>
      <c r="Y144" s="67" t="str">
        <f>IF(B144="","",IF(AND(D144&lt;&gt;"",E144="ID TIDAK TERDAFTAR"),"PERKARA TIDAK VALID",IF(I144="","AKUN BELUM DIISI",IF(AND(M144="Ya",N144=""),"KLAIM BELUM DIHUBUNGKAN",IF(AND(N144&lt;&gt;"",COUNTIF(REIMBURSE!$A$5:$A$124,N144)=0),"ID KLAIM TIDAK TERDAFTAR",IF(Q144="Ditolak","PENGELUARAN DITOLAK",IF(R144&gt;K144,"NILAI DISETUJUI MELEBIHI BIAYA",IF(AND(Q144="Disetujui",Z144=""),"PENYETUJU BELUM DIISI",IF(Q144&lt;&gt;"Disetujui","MENUNGGU PERSETUJUAN","OK")))))))))</f>
        <v/>
      </c>
      <c r="Z144" s="98"/>
      <c r="AA144" s="105"/>
      <c r="AB144" s="98"/>
      <c r="AC144" s="104" t="str">
        <f t="shared" si="25"/>
        <v/>
      </c>
    </row>
    <row r="145" spans="1:29">
      <c r="A145" s="9" t="str">
        <f t="shared" si="21"/>
        <v/>
      </c>
      <c r="B145" s="10"/>
      <c r="C145" s="9" t="str">
        <f t="shared" si="22"/>
        <v/>
      </c>
      <c r="D145" s="46"/>
      <c r="E145" s="47" t="str">
        <f>IF(D145="","",IFERROR(INDEX(PERKARA!$B$5:$B$104,MATCH(D145,PERKARA!$A$5:$A$104,0)),"ID TIDAK TERDAFTAR"))</f>
        <v/>
      </c>
      <c r="F145" s="6"/>
      <c r="G145" s="6"/>
      <c r="H145" s="6"/>
      <c r="I145" s="6"/>
      <c r="J145" s="6"/>
      <c r="K145" s="11"/>
      <c r="L145" s="6"/>
      <c r="M145" s="6"/>
      <c r="N145" s="6"/>
      <c r="O145" s="6"/>
      <c r="P145" s="6"/>
      <c r="Q145" s="103"/>
      <c r="R145" s="107"/>
      <c r="S145" s="11"/>
      <c r="T145" s="12" t="str">
        <f t="shared" si="23"/>
        <v/>
      </c>
      <c r="U145" s="10"/>
      <c r="V145" s="9" t="str">
        <f t="shared" si="24"/>
        <v/>
      </c>
      <c r="W145" s="6"/>
      <c r="X145" s="6"/>
      <c r="Y145" s="67" t="str">
        <f>IF(B145="","",IF(AND(D145&lt;&gt;"",E145="ID TIDAK TERDAFTAR"),"PERKARA TIDAK VALID",IF(I145="","AKUN BELUM DIISI",IF(AND(M145="Ya",N145=""),"KLAIM BELUM DIHUBUNGKAN",IF(AND(N145&lt;&gt;"",COUNTIF(REIMBURSE!$A$5:$A$124,N145)=0),"ID KLAIM TIDAK TERDAFTAR",IF(Q145="Ditolak","PENGELUARAN DITOLAK",IF(R145&gt;K145,"NILAI DISETUJUI MELEBIHI BIAYA",IF(AND(Q145="Disetujui",Z145=""),"PENYETUJU BELUM DIISI",IF(Q145&lt;&gt;"Disetujui","MENUNGGU PERSETUJUAN","OK")))))))))</f>
        <v/>
      </c>
      <c r="Z145" s="98"/>
      <c r="AA145" s="105"/>
      <c r="AB145" s="98"/>
      <c r="AC145" s="104" t="str">
        <f t="shared" si="25"/>
        <v/>
      </c>
    </row>
    <row r="146" spans="1:29">
      <c r="A146" s="9" t="str">
        <f t="shared" si="21"/>
        <v/>
      </c>
      <c r="B146" s="10"/>
      <c r="C146" s="9" t="str">
        <f t="shared" si="22"/>
        <v/>
      </c>
      <c r="D146" s="46"/>
      <c r="E146" s="47" t="str">
        <f>IF(D146="","",IFERROR(INDEX(PERKARA!$B$5:$B$104,MATCH(D146,PERKARA!$A$5:$A$104,0)),"ID TIDAK TERDAFTAR"))</f>
        <v/>
      </c>
      <c r="F146" s="6"/>
      <c r="G146" s="6"/>
      <c r="H146" s="6"/>
      <c r="I146" s="6"/>
      <c r="J146" s="6"/>
      <c r="K146" s="11"/>
      <c r="L146" s="6"/>
      <c r="M146" s="6"/>
      <c r="N146" s="6"/>
      <c r="O146" s="6"/>
      <c r="P146" s="6"/>
      <c r="Q146" s="103"/>
      <c r="R146" s="107"/>
      <c r="S146" s="11"/>
      <c r="T146" s="12" t="str">
        <f t="shared" si="23"/>
        <v/>
      </c>
      <c r="U146" s="10"/>
      <c r="V146" s="9" t="str">
        <f t="shared" si="24"/>
        <v/>
      </c>
      <c r="W146" s="6"/>
      <c r="X146" s="6"/>
      <c r="Y146" s="67" t="str">
        <f>IF(B146="","",IF(AND(D146&lt;&gt;"",E146="ID TIDAK TERDAFTAR"),"PERKARA TIDAK VALID",IF(I146="","AKUN BELUM DIISI",IF(AND(M146="Ya",N146=""),"KLAIM BELUM DIHUBUNGKAN",IF(AND(N146&lt;&gt;"",COUNTIF(REIMBURSE!$A$5:$A$124,N146)=0),"ID KLAIM TIDAK TERDAFTAR",IF(Q146="Ditolak","PENGELUARAN DITOLAK",IF(R146&gt;K146,"NILAI DISETUJUI MELEBIHI BIAYA",IF(AND(Q146="Disetujui",Z146=""),"PENYETUJU BELUM DIISI",IF(Q146&lt;&gt;"Disetujui","MENUNGGU PERSETUJUAN","OK")))))))))</f>
        <v/>
      </c>
      <c r="Z146" s="98"/>
      <c r="AA146" s="105"/>
      <c r="AB146" s="98"/>
      <c r="AC146" s="104" t="str">
        <f t="shared" si="25"/>
        <v/>
      </c>
    </row>
    <row r="147" spans="1:29">
      <c r="A147" s="9" t="str">
        <f t="shared" si="21"/>
        <v/>
      </c>
      <c r="B147" s="10"/>
      <c r="C147" s="9" t="str">
        <f t="shared" si="22"/>
        <v/>
      </c>
      <c r="D147" s="46"/>
      <c r="E147" s="47" t="str">
        <f>IF(D147="","",IFERROR(INDEX(PERKARA!$B$5:$B$104,MATCH(D147,PERKARA!$A$5:$A$104,0)),"ID TIDAK TERDAFTAR"))</f>
        <v/>
      </c>
      <c r="F147" s="6"/>
      <c r="G147" s="6"/>
      <c r="H147" s="6"/>
      <c r="I147" s="6"/>
      <c r="J147" s="6"/>
      <c r="K147" s="11"/>
      <c r="L147" s="6"/>
      <c r="M147" s="6"/>
      <c r="N147" s="6"/>
      <c r="O147" s="6"/>
      <c r="P147" s="6"/>
      <c r="Q147" s="103"/>
      <c r="R147" s="107"/>
      <c r="S147" s="11"/>
      <c r="T147" s="12" t="str">
        <f t="shared" si="23"/>
        <v/>
      </c>
      <c r="U147" s="10"/>
      <c r="V147" s="9" t="str">
        <f t="shared" si="24"/>
        <v/>
      </c>
      <c r="W147" s="6"/>
      <c r="X147" s="6"/>
      <c r="Y147" s="67" t="str">
        <f>IF(B147="","",IF(AND(D147&lt;&gt;"",E147="ID TIDAK TERDAFTAR"),"PERKARA TIDAK VALID",IF(I147="","AKUN BELUM DIISI",IF(AND(M147="Ya",N147=""),"KLAIM BELUM DIHUBUNGKAN",IF(AND(N147&lt;&gt;"",COUNTIF(REIMBURSE!$A$5:$A$124,N147)=0),"ID KLAIM TIDAK TERDAFTAR",IF(Q147="Ditolak","PENGELUARAN DITOLAK",IF(R147&gt;K147,"NILAI DISETUJUI MELEBIHI BIAYA",IF(AND(Q147="Disetujui",Z147=""),"PENYETUJU BELUM DIISI",IF(Q147&lt;&gt;"Disetujui","MENUNGGU PERSETUJUAN","OK")))))))))</f>
        <v/>
      </c>
      <c r="Z147" s="98"/>
      <c r="AA147" s="105"/>
      <c r="AB147" s="98"/>
      <c r="AC147" s="104" t="str">
        <f t="shared" si="25"/>
        <v/>
      </c>
    </row>
    <row r="148" spans="1:29">
      <c r="A148" s="9" t="str">
        <f t="shared" si="21"/>
        <v/>
      </c>
      <c r="B148" s="10"/>
      <c r="C148" s="9" t="str">
        <f t="shared" si="22"/>
        <v/>
      </c>
      <c r="D148" s="46"/>
      <c r="E148" s="47" t="str">
        <f>IF(D148="","",IFERROR(INDEX(PERKARA!$B$5:$B$104,MATCH(D148,PERKARA!$A$5:$A$104,0)),"ID TIDAK TERDAFTAR"))</f>
        <v/>
      </c>
      <c r="F148" s="6"/>
      <c r="G148" s="6"/>
      <c r="H148" s="6"/>
      <c r="I148" s="6"/>
      <c r="J148" s="6"/>
      <c r="K148" s="11"/>
      <c r="L148" s="6"/>
      <c r="M148" s="6"/>
      <c r="N148" s="6"/>
      <c r="O148" s="6"/>
      <c r="P148" s="6"/>
      <c r="Q148" s="103"/>
      <c r="R148" s="107"/>
      <c r="S148" s="11"/>
      <c r="T148" s="12" t="str">
        <f t="shared" si="23"/>
        <v/>
      </c>
      <c r="U148" s="10"/>
      <c r="V148" s="9" t="str">
        <f t="shared" si="24"/>
        <v/>
      </c>
      <c r="W148" s="6"/>
      <c r="X148" s="6"/>
      <c r="Y148" s="67" t="str">
        <f>IF(B148="","",IF(AND(D148&lt;&gt;"",E148="ID TIDAK TERDAFTAR"),"PERKARA TIDAK VALID",IF(I148="","AKUN BELUM DIISI",IF(AND(M148="Ya",N148=""),"KLAIM BELUM DIHUBUNGKAN",IF(AND(N148&lt;&gt;"",COUNTIF(REIMBURSE!$A$5:$A$124,N148)=0),"ID KLAIM TIDAK TERDAFTAR",IF(Q148="Ditolak","PENGELUARAN DITOLAK",IF(R148&gt;K148,"NILAI DISETUJUI MELEBIHI BIAYA",IF(AND(Q148="Disetujui",Z148=""),"PENYETUJU BELUM DIISI",IF(Q148&lt;&gt;"Disetujui","MENUNGGU PERSETUJUAN","OK")))))))))</f>
        <v/>
      </c>
      <c r="Z148" s="98"/>
      <c r="AA148" s="105"/>
      <c r="AB148" s="98"/>
      <c r="AC148" s="104" t="str">
        <f t="shared" si="25"/>
        <v/>
      </c>
    </row>
    <row r="149" spans="1:29">
      <c r="A149" s="9" t="str">
        <f t="shared" si="21"/>
        <v/>
      </c>
      <c r="B149" s="10"/>
      <c r="C149" s="9" t="str">
        <f t="shared" si="22"/>
        <v/>
      </c>
      <c r="D149" s="46"/>
      <c r="E149" s="47" t="str">
        <f>IF(D149="","",IFERROR(INDEX(PERKARA!$B$5:$B$104,MATCH(D149,PERKARA!$A$5:$A$104,0)),"ID TIDAK TERDAFTAR"))</f>
        <v/>
      </c>
      <c r="F149" s="6"/>
      <c r="G149" s="6"/>
      <c r="H149" s="6"/>
      <c r="I149" s="6"/>
      <c r="J149" s="6"/>
      <c r="K149" s="11"/>
      <c r="L149" s="6"/>
      <c r="M149" s="6"/>
      <c r="N149" s="6"/>
      <c r="O149" s="6"/>
      <c r="P149" s="6"/>
      <c r="Q149" s="103"/>
      <c r="R149" s="107"/>
      <c r="S149" s="11"/>
      <c r="T149" s="12" t="str">
        <f t="shared" si="23"/>
        <v/>
      </c>
      <c r="U149" s="10"/>
      <c r="V149" s="9" t="str">
        <f t="shared" si="24"/>
        <v/>
      </c>
      <c r="W149" s="6"/>
      <c r="X149" s="6"/>
      <c r="Y149" s="67" t="str">
        <f>IF(B149="","",IF(AND(D149&lt;&gt;"",E149="ID TIDAK TERDAFTAR"),"PERKARA TIDAK VALID",IF(I149="","AKUN BELUM DIISI",IF(AND(M149="Ya",N149=""),"KLAIM BELUM DIHUBUNGKAN",IF(AND(N149&lt;&gt;"",COUNTIF(REIMBURSE!$A$5:$A$124,N149)=0),"ID KLAIM TIDAK TERDAFTAR",IF(Q149="Ditolak","PENGELUARAN DITOLAK",IF(R149&gt;K149,"NILAI DISETUJUI MELEBIHI BIAYA",IF(AND(Q149="Disetujui",Z149=""),"PENYETUJU BELUM DIISI",IF(Q149&lt;&gt;"Disetujui","MENUNGGU PERSETUJUAN","OK")))))))))</f>
        <v/>
      </c>
      <c r="Z149" s="98"/>
      <c r="AA149" s="105"/>
      <c r="AB149" s="98"/>
      <c r="AC149" s="104" t="str">
        <f t="shared" si="25"/>
        <v/>
      </c>
    </row>
    <row r="150" spans="1:29">
      <c r="A150" s="9" t="str">
        <f t="shared" si="21"/>
        <v/>
      </c>
      <c r="B150" s="10"/>
      <c r="C150" s="9" t="str">
        <f t="shared" si="22"/>
        <v/>
      </c>
      <c r="D150" s="46"/>
      <c r="E150" s="47" t="str">
        <f>IF(D150="","",IFERROR(INDEX(PERKARA!$B$5:$B$104,MATCH(D150,PERKARA!$A$5:$A$104,0)),"ID TIDAK TERDAFTAR"))</f>
        <v/>
      </c>
      <c r="F150" s="6"/>
      <c r="G150" s="6"/>
      <c r="H150" s="6"/>
      <c r="I150" s="6"/>
      <c r="J150" s="6"/>
      <c r="K150" s="11"/>
      <c r="L150" s="6"/>
      <c r="M150" s="6"/>
      <c r="N150" s="6"/>
      <c r="O150" s="6"/>
      <c r="P150" s="6"/>
      <c r="Q150" s="103"/>
      <c r="R150" s="107"/>
      <c r="S150" s="11"/>
      <c r="T150" s="12" t="str">
        <f t="shared" si="23"/>
        <v/>
      </c>
      <c r="U150" s="10"/>
      <c r="V150" s="9" t="str">
        <f t="shared" si="24"/>
        <v/>
      </c>
      <c r="W150" s="6"/>
      <c r="X150" s="6"/>
      <c r="Y150" s="67" t="str">
        <f>IF(B150="","",IF(AND(D150&lt;&gt;"",E150="ID TIDAK TERDAFTAR"),"PERKARA TIDAK VALID",IF(I150="","AKUN BELUM DIISI",IF(AND(M150="Ya",N150=""),"KLAIM BELUM DIHUBUNGKAN",IF(AND(N150&lt;&gt;"",COUNTIF(REIMBURSE!$A$5:$A$124,N150)=0),"ID KLAIM TIDAK TERDAFTAR",IF(Q150="Ditolak","PENGELUARAN DITOLAK",IF(R150&gt;K150,"NILAI DISETUJUI MELEBIHI BIAYA",IF(AND(Q150="Disetujui",Z150=""),"PENYETUJU BELUM DIISI",IF(Q150&lt;&gt;"Disetujui","MENUNGGU PERSETUJUAN","OK")))))))))</f>
        <v/>
      </c>
      <c r="Z150" s="98"/>
      <c r="AA150" s="105"/>
      <c r="AB150" s="98"/>
      <c r="AC150" s="104" t="str">
        <f t="shared" si="25"/>
        <v/>
      </c>
    </row>
    <row r="151" spans="1:29">
      <c r="A151" s="9" t="str">
        <f t="shared" si="21"/>
        <v/>
      </c>
      <c r="B151" s="10"/>
      <c r="C151" s="9" t="str">
        <f t="shared" si="22"/>
        <v/>
      </c>
      <c r="D151" s="46"/>
      <c r="E151" s="47" t="str">
        <f>IF(D151="","",IFERROR(INDEX(PERKARA!$B$5:$B$104,MATCH(D151,PERKARA!$A$5:$A$104,0)),"ID TIDAK TERDAFTAR"))</f>
        <v/>
      </c>
      <c r="F151" s="6"/>
      <c r="G151" s="6"/>
      <c r="H151" s="6"/>
      <c r="I151" s="6"/>
      <c r="J151" s="6"/>
      <c r="K151" s="11"/>
      <c r="L151" s="6"/>
      <c r="M151" s="6"/>
      <c r="N151" s="6"/>
      <c r="O151" s="6"/>
      <c r="P151" s="6"/>
      <c r="Q151" s="103"/>
      <c r="R151" s="107"/>
      <c r="S151" s="11"/>
      <c r="T151" s="12" t="str">
        <f t="shared" si="23"/>
        <v/>
      </c>
      <c r="U151" s="10"/>
      <c r="V151" s="9" t="str">
        <f t="shared" si="24"/>
        <v/>
      </c>
      <c r="W151" s="6"/>
      <c r="X151" s="6"/>
      <c r="Y151" s="67" t="str">
        <f>IF(B151="","",IF(AND(D151&lt;&gt;"",E151="ID TIDAK TERDAFTAR"),"PERKARA TIDAK VALID",IF(I151="","AKUN BELUM DIISI",IF(AND(M151="Ya",N151=""),"KLAIM BELUM DIHUBUNGKAN",IF(AND(N151&lt;&gt;"",COUNTIF(REIMBURSE!$A$5:$A$124,N151)=0),"ID KLAIM TIDAK TERDAFTAR",IF(Q151="Ditolak","PENGELUARAN DITOLAK",IF(R151&gt;K151,"NILAI DISETUJUI MELEBIHI BIAYA",IF(AND(Q151="Disetujui",Z151=""),"PENYETUJU BELUM DIISI",IF(Q151&lt;&gt;"Disetujui","MENUNGGU PERSETUJUAN","OK")))))))))</f>
        <v/>
      </c>
      <c r="Z151" s="98"/>
      <c r="AA151" s="105"/>
      <c r="AB151" s="98"/>
      <c r="AC151" s="104" t="str">
        <f t="shared" si="25"/>
        <v/>
      </c>
    </row>
    <row r="152" spans="1:29">
      <c r="A152" s="9" t="str">
        <f t="shared" si="21"/>
        <v/>
      </c>
      <c r="B152" s="10"/>
      <c r="C152" s="9" t="str">
        <f t="shared" si="22"/>
        <v/>
      </c>
      <c r="D152" s="46"/>
      <c r="E152" s="47" t="str">
        <f>IF(D152="","",IFERROR(INDEX(PERKARA!$B$5:$B$104,MATCH(D152,PERKARA!$A$5:$A$104,0)),"ID TIDAK TERDAFTAR"))</f>
        <v/>
      </c>
      <c r="F152" s="6"/>
      <c r="G152" s="6"/>
      <c r="H152" s="6"/>
      <c r="I152" s="6"/>
      <c r="J152" s="6"/>
      <c r="K152" s="11"/>
      <c r="L152" s="6"/>
      <c r="M152" s="6"/>
      <c r="N152" s="6"/>
      <c r="O152" s="6"/>
      <c r="P152" s="6"/>
      <c r="Q152" s="103"/>
      <c r="R152" s="107"/>
      <c r="S152" s="11"/>
      <c r="T152" s="12" t="str">
        <f t="shared" si="23"/>
        <v/>
      </c>
      <c r="U152" s="10"/>
      <c r="V152" s="9" t="str">
        <f t="shared" si="24"/>
        <v/>
      </c>
      <c r="W152" s="6"/>
      <c r="X152" s="6"/>
      <c r="Y152" s="67" t="str">
        <f>IF(B152="","",IF(AND(D152&lt;&gt;"",E152="ID TIDAK TERDAFTAR"),"PERKARA TIDAK VALID",IF(I152="","AKUN BELUM DIISI",IF(AND(M152="Ya",N152=""),"KLAIM BELUM DIHUBUNGKAN",IF(AND(N152&lt;&gt;"",COUNTIF(REIMBURSE!$A$5:$A$124,N152)=0),"ID KLAIM TIDAK TERDAFTAR",IF(Q152="Ditolak","PENGELUARAN DITOLAK",IF(R152&gt;K152,"NILAI DISETUJUI MELEBIHI BIAYA",IF(AND(Q152="Disetujui",Z152=""),"PENYETUJU BELUM DIISI",IF(Q152&lt;&gt;"Disetujui","MENUNGGU PERSETUJUAN","OK")))))))))</f>
        <v/>
      </c>
      <c r="Z152" s="98"/>
      <c r="AA152" s="105"/>
      <c r="AB152" s="98"/>
      <c r="AC152" s="104" t="str">
        <f t="shared" si="25"/>
        <v/>
      </c>
    </row>
    <row r="153" spans="1:29">
      <c r="A153" s="9" t="str">
        <f t="shared" si="21"/>
        <v/>
      </c>
      <c r="B153" s="10"/>
      <c r="C153" s="9" t="str">
        <f t="shared" si="22"/>
        <v/>
      </c>
      <c r="D153" s="46"/>
      <c r="E153" s="47" t="str">
        <f>IF(D153="","",IFERROR(INDEX(PERKARA!$B$5:$B$104,MATCH(D153,PERKARA!$A$5:$A$104,0)),"ID TIDAK TERDAFTAR"))</f>
        <v/>
      </c>
      <c r="F153" s="6"/>
      <c r="G153" s="6"/>
      <c r="H153" s="6"/>
      <c r="I153" s="6"/>
      <c r="J153" s="6"/>
      <c r="K153" s="11"/>
      <c r="L153" s="6"/>
      <c r="M153" s="6"/>
      <c r="N153" s="6"/>
      <c r="O153" s="6"/>
      <c r="P153" s="6"/>
      <c r="Q153" s="103"/>
      <c r="R153" s="107"/>
      <c r="S153" s="11"/>
      <c r="T153" s="12" t="str">
        <f t="shared" si="23"/>
        <v/>
      </c>
      <c r="U153" s="10"/>
      <c r="V153" s="9" t="str">
        <f t="shared" si="24"/>
        <v/>
      </c>
      <c r="W153" s="6"/>
      <c r="X153" s="6"/>
      <c r="Y153" s="67" t="str">
        <f>IF(B153="","",IF(AND(D153&lt;&gt;"",E153="ID TIDAK TERDAFTAR"),"PERKARA TIDAK VALID",IF(I153="","AKUN BELUM DIISI",IF(AND(M153="Ya",N153=""),"KLAIM BELUM DIHUBUNGKAN",IF(AND(N153&lt;&gt;"",COUNTIF(REIMBURSE!$A$5:$A$124,N153)=0),"ID KLAIM TIDAK TERDAFTAR",IF(Q153="Ditolak","PENGELUARAN DITOLAK",IF(R153&gt;K153,"NILAI DISETUJUI MELEBIHI BIAYA",IF(AND(Q153="Disetujui",Z153=""),"PENYETUJU BELUM DIISI",IF(Q153&lt;&gt;"Disetujui","MENUNGGU PERSETUJUAN","OK")))))))))</f>
        <v/>
      </c>
      <c r="Z153" s="98"/>
      <c r="AA153" s="105"/>
      <c r="AB153" s="98"/>
      <c r="AC153" s="104" t="str">
        <f t="shared" si="25"/>
        <v/>
      </c>
    </row>
    <row r="154" spans="1:29">
      <c r="A154" s="9" t="str">
        <f t="shared" si="21"/>
        <v/>
      </c>
      <c r="B154" s="10"/>
      <c r="C154" s="9" t="str">
        <f t="shared" si="22"/>
        <v/>
      </c>
      <c r="D154" s="46"/>
      <c r="E154" s="47" t="str">
        <f>IF(D154="","",IFERROR(INDEX(PERKARA!$B$5:$B$104,MATCH(D154,PERKARA!$A$5:$A$104,0)),"ID TIDAK TERDAFTAR"))</f>
        <v/>
      </c>
      <c r="F154" s="6"/>
      <c r="G154" s="6"/>
      <c r="H154" s="6"/>
      <c r="I154" s="6"/>
      <c r="J154" s="6"/>
      <c r="K154" s="11"/>
      <c r="L154" s="6"/>
      <c r="M154" s="6"/>
      <c r="N154" s="6"/>
      <c r="O154" s="6"/>
      <c r="P154" s="6"/>
      <c r="Q154" s="103"/>
      <c r="R154" s="107"/>
      <c r="S154" s="11"/>
      <c r="T154" s="12" t="str">
        <f t="shared" si="23"/>
        <v/>
      </c>
      <c r="U154" s="10"/>
      <c r="V154" s="9" t="str">
        <f t="shared" si="24"/>
        <v/>
      </c>
      <c r="W154" s="6"/>
      <c r="X154" s="6"/>
      <c r="Y154" s="67" t="str">
        <f>IF(B154="","",IF(AND(D154&lt;&gt;"",E154="ID TIDAK TERDAFTAR"),"PERKARA TIDAK VALID",IF(I154="","AKUN BELUM DIISI",IF(AND(M154="Ya",N154=""),"KLAIM BELUM DIHUBUNGKAN",IF(AND(N154&lt;&gt;"",COUNTIF(REIMBURSE!$A$5:$A$124,N154)=0),"ID KLAIM TIDAK TERDAFTAR",IF(Q154="Ditolak","PENGELUARAN DITOLAK",IF(R154&gt;K154,"NILAI DISETUJUI MELEBIHI BIAYA",IF(AND(Q154="Disetujui",Z154=""),"PENYETUJU BELUM DIISI",IF(Q154&lt;&gt;"Disetujui","MENUNGGU PERSETUJUAN","OK")))))))))</f>
        <v/>
      </c>
      <c r="Z154" s="98"/>
      <c r="AA154" s="105"/>
      <c r="AB154" s="98"/>
      <c r="AC154" s="104" t="str">
        <f t="shared" si="25"/>
        <v/>
      </c>
    </row>
    <row r="155" spans="1:29">
      <c r="A155" s="9" t="str">
        <f t="shared" si="21"/>
        <v/>
      </c>
      <c r="B155" s="10"/>
      <c r="C155" s="9" t="str">
        <f t="shared" si="22"/>
        <v/>
      </c>
      <c r="D155" s="46"/>
      <c r="E155" s="47" t="str">
        <f>IF(D155="","",IFERROR(INDEX(PERKARA!$B$5:$B$104,MATCH(D155,PERKARA!$A$5:$A$104,0)),"ID TIDAK TERDAFTAR"))</f>
        <v/>
      </c>
      <c r="F155" s="6"/>
      <c r="G155" s="6"/>
      <c r="H155" s="6"/>
      <c r="I155" s="6"/>
      <c r="J155" s="6"/>
      <c r="K155" s="11"/>
      <c r="L155" s="6"/>
      <c r="M155" s="6"/>
      <c r="N155" s="6"/>
      <c r="O155" s="6"/>
      <c r="P155" s="6"/>
      <c r="Q155" s="103"/>
      <c r="R155" s="107"/>
      <c r="S155" s="11"/>
      <c r="T155" s="12" t="str">
        <f t="shared" si="23"/>
        <v/>
      </c>
      <c r="U155" s="10"/>
      <c r="V155" s="9" t="str">
        <f t="shared" si="24"/>
        <v/>
      </c>
      <c r="W155" s="6"/>
      <c r="X155" s="6"/>
      <c r="Y155" s="67" t="str">
        <f>IF(B155="","",IF(AND(D155&lt;&gt;"",E155="ID TIDAK TERDAFTAR"),"PERKARA TIDAK VALID",IF(I155="","AKUN BELUM DIISI",IF(AND(M155="Ya",N155=""),"KLAIM BELUM DIHUBUNGKAN",IF(AND(N155&lt;&gt;"",COUNTIF(REIMBURSE!$A$5:$A$124,N155)=0),"ID KLAIM TIDAK TERDAFTAR",IF(Q155="Ditolak","PENGELUARAN DITOLAK",IF(R155&gt;K155,"NILAI DISETUJUI MELEBIHI BIAYA",IF(AND(Q155="Disetujui",Z155=""),"PENYETUJU BELUM DIISI",IF(Q155&lt;&gt;"Disetujui","MENUNGGU PERSETUJUAN","OK")))))))))</f>
        <v/>
      </c>
      <c r="Z155" s="98"/>
      <c r="AA155" s="105"/>
      <c r="AB155" s="98"/>
      <c r="AC155" s="104" t="str">
        <f t="shared" si="25"/>
        <v/>
      </c>
    </row>
    <row r="156" spans="1:29">
      <c r="A156" s="9" t="str">
        <f t="shared" si="21"/>
        <v/>
      </c>
      <c r="B156" s="10"/>
      <c r="C156" s="9" t="str">
        <f t="shared" si="22"/>
        <v/>
      </c>
      <c r="D156" s="46"/>
      <c r="E156" s="47" t="str">
        <f>IF(D156="","",IFERROR(INDEX(PERKARA!$B$5:$B$104,MATCH(D156,PERKARA!$A$5:$A$104,0)),"ID TIDAK TERDAFTAR"))</f>
        <v/>
      </c>
      <c r="F156" s="6"/>
      <c r="G156" s="6"/>
      <c r="H156" s="6"/>
      <c r="I156" s="6"/>
      <c r="J156" s="6"/>
      <c r="K156" s="11"/>
      <c r="L156" s="6"/>
      <c r="M156" s="6"/>
      <c r="N156" s="6"/>
      <c r="O156" s="6"/>
      <c r="P156" s="6"/>
      <c r="Q156" s="103"/>
      <c r="R156" s="107"/>
      <c r="S156" s="11"/>
      <c r="T156" s="12" t="str">
        <f t="shared" si="23"/>
        <v/>
      </c>
      <c r="U156" s="10"/>
      <c r="V156" s="9" t="str">
        <f t="shared" si="24"/>
        <v/>
      </c>
      <c r="W156" s="6"/>
      <c r="X156" s="6"/>
      <c r="Y156" s="67" t="str">
        <f>IF(B156="","",IF(AND(D156&lt;&gt;"",E156="ID TIDAK TERDAFTAR"),"PERKARA TIDAK VALID",IF(I156="","AKUN BELUM DIISI",IF(AND(M156="Ya",N156=""),"KLAIM BELUM DIHUBUNGKAN",IF(AND(N156&lt;&gt;"",COUNTIF(REIMBURSE!$A$5:$A$124,N156)=0),"ID KLAIM TIDAK TERDAFTAR",IF(Q156="Ditolak","PENGELUARAN DITOLAK",IF(R156&gt;K156,"NILAI DISETUJUI MELEBIHI BIAYA",IF(AND(Q156="Disetujui",Z156=""),"PENYETUJU BELUM DIISI",IF(Q156&lt;&gt;"Disetujui","MENUNGGU PERSETUJUAN","OK")))))))))</f>
        <v/>
      </c>
      <c r="Z156" s="98"/>
      <c r="AA156" s="105"/>
      <c r="AB156" s="98"/>
      <c r="AC156" s="104" t="str">
        <f t="shared" si="25"/>
        <v/>
      </c>
    </row>
    <row r="157" spans="1:29">
      <c r="A157" s="9" t="str">
        <f t="shared" si="21"/>
        <v/>
      </c>
      <c r="B157" s="10"/>
      <c r="C157" s="9" t="str">
        <f t="shared" si="22"/>
        <v/>
      </c>
      <c r="D157" s="46"/>
      <c r="E157" s="47" t="str">
        <f>IF(D157="","",IFERROR(INDEX(PERKARA!$B$5:$B$104,MATCH(D157,PERKARA!$A$5:$A$104,0)),"ID TIDAK TERDAFTAR"))</f>
        <v/>
      </c>
      <c r="F157" s="6"/>
      <c r="G157" s="6"/>
      <c r="H157" s="6"/>
      <c r="I157" s="6"/>
      <c r="J157" s="6"/>
      <c r="K157" s="11"/>
      <c r="L157" s="6"/>
      <c r="M157" s="6"/>
      <c r="N157" s="6"/>
      <c r="O157" s="6"/>
      <c r="P157" s="6"/>
      <c r="Q157" s="103"/>
      <c r="R157" s="107"/>
      <c r="S157" s="11"/>
      <c r="T157" s="12" t="str">
        <f t="shared" si="23"/>
        <v/>
      </c>
      <c r="U157" s="10"/>
      <c r="V157" s="9" t="str">
        <f t="shared" si="24"/>
        <v/>
      </c>
      <c r="W157" s="6"/>
      <c r="X157" s="6"/>
      <c r="Y157" s="67" t="str">
        <f>IF(B157="","",IF(AND(D157&lt;&gt;"",E157="ID TIDAK TERDAFTAR"),"PERKARA TIDAK VALID",IF(I157="","AKUN BELUM DIISI",IF(AND(M157="Ya",N157=""),"KLAIM BELUM DIHUBUNGKAN",IF(AND(N157&lt;&gt;"",COUNTIF(REIMBURSE!$A$5:$A$124,N157)=0),"ID KLAIM TIDAK TERDAFTAR",IF(Q157="Ditolak","PENGELUARAN DITOLAK",IF(R157&gt;K157,"NILAI DISETUJUI MELEBIHI BIAYA",IF(AND(Q157="Disetujui",Z157=""),"PENYETUJU BELUM DIISI",IF(Q157&lt;&gt;"Disetujui","MENUNGGU PERSETUJUAN","OK")))))))))</f>
        <v/>
      </c>
      <c r="Z157" s="98"/>
      <c r="AA157" s="105"/>
      <c r="AB157" s="98"/>
      <c r="AC157" s="104" t="str">
        <f t="shared" si="25"/>
        <v/>
      </c>
    </row>
    <row r="158" spans="1:29">
      <c r="A158" s="9" t="str">
        <f t="shared" si="21"/>
        <v/>
      </c>
      <c r="B158" s="10"/>
      <c r="C158" s="9" t="str">
        <f t="shared" si="22"/>
        <v/>
      </c>
      <c r="D158" s="46"/>
      <c r="E158" s="47" t="str">
        <f>IF(D158="","",IFERROR(INDEX(PERKARA!$B$5:$B$104,MATCH(D158,PERKARA!$A$5:$A$104,0)),"ID TIDAK TERDAFTAR"))</f>
        <v/>
      </c>
      <c r="F158" s="6"/>
      <c r="G158" s="6"/>
      <c r="H158" s="6"/>
      <c r="I158" s="6"/>
      <c r="J158" s="6"/>
      <c r="K158" s="11"/>
      <c r="L158" s="6"/>
      <c r="M158" s="6"/>
      <c r="N158" s="6"/>
      <c r="O158" s="6"/>
      <c r="P158" s="6"/>
      <c r="Q158" s="103"/>
      <c r="R158" s="107"/>
      <c r="S158" s="11"/>
      <c r="T158" s="12" t="str">
        <f t="shared" si="23"/>
        <v/>
      </c>
      <c r="U158" s="10"/>
      <c r="V158" s="9" t="str">
        <f t="shared" si="24"/>
        <v/>
      </c>
      <c r="W158" s="6"/>
      <c r="X158" s="6"/>
      <c r="Y158" s="67" t="str">
        <f>IF(B158="","",IF(AND(D158&lt;&gt;"",E158="ID TIDAK TERDAFTAR"),"PERKARA TIDAK VALID",IF(I158="","AKUN BELUM DIISI",IF(AND(M158="Ya",N158=""),"KLAIM BELUM DIHUBUNGKAN",IF(AND(N158&lt;&gt;"",COUNTIF(REIMBURSE!$A$5:$A$124,N158)=0),"ID KLAIM TIDAK TERDAFTAR",IF(Q158="Ditolak","PENGELUARAN DITOLAK",IF(R158&gt;K158,"NILAI DISETUJUI MELEBIHI BIAYA",IF(AND(Q158="Disetujui",Z158=""),"PENYETUJU BELUM DIISI",IF(Q158&lt;&gt;"Disetujui","MENUNGGU PERSETUJUAN","OK")))))))))</f>
        <v/>
      </c>
      <c r="Z158" s="98"/>
      <c r="AA158" s="105"/>
      <c r="AB158" s="98"/>
      <c r="AC158" s="104" t="str">
        <f t="shared" si="25"/>
        <v/>
      </c>
    </row>
    <row r="159" spans="1:29">
      <c r="A159" s="9" t="str">
        <f t="shared" si="21"/>
        <v/>
      </c>
      <c r="B159" s="10"/>
      <c r="C159" s="9" t="str">
        <f t="shared" si="22"/>
        <v/>
      </c>
      <c r="D159" s="46"/>
      <c r="E159" s="47" t="str">
        <f>IF(D159="","",IFERROR(INDEX(PERKARA!$B$5:$B$104,MATCH(D159,PERKARA!$A$5:$A$104,0)),"ID TIDAK TERDAFTAR"))</f>
        <v/>
      </c>
      <c r="F159" s="6"/>
      <c r="G159" s="6"/>
      <c r="H159" s="6"/>
      <c r="I159" s="6"/>
      <c r="J159" s="6"/>
      <c r="K159" s="11"/>
      <c r="L159" s="6"/>
      <c r="M159" s="6"/>
      <c r="N159" s="6"/>
      <c r="O159" s="6"/>
      <c r="P159" s="6"/>
      <c r="Q159" s="103"/>
      <c r="R159" s="107"/>
      <c r="S159" s="11"/>
      <c r="T159" s="12" t="str">
        <f t="shared" si="23"/>
        <v/>
      </c>
      <c r="U159" s="10"/>
      <c r="V159" s="9" t="str">
        <f t="shared" si="24"/>
        <v/>
      </c>
      <c r="W159" s="6"/>
      <c r="X159" s="6"/>
      <c r="Y159" s="67" t="str">
        <f>IF(B159="","",IF(AND(D159&lt;&gt;"",E159="ID TIDAK TERDAFTAR"),"PERKARA TIDAK VALID",IF(I159="","AKUN BELUM DIISI",IF(AND(M159="Ya",N159=""),"KLAIM BELUM DIHUBUNGKAN",IF(AND(N159&lt;&gt;"",COUNTIF(REIMBURSE!$A$5:$A$124,N159)=0),"ID KLAIM TIDAK TERDAFTAR",IF(Q159="Ditolak","PENGELUARAN DITOLAK",IF(R159&gt;K159,"NILAI DISETUJUI MELEBIHI BIAYA",IF(AND(Q159="Disetujui",Z159=""),"PENYETUJU BELUM DIISI",IF(Q159&lt;&gt;"Disetujui","MENUNGGU PERSETUJUAN","OK")))))))))</f>
        <v/>
      </c>
      <c r="Z159" s="98"/>
      <c r="AA159" s="105"/>
      <c r="AB159" s="98"/>
      <c r="AC159" s="104" t="str">
        <f t="shared" si="25"/>
        <v/>
      </c>
    </row>
    <row r="160" spans="1:29">
      <c r="A160" s="9" t="str">
        <f t="shared" si="21"/>
        <v/>
      </c>
      <c r="B160" s="10"/>
      <c r="C160" s="9" t="str">
        <f t="shared" si="22"/>
        <v/>
      </c>
      <c r="D160" s="46"/>
      <c r="E160" s="47" t="str">
        <f>IF(D160="","",IFERROR(INDEX(PERKARA!$B$5:$B$104,MATCH(D160,PERKARA!$A$5:$A$104,0)),"ID TIDAK TERDAFTAR"))</f>
        <v/>
      </c>
      <c r="F160" s="6"/>
      <c r="G160" s="6"/>
      <c r="H160" s="6"/>
      <c r="I160" s="6"/>
      <c r="J160" s="6"/>
      <c r="K160" s="11"/>
      <c r="L160" s="6"/>
      <c r="M160" s="6"/>
      <c r="N160" s="6"/>
      <c r="O160" s="6"/>
      <c r="P160" s="6"/>
      <c r="Q160" s="103"/>
      <c r="R160" s="107"/>
      <c r="S160" s="11"/>
      <c r="T160" s="12" t="str">
        <f t="shared" si="23"/>
        <v/>
      </c>
      <c r="U160" s="10"/>
      <c r="V160" s="9" t="str">
        <f t="shared" si="24"/>
        <v/>
      </c>
      <c r="W160" s="6"/>
      <c r="X160" s="6"/>
      <c r="Y160" s="67" t="str">
        <f>IF(B160="","",IF(AND(D160&lt;&gt;"",E160="ID TIDAK TERDAFTAR"),"PERKARA TIDAK VALID",IF(I160="","AKUN BELUM DIISI",IF(AND(M160="Ya",N160=""),"KLAIM BELUM DIHUBUNGKAN",IF(AND(N160&lt;&gt;"",COUNTIF(REIMBURSE!$A$5:$A$124,N160)=0),"ID KLAIM TIDAK TERDAFTAR",IF(Q160="Ditolak","PENGELUARAN DITOLAK",IF(R160&gt;K160,"NILAI DISETUJUI MELEBIHI BIAYA",IF(AND(Q160="Disetujui",Z160=""),"PENYETUJU BELUM DIISI",IF(Q160&lt;&gt;"Disetujui","MENUNGGU PERSETUJUAN","OK")))))))))</f>
        <v/>
      </c>
      <c r="Z160" s="98"/>
      <c r="AA160" s="105"/>
      <c r="AB160" s="98"/>
      <c r="AC160" s="104" t="str">
        <f t="shared" si="25"/>
        <v/>
      </c>
    </row>
    <row r="161" spans="1:29">
      <c r="A161" s="9" t="str">
        <f t="shared" si="21"/>
        <v/>
      </c>
      <c r="B161" s="10"/>
      <c r="C161" s="9" t="str">
        <f t="shared" si="22"/>
        <v/>
      </c>
      <c r="D161" s="46"/>
      <c r="E161" s="47" t="str">
        <f>IF(D161="","",IFERROR(INDEX(PERKARA!$B$5:$B$104,MATCH(D161,PERKARA!$A$5:$A$104,0)),"ID TIDAK TERDAFTAR"))</f>
        <v/>
      </c>
      <c r="F161" s="6"/>
      <c r="G161" s="6"/>
      <c r="H161" s="6"/>
      <c r="I161" s="6"/>
      <c r="J161" s="6"/>
      <c r="K161" s="11"/>
      <c r="L161" s="6"/>
      <c r="M161" s="6"/>
      <c r="N161" s="6"/>
      <c r="O161" s="6"/>
      <c r="P161" s="6"/>
      <c r="Q161" s="103"/>
      <c r="R161" s="107"/>
      <c r="S161" s="11"/>
      <c r="T161" s="12" t="str">
        <f t="shared" si="23"/>
        <v/>
      </c>
      <c r="U161" s="10"/>
      <c r="V161" s="9" t="str">
        <f t="shared" si="24"/>
        <v/>
      </c>
      <c r="W161" s="6"/>
      <c r="X161" s="6"/>
      <c r="Y161" s="67" t="str">
        <f>IF(B161="","",IF(AND(D161&lt;&gt;"",E161="ID TIDAK TERDAFTAR"),"PERKARA TIDAK VALID",IF(I161="","AKUN BELUM DIISI",IF(AND(M161="Ya",N161=""),"KLAIM BELUM DIHUBUNGKAN",IF(AND(N161&lt;&gt;"",COUNTIF(REIMBURSE!$A$5:$A$124,N161)=0),"ID KLAIM TIDAK TERDAFTAR",IF(Q161="Ditolak","PENGELUARAN DITOLAK",IF(R161&gt;K161,"NILAI DISETUJUI MELEBIHI BIAYA",IF(AND(Q161="Disetujui",Z161=""),"PENYETUJU BELUM DIISI",IF(Q161&lt;&gt;"Disetujui","MENUNGGU PERSETUJUAN","OK")))))))))</f>
        <v/>
      </c>
      <c r="Z161" s="98"/>
      <c r="AA161" s="105"/>
      <c r="AB161" s="98"/>
      <c r="AC161" s="104" t="str">
        <f t="shared" si="25"/>
        <v/>
      </c>
    </row>
    <row r="162" spans="1:29">
      <c r="A162" s="9" t="str">
        <f t="shared" si="21"/>
        <v/>
      </c>
      <c r="B162" s="10"/>
      <c r="C162" s="9" t="str">
        <f t="shared" si="22"/>
        <v/>
      </c>
      <c r="D162" s="46"/>
      <c r="E162" s="47" t="str">
        <f>IF(D162="","",IFERROR(INDEX(PERKARA!$B$5:$B$104,MATCH(D162,PERKARA!$A$5:$A$104,0)),"ID TIDAK TERDAFTAR"))</f>
        <v/>
      </c>
      <c r="F162" s="6"/>
      <c r="G162" s="6"/>
      <c r="H162" s="6"/>
      <c r="I162" s="6"/>
      <c r="J162" s="6"/>
      <c r="K162" s="11"/>
      <c r="L162" s="6"/>
      <c r="M162" s="6"/>
      <c r="N162" s="6"/>
      <c r="O162" s="6"/>
      <c r="P162" s="6"/>
      <c r="Q162" s="103"/>
      <c r="R162" s="107"/>
      <c r="S162" s="11"/>
      <c r="T162" s="12" t="str">
        <f t="shared" si="23"/>
        <v/>
      </c>
      <c r="U162" s="10"/>
      <c r="V162" s="9" t="str">
        <f t="shared" si="24"/>
        <v/>
      </c>
      <c r="W162" s="6"/>
      <c r="X162" s="6"/>
      <c r="Y162" s="67" t="str">
        <f>IF(B162="","",IF(AND(D162&lt;&gt;"",E162="ID TIDAK TERDAFTAR"),"PERKARA TIDAK VALID",IF(I162="","AKUN BELUM DIISI",IF(AND(M162="Ya",N162=""),"KLAIM BELUM DIHUBUNGKAN",IF(AND(N162&lt;&gt;"",COUNTIF(REIMBURSE!$A$5:$A$124,N162)=0),"ID KLAIM TIDAK TERDAFTAR",IF(Q162="Ditolak","PENGELUARAN DITOLAK",IF(R162&gt;K162,"NILAI DISETUJUI MELEBIHI BIAYA",IF(AND(Q162="Disetujui",Z162=""),"PENYETUJU BELUM DIISI",IF(Q162&lt;&gt;"Disetujui","MENUNGGU PERSETUJUAN","OK")))))))))</f>
        <v/>
      </c>
      <c r="Z162" s="98"/>
      <c r="AA162" s="105"/>
      <c r="AB162" s="98"/>
      <c r="AC162" s="104" t="str">
        <f t="shared" si="25"/>
        <v/>
      </c>
    </row>
    <row r="163" spans="1:29">
      <c r="A163" s="9" t="str">
        <f t="shared" si="21"/>
        <v/>
      </c>
      <c r="B163" s="10"/>
      <c r="C163" s="9" t="str">
        <f t="shared" si="22"/>
        <v/>
      </c>
      <c r="D163" s="46"/>
      <c r="E163" s="47" t="str">
        <f>IF(D163="","",IFERROR(INDEX(PERKARA!$B$5:$B$104,MATCH(D163,PERKARA!$A$5:$A$104,0)),"ID TIDAK TERDAFTAR"))</f>
        <v/>
      </c>
      <c r="F163" s="6"/>
      <c r="G163" s="6"/>
      <c r="H163" s="6"/>
      <c r="I163" s="6"/>
      <c r="J163" s="6"/>
      <c r="K163" s="11"/>
      <c r="L163" s="6"/>
      <c r="M163" s="6"/>
      <c r="N163" s="6"/>
      <c r="O163" s="6"/>
      <c r="P163" s="6"/>
      <c r="Q163" s="103"/>
      <c r="R163" s="107"/>
      <c r="S163" s="11"/>
      <c r="T163" s="12" t="str">
        <f t="shared" si="23"/>
        <v/>
      </c>
      <c r="U163" s="10"/>
      <c r="V163" s="9" t="str">
        <f t="shared" si="24"/>
        <v/>
      </c>
      <c r="W163" s="6"/>
      <c r="X163" s="6"/>
      <c r="Y163" s="67" t="str">
        <f>IF(B163="","",IF(AND(D163&lt;&gt;"",E163="ID TIDAK TERDAFTAR"),"PERKARA TIDAK VALID",IF(I163="","AKUN BELUM DIISI",IF(AND(M163="Ya",N163=""),"KLAIM BELUM DIHUBUNGKAN",IF(AND(N163&lt;&gt;"",COUNTIF(REIMBURSE!$A$5:$A$124,N163)=0),"ID KLAIM TIDAK TERDAFTAR",IF(Q163="Ditolak","PENGELUARAN DITOLAK",IF(R163&gt;K163,"NILAI DISETUJUI MELEBIHI BIAYA",IF(AND(Q163="Disetujui",Z163=""),"PENYETUJU BELUM DIISI",IF(Q163&lt;&gt;"Disetujui","MENUNGGU PERSETUJUAN","OK")))))))))</f>
        <v/>
      </c>
      <c r="Z163" s="98"/>
      <c r="AA163" s="105"/>
      <c r="AB163" s="98"/>
      <c r="AC163" s="104" t="str">
        <f t="shared" si="25"/>
        <v/>
      </c>
    </row>
    <row r="164" spans="1:29">
      <c r="A164" s="9" t="str">
        <f t="shared" si="21"/>
        <v/>
      </c>
      <c r="B164" s="10"/>
      <c r="C164" s="9" t="str">
        <f t="shared" si="22"/>
        <v/>
      </c>
      <c r="D164" s="46"/>
      <c r="E164" s="47" t="str">
        <f>IF(D164="","",IFERROR(INDEX(PERKARA!$B$5:$B$104,MATCH(D164,PERKARA!$A$5:$A$104,0)),"ID TIDAK TERDAFTAR"))</f>
        <v/>
      </c>
      <c r="F164" s="6"/>
      <c r="G164" s="6"/>
      <c r="H164" s="6"/>
      <c r="I164" s="6"/>
      <c r="J164" s="6"/>
      <c r="K164" s="11"/>
      <c r="L164" s="6"/>
      <c r="M164" s="6"/>
      <c r="N164" s="6"/>
      <c r="O164" s="6"/>
      <c r="P164" s="6"/>
      <c r="Q164" s="103"/>
      <c r="R164" s="107"/>
      <c r="S164" s="11"/>
      <c r="T164" s="12" t="str">
        <f t="shared" si="23"/>
        <v/>
      </c>
      <c r="U164" s="10"/>
      <c r="V164" s="9" t="str">
        <f t="shared" si="24"/>
        <v/>
      </c>
      <c r="W164" s="6"/>
      <c r="X164" s="6"/>
      <c r="Y164" s="67" t="str">
        <f>IF(B164="","",IF(AND(D164&lt;&gt;"",E164="ID TIDAK TERDAFTAR"),"PERKARA TIDAK VALID",IF(I164="","AKUN BELUM DIISI",IF(AND(M164="Ya",N164=""),"KLAIM BELUM DIHUBUNGKAN",IF(AND(N164&lt;&gt;"",COUNTIF(REIMBURSE!$A$5:$A$124,N164)=0),"ID KLAIM TIDAK TERDAFTAR",IF(Q164="Ditolak","PENGELUARAN DITOLAK",IF(R164&gt;K164,"NILAI DISETUJUI MELEBIHI BIAYA",IF(AND(Q164="Disetujui",Z164=""),"PENYETUJU BELUM DIISI",IF(Q164&lt;&gt;"Disetujui","MENUNGGU PERSETUJUAN","OK")))))))))</f>
        <v/>
      </c>
      <c r="Z164" s="98"/>
      <c r="AA164" s="105"/>
      <c r="AB164" s="98"/>
      <c r="AC164" s="104" t="str">
        <f t="shared" si="25"/>
        <v/>
      </c>
    </row>
    <row r="165" spans="1:29">
      <c r="A165" s="9" t="str">
        <f t="shared" ref="A165:A196" si="26">IF(B165="","","EXP-"&amp;TEXT(B165,"yyyymmdd")&amp;"-"&amp;TEXT(ROW()-4,"000"))</f>
        <v/>
      </c>
      <c r="B165" s="10"/>
      <c r="C165" s="9" t="str">
        <f t="shared" ref="C165:C196" si="27">IF(B165="","",TEXT(B165,"yyyy-mm"))</f>
        <v/>
      </c>
      <c r="D165" s="46"/>
      <c r="E165" s="47" t="str">
        <f>IF(D165="","",IFERROR(INDEX(PERKARA!$B$5:$B$104,MATCH(D165,PERKARA!$A$5:$A$104,0)),"ID TIDAK TERDAFTAR"))</f>
        <v/>
      </c>
      <c r="F165" s="6"/>
      <c r="G165" s="6"/>
      <c r="H165" s="6"/>
      <c r="I165" s="6"/>
      <c r="J165" s="6"/>
      <c r="K165" s="11"/>
      <c r="L165" s="6"/>
      <c r="M165" s="6"/>
      <c r="N165" s="6"/>
      <c r="O165" s="6"/>
      <c r="P165" s="6"/>
      <c r="Q165" s="103"/>
      <c r="R165" s="107"/>
      <c r="S165" s="11"/>
      <c r="T165" s="12" t="str">
        <f t="shared" ref="T165:T196" si="28">IF(B165="","",IF(M165&lt;&gt;"Ya",0,MAX(IF(R165="",K165,R165)-S165,0)))</f>
        <v/>
      </c>
      <c r="U165" s="10"/>
      <c r="V165" s="9" t="str">
        <f t="shared" ref="V165:V196" si="29">IF(B165="","",IF(M165&lt;&gt;"Ya","Tidak Perlu",IF(Q165="Ditolak","Ditolak",IF(S165=0,IF(Q165="Disetujui","Belum Dibayar","Belum Diajukan"),IF(T165=0,"Lunas","Dibayar Sebagian")))))</f>
        <v/>
      </c>
      <c r="W165" s="6"/>
      <c r="X165" s="6"/>
      <c r="Y165" s="67" t="str">
        <f>IF(B165="","",IF(AND(D165&lt;&gt;"",E165="ID TIDAK TERDAFTAR"),"PERKARA TIDAK VALID",IF(I165="","AKUN BELUM DIISI",IF(AND(M165="Ya",N165=""),"KLAIM BELUM DIHUBUNGKAN",IF(AND(N165&lt;&gt;"",COUNTIF(REIMBURSE!$A$5:$A$124,N165)=0),"ID KLAIM TIDAK TERDAFTAR",IF(Q165="Ditolak","PENGELUARAN DITOLAK",IF(R165&gt;K165,"NILAI DISETUJUI MELEBIHI BIAYA",IF(AND(Q165="Disetujui",Z165=""),"PENYETUJU BELUM DIISI",IF(Q165&lt;&gt;"Disetujui","MENUNGGU PERSETUJUAN","OK")))))))))</f>
        <v/>
      </c>
      <c r="Z165" s="98"/>
      <c r="AA165" s="105"/>
      <c r="AB165" s="98"/>
      <c r="AC165" s="104" t="str">
        <f t="shared" ref="AC165:AC196" si="30">IF(B165="","",IF(Q165="Ditolak","DITOLAK",IF(AND(Q165="Disetujui",R165&gt;K165),"NILAI DISETUJUI MELEBIHI BIAYA",IF(AND(Q165="Disetujui",R165=""),"NILAI PERSETUJUAN BELUM DIISI",IF(AND(Q165="Disetujui",Z165&lt;&gt;""),"LENGKAP",IF(Q165="Disetujui","NAMA PENYETUJU BELUM DIISI","MENUNGGU PERSETUJUAN MANUAL"))))))</f>
        <v/>
      </c>
    </row>
    <row r="166" spans="1:29">
      <c r="A166" s="9" t="str">
        <f t="shared" si="26"/>
        <v/>
      </c>
      <c r="B166" s="10"/>
      <c r="C166" s="9" t="str">
        <f t="shared" si="27"/>
        <v/>
      </c>
      <c r="D166" s="46"/>
      <c r="E166" s="47" t="str">
        <f>IF(D166="","",IFERROR(INDEX(PERKARA!$B$5:$B$104,MATCH(D166,PERKARA!$A$5:$A$104,0)),"ID TIDAK TERDAFTAR"))</f>
        <v/>
      </c>
      <c r="F166" s="6"/>
      <c r="G166" s="6"/>
      <c r="H166" s="6"/>
      <c r="I166" s="6"/>
      <c r="J166" s="6"/>
      <c r="K166" s="11"/>
      <c r="L166" s="6"/>
      <c r="M166" s="6"/>
      <c r="N166" s="6"/>
      <c r="O166" s="6"/>
      <c r="P166" s="6"/>
      <c r="Q166" s="103"/>
      <c r="R166" s="107"/>
      <c r="S166" s="11"/>
      <c r="T166" s="12" t="str">
        <f t="shared" si="28"/>
        <v/>
      </c>
      <c r="U166" s="10"/>
      <c r="V166" s="9" t="str">
        <f t="shared" si="29"/>
        <v/>
      </c>
      <c r="W166" s="6"/>
      <c r="X166" s="6"/>
      <c r="Y166" s="67" t="str">
        <f>IF(B166="","",IF(AND(D166&lt;&gt;"",E166="ID TIDAK TERDAFTAR"),"PERKARA TIDAK VALID",IF(I166="","AKUN BELUM DIISI",IF(AND(M166="Ya",N166=""),"KLAIM BELUM DIHUBUNGKAN",IF(AND(N166&lt;&gt;"",COUNTIF(REIMBURSE!$A$5:$A$124,N166)=0),"ID KLAIM TIDAK TERDAFTAR",IF(Q166="Ditolak","PENGELUARAN DITOLAK",IF(R166&gt;K166,"NILAI DISETUJUI MELEBIHI BIAYA",IF(AND(Q166="Disetujui",Z166=""),"PENYETUJU BELUM DIISI",IF(Q166&lt;&gt;"Disetujui","MENUNGGU PERSETUJUAN","OK")))))))))</f>
        <v/>
      </c>
      <c r="Z166" s="98"/>
      <c r="AA166" s="105"/>
      <c r="AB166" s="98"/>
      <c r="AC166" s="104" t="str">
        <f t="shared" si="30"/>
        <v/>
      </c>
    </row>
    <row r="167" spans="1:29">
      <c r="A167" s="9" t="str">
        <f t="shared" si="26"/>
        <v/>
      </c>
      <c r="B167" s="10"/>
      <c r="C167" s="9" t="str">
        <f t="shared" si="27"/>
        <v/>
      </c>
      <c r="D167" s="46"/>
      <c r="E167" s="47" t="str">
        <f>IF(D167="","",IFERROR(INDEX(PERKARA!$B$5:$B$104,MATCH(D167,PERKARA!$A$5:$A$104,0)),"ID TIDAK TERDAFTAR"))</f>
        <v/>
      </c>
      <c r="F167" s="6"/>
      <c r="G167" s="6"/>
      <c r="H167" s="6"/>
      <c r="I167" s="6"/>
      <c r="J167" s="6"/>
      <c r="K167" s="11"/>
      <c r="L167" s="6"/>
      <c r="M167" s="6"/>
      <c r="N167" s="6"/>
      <c r="O167" s="6"/>
      <c r="P167" s="6"/>
      <c r="Q167" s="103"/>
      <c r="R167" s="107"/>
      <c r="S167" s="11"/>
      <c r="T167" s="12" t="str">
        <f t="shared" si="28"/>
        <v/>
      </c>
      <c r="U167" s="10"/>
      <c r="V167" s="9" t="str">
        <f t="shared" si="29"/>
        <v/>
      </c>
      <c r="W167" s="6"/>
      <c r="X167" s="6"/>
      <c r="Y167" s="67" t="str">
        <f>IF(B167="","",IF(AND(D167&lt;&gt;"",E167="ID TIDAK TERDAFTAR"),"PERKARA TIDAK VALID",IF(I167="","AKUN BELUM DIISI",IF(AND(M167="Ya",N167=""),"KLAIM BELUM DIHUBUNGKAN",IF(AND(N167&lt;&gt;"",COUNTIF(REIMBURSE!$A$5:$A$124,N167)=0),"ID KLAIM TIDAK TERDAFTAR",IF(Q167="Ditolak","PENGELUARAN DITOLAK",IF(R167&gt;K167,"NILAI DISETUJUI MELEBIHI BIAYA",IF(AND(Q167="Disetujui",Z167=""),"PENYETUJU BELUM DIISI",IF(Q167&lt;&gt;"Disetujui","MENUNGGU PERSETUJUAN","OK")))))))))</f>
        <v/>
      </c>
      <c r="Z167" s="98"/>
      <c r="AA167" s="105"/>
      <c r="AB167" s="98"/>
      <c r="AC167" s="104" t="str">
        <f t="shared" si="30"/>
        <v/>
      </c>
    </row>
    <row r="168" spans="1:29">
      <c r="A168" s="9" t="str">
        <f t="shared" si="26"/>
        <v/>
      </c>
      <c r="B168" s="10"/>
      <c r="C168" s="9" t="str">
        <f t="shared" si="27"/>
        <v/>
      </c>
      <c r="D168" s="46"/>
      <c r="E168" s="47" t="str">
        <f>IF(D168="","",IFERROR(INDEX(PERKARA!$B$5:$B$104,MATCH(D168,PERKARA!$A$5:$A$104,0)),"ID TIDAK TERDAFTAR"))</f>
        <v/>
      </c>
      <c r="F168" s="6"/>
      <c r="G168" s="6"/>
      <c r="H168" s="6"/>
      <c r="I168" s="6"/>
      <c r="J168" s="6"/>
      <c r="K168" s="11"/>
      <c r="L168" s="6"/>
      <c r="M168" s="6"/>
      <c r="N168" s="6"/>
      <c r="O168" s="6"/>
      <c r="P168" s="6"/>
      <c r="Q168" s="103"/>
      <c r="R168" s="107"/>
      <c r="S168" s="11"/>
      <c r="T168" s="12" t="str">
        <f t="shared" si="28"/>
        <v/>
      </c>
      <c r="U168" s="10"/>
      <c r="V168" s="9" t="str">
        <f t="shared" si="29"/>
        <v/>
      </c>
      <c r="W168" s="6"/>
      <c r="X168" s="6"/>
      <c r="Y168" s="67" t="str">
        <f>IF(B168="","",IF(AND(D168&lt;&gt;"",E168="ID TIDAK TERDAFTAR"),"PERKARA TIDAK VALID",IF(I168="","AKUN BELUM DIISI",IF(AND(M168="Ya",N168=""),"KLAIM BELUM DIHUBUNGKAN",IF(AND(N168&lt;&gt;"",COUNTIF(REIMBURSE!$A$5:$A$124,N168)=0),"ID KLAIM TIDAK TERDAFTAR",IF(Q168="Ditolak","PENGELUARAN DITOLAK",IF(R168&gt;K168,"NILAI DISETUJUI MELEBIHI BIAYA",IF(AND(Q168="Disetujui",Z168=""),"PENYETUJU BELUM DIISI",IF(Q168&lt;&gt;"Disetujui","MENUNGGU PERSETUJUAN","OK")))))))))</f>
        <v/>
      </c>
      <c r="Z168" s="98"/>
      <c r="AA168" s="105"/>
      <c r="AB168" s="98"/>
      <c r="AC168" s="104" t="str">
        <f t="shared" si="30"/>
        <v/>
      </c>
    </row>
    <row r="169" spans="1:29">
      <c r="A169" s="9" t="str">
        <f t="shared" si="26"/>
        <v/>
      </c>
      <c r="B169" s="10"/>
      <c r="C169" s="9" t="str">
        <f t="shared" si="27"/>
        <v/>
      </c>
      <c r="D169" s="46"/>
      <c r="E169" s="47" t="str">
        <f>IF(D169="","",IFERROR(INDEX(PERKARA!$B$5:$B$104,MATCH(D169,PERKARA!$A$5:$A$104,0)),"ID TIDAK TERDAFTAR"))</f>
        <v/>
      </c>
      <c r="F169" s="6"/>
      <c r="G169" s="6"/>
      <c r="H169" s="6"/>
      <c r="I169" s="6"/>
      <c r="J169" s="6"/>
      <c r="K169" s="11"/>
      <c r="L169" s="6"/>
      <c r="M169" s="6"/>
      <c r="N169" s="6"/>
      <c r="O169" s="6"/>
      <c r="P169" s="6"/>
      <c r="Q169" s="103"/>
      <c r="R169" s="107"/>
      <c r="S169" s="11"/>
      <c r="T169" s="12" t="str">
        <f t="shared" si="28"/>
        <v/>
      </c>
      <c r="U169" s="10"/>
      <c r="V169" s="9" t="str">
        <f t="shared" si="29"/>
        <v/>
      </c>
      <c r="W169" s="6"/>
      <c r="X169" s="6"/>
      <c r="Y169" s="67" t="str">
        <f>IF(B169="","",IF(AND(D169&lt;&gt;"",E169="ID TIDAK TERDAFTAR"),"PERKARA TIDAK VALID",IF(I169="","AKUN BELUM DIISI",IF(AND(M169="Ya",N169=""),"KLAIM BELUM DIHUBUNGKAN",IF(AND(N169&lt;&gt;"",COUNTIF(REIMBURSE!$A$5:$A$124,N169)=0),"ID KLAIM TIDAK TERDAFTAR",IF(Q169="Ditolak","PENGELUARAN DITOLAK",IF(R169&gt;K169,"NILAI DISETUJUI MELEBIHI BIAYA",IF(AND(Q169="Disetujui",Z169=""),"PENYETUJU BELUM DIISI",IF(Q169&lt;&gt;"Disetujui","MENUNGGU PERSETUJUAN","OK")))))))))</f>
        <v/>
      </c>
      <c r="Z169" s="98"/>
      <c r="AA169" s="105"/>
      <c r="AB169" s="98"/>
      <c r="AC169" s="104" t="str">
        <f t="shared" si="30"/>
        <v/>
      </c>
    </row>
    <row r="170" spans="1:29">
      <c r="A170" s="9" t="str">
        <f t="shared" si="26"/>
        <v/>
      </c>
      <c r="B170" s="10"/>
      <c r="C170" s="9" t="str">
        <f t="shared" si="27"/>
        <v/>
      </c>
      <c r="D170" s="46"/>
      <c r="E170" s="47" t="str">
        <f>IF(D170="","",IFERROR(INDEX(PERKARA!$B$5:$B$104,MATCH(D170,PERKARA!$A$5:$A$104,0)),"ID TIDAK TERDAFTAR"))</f>
        <v/>
      </c>
      <c r="F170" s="6"/>
      <c r="G170" s="6"/>
      <c r="H170" s="6"/>
      <c r="I170" s="6"/>
      <c r="J170" s="6"/>
      <c r="K170" s="11"/>
      <c r="L170" s="6"/>
      <c r="M170" s="6"/>
      <c r="N170" s="6"/>
      <c r="O170" s="6"/>
      <c r="P170" s="6"/>
      <c r="Q170" s="103"/>
      <c r="R170" s="107"/>
      <c r="S170" s="11"/>
      <c r="T170" s="12" t="str">
        <f t="shared" si="28"/>
        <v/>
      </c>
      <c r="U170" s="10"/>
      <c r="V170" s="9" t="str">
        <f t="shared" si="29"/>
        <v/>
      </c>
      <c r="W170" s="6"/>
      <c r="X170" s="6"/>
      <c r="Y170" s="67" t="str">
        <f>IF(B170="","",IF(AND(D170&lt;&gt;"",E170="ID TIDAK TERDAFTAR"),"PERKARA TIDAK VALID",IF(I170="","AKUN BELUM DIISI",IF(AND(M170="Ya",N170=""),"KLAIM BELUM DIHUBUNGKAN",IF(AND(N170&lt;&gt;"",COUNTIF(REIMBURSE!$A$5:$A$124,N170)=0),"ID KLAIM TIDAK TERDAFTAR",IF(Q170="Ditolak","PENGELUARAN DITOLAK",IF(R170&gt;K170,"NILAI DISETUJUI MELEBIHI BIAYA",IF(AND(Q170="Disetujui",Z170=""),"PENYETUJU BELUM DIISI",IF(Q170&lt;&gt;"Disetujui","MENUNGGU PERSETUJUAN","OK")))))))))</f>
        <v/>
      </c>
      <c r="Z170" s="98"/>
      <c r="AA170" s="105"/>
      <c r="AB170" s="98"/>
      <c r="AC170" s="104" t="str">
        <f t="shared" si="30"/>
        <v/>
      </c>
    </row>
    <row r="171" spans="1:29">
      <c r="A171" s="9" t="str">
        <f t="shared" si="26"/>
        <v/>
      </c>
      <c r="B171" s="10"/>
      <c r="C171" s="9" t="str">
        <f t="shared" si="27"/>
        <v/>
      </c>
      <c r="D171" s="46"/>
      <c r="E171" s="47" t="str">
        <f>IF(D171="","",IFERROR(INDEX(PERKARA!$B$5:$B$104,MATCH(D171,PERKARA!$A$5:$A$104,0)),"ID TIDAK TERDAFTAR"))</f>
        <v/>
      </c>
      <c r="F171" s="6"/>
      <c r="G171" s="6"/>
      <c r="H171" s="6"/>
      <c r="I171" s="6"/>
      <c r="J171" s="6"/>
      <c r="K171" s="11"/>
      <c r="L171" s="6"/>
      <c r="M171" s="6"/>
      <c r="N171" s="6"/>
      <c r="O171" s="6"/>
      <c r="P171" s="6"/>
      <c r="Q171" s="103"/>
      <c r="R171" s="107"/>
      <c r="S171" s="11"/>
      <c r="T171" s="12" t="str">
        <f t="shared" si="28"/>
        <v/>
      </c>
      <c r="U171" s="10"/>
      <c r="V171" s="9" t="str">
        <f t="shared" si="29"/>
        <v/>
      </c>
      <c r="W171" s="6"/>
      <c r="X171" s="6"/>
      <c r="Y171" s="67" t="str">
        <f>IF(B171="","",IF(AND(D171&lt;&gt;"",E171="ID TIDAK TERDAFTAR"),"PERKARA TIDAK VALID",IF(I171="","AKUN BELUM DIISI",IF(AND(M171="Ya",N171=""),"KLAIM BELUM DIHUBUNGKAN",IF(AND(N171&lt;&gt;"",COUNTIF(REIMBURSE!$A$5:$A$124,N171)=0),"ID KLAIM TIDAK TERDAFTAR",IF(Q171="Ditolak","PENGELUARAN DITOLAK",IF(R171&gt;K171,"NILAI DISETUJUI MELEBIHI BIAYA",IF(AND(Q171="Disetujui",Z171=""),"PENYETUJU BELUM DIISI",IF(Q171&lt;&gt;"Disetujui","MENUNGGU PERSETUJUAN","OK")))))))))</f>
        <v/>
      </c>
      <c r="Z171" s="98"/>
      <c r="AA171" s="105"/>
      <c r="AB171" s="98"/>
      <c r="AC171" s="104" t="str">
        <f t="shared" si="30"/>
        <v/>
      </c>
    </row>
    <row r="172" spans="1:29">
      <c r="A172" s="9" t="str">
        <f t="shared" si="26"/>
        <v/>
      </c>
      <c r="B172" s="10"/>
      <c r="C172" s="9" t="str">
        <f t="shared" si="27"/>
        <v/>
      </c>
      <c r="D172" s="46"/>
      <c r="E172" s="47" t="str">
        <f>IF(D172="","",IFERROR(INDEX(PERKARA!$B$5:$B$104,MATCH(D172,PERKARA!$A$5:$A$104,0)),"ID TIDAK TERDAFTAR"))</f>
        <v/>
      </c>
      <c r="F172" s="6"/>
      <c r="G172" s="6"/>
      <c r="H172" s="6"/>
      <c r="I172" s="6"/>
      <c r="J172" s="6"/>
      <c r="K172" s="11"/>
      <c r="L172" s="6"/>
      <c r="M172" s="6"/>
      <c r="N172" s="6"/>
      <c r="O172" s="6"/>
      <c r="P172" s="6"/>
      <c r="Q172" s="103"/>
      <c r="R172" s="107"/>
      <c r="S172" s="11"/>
      <c r="T172" s="12" t="str">
        <f t="shared" si="28"/>
        <v/>
      </c>
      <c r="U172" s="10"/>
      <c r="V172" s="9" t="str">
        <f t="shared" si="29"/>
        <v/>
      </c>
      <c r="W172" s="6"/>
      <c r="X172" s="6"/>
      <c r="Y172" s="67" t="str">
        <f>IF(B172="","",IF(AND(D172&lt;&gt;"",E172="ID TIDAK TERDAFTAR"),"PERKARA TIDAK VALID",IF(I172="","AKUN BELUM DIISI",IF(AND(M172="Ya",N172=""),"KLAIM BELUM DIHUBUNGKAN",IF(AND(N172&lt;&gt;"",COUNTIF(REIMBURSE!$A$5:$A$124,N172)=0),"ID KLAIM TIDAK TERDAFTAR",IF(Q172="Ditolak","PENGELUARAN DITOLAK",IF(R172&gt;K172,"NILAI DISETUJUI MELEBIHI BIAYA",IF(AND(Q172="Disetujui",Z172=""),"PENYETUJU BELUM DIISI",IF(Q172&lt;&gt;"Disetujui","MENUNGGU PERSETUJUAN","OK")))))))))</f>
        <v/>
      </c>
      <c r="Z172" s="98"/>
      <c r="AA172" s="105"/>
      <c r="AB172" s="98"/>
      <c r="AC172" s="104" t="str">
        <f t="shared" si="30"/>
        <v/>
      </c>
    </row>
    <row r="173" spans="1:29">
      <c r="A173" s="9" t="str">
        <f t="shared" si="26"/>
        <v/>
      </c>
      <c r="B173" s="10"/>
      <c r="C173" s="9" t="str">
        <f t="shared" si="27"/>
        <v/>
      </c>
      <c r="D173" s="46"/>
      <c r="E173" s="47" t="str">
        <f>IF(D173="","",IFERROR(INDEX(PERKARA!$B$5:$B$104,MATCH(D173,PERKARA!$A$5:$A$104,0)),"ID TIDAK TERDAFTAR"))</f>
        <v/>
      </c>
      <c r="F173" s="6"/>
      <c r="G173" s="6"/>
      <c r="H173" s="6"/>
      <c r="I173" s="6"/>
      <c r="J173" s="6"/>
      <c r="K173" s="11"/>
      <c r="L173" s="6"/>
      <c r="M173" s="6"/>
      <c r="N173" s="6"/>
      <c r="O173" s="6"/>
      <c r="P173" s="6"/>
      <c r="Q173" s="103"/>
      <c r="R173" s="107"/>
      <c r="S173" s="11"/>
      <c r="T173" s="12" t="str">
        <f t="shared" si="28"/>
        <v/>
      </c>
      <c r="U173" s="10"/>
      <c r="V173" s="9" t="str">
        <f t="shared" si="29"/>
        <v/>
      </c>
      <c r="W173" s="6"/>
      <c r="X173" s="6"/>
      <c r="Y173" s="67" t="str">
        <f>IF(B173="","",IF(AND(D173&lt;&gt;"",E173="ID TIDAK TERDAFTAR"),"PERKARA TIDAK VALID",IF(I173="","AKUN BELUM DIISI",IF(AND(M173="Ya",N173=""),"KLAIM BELUM DIHUBUNGKAN",IF(AND(N173&lt;&gt;"",COUNTIF(REIMBURSE!$A$5:$A$124,N173)=0),"ID KLAIM TIDAK TERDAFTAR",IF(Q173="Ditolak","PENGELUARAN DITOLAK",IF(R173&gt;K173,"NILAI DISETUJUI MELEBIHI BIAYA",IF(AND(Q173="Disetujui",Z173=""),"PENYETUJU BELUM DIISI",IF(Q173&lt;&gt;"Disetujui","MENUNGGU PERSETUJUAN","OK")))))))))</f>
        <v/>
      </c>
      <c r="Z173" s="98"/>
      <c r="AA173" s="105"/>
      <c r="AB173" s="98"/>
      <c r="AC173" s="104" t="str">
        <f t="shared" si="30"/>
        <v/>
      </c>
    </row>
    <row r="174" spans="1:29">
      <c r="A174" s="9" t="str">
        <f t="shared" si="26"/>
        <v/>
      </c>
      <c r="B174" s="10"/>
      <c r="C174" s="9" t="str">
        <f t="shared" si="27"/>
        <v/>
      </c>
      <c r="D174" s="46"/>
      <c r="E174" s="47" t="str">
        <f>IF(D174="","",IFERROR(INDEX(PERKARA!$B$5:$B$104,MATCH(D174,PERKARA!$A$5:$A$104,0)),"ID TIDAK TERDAFTAR"))</f>
        <v/>
      </c>
      <c r="F174" s="6"/>
      <c r="G174" s="6"/>
      <c r="H174" s="6"/>
      <c r="I174" s="6"/>
      <c r="J174" s="6"/>
      <c r="K174" s="11"/>
      <c r="L174" s="6"/>
      <c r="M174" s="6"/>
      <c r="N174" s="6"/>
      <c r="O174" s="6"/>
      <c r="P174" s="6"/>
      <c r="Q174" s="103"/>
      <c r="R174" s="107"/>
      <c r="S174" s="11"/>
      <c r="T174" s="12" t="str">
        <f t="shared" si="28"/>
        <v/>
      </c>
      <c r="U174" s="10"/>
      <c r="V174" s="9" t="str">
        <f t="shared" si="29"/>
        <v/>
      </c>
      <c r="W174" s="6"/>
      <c r="X174" s="6"/>
      <c r="Y174" s="67" t="str">
        <f>IF(B174="","",IF(AND(D174&lt;&gt;"",E174="ID TIDAK TERDAFTAR"),"PERKARA TIDAK VALID",IF(I174="","AKUN BELUM DIISI",IF(AND(M174="Ya",N174=""),"KLAIM BELUM DIHUBUNGKAN",IF(AND(N174&lt;&gt;"",COUNTIF(REIMBURSE!$A$5:$A$124,N174)=0),"ID KLAIM TIDAK TERDAFTAR",IF(Q174="Ditolak","PENGELUARAN DITOLAK",IF(R174&gt;K174,"NILAI DISETUJUI MELEBIHI BIAYA",IF(AND(Q174="Disetujui",Z174=""),"PENYETUJU BELUM DIISI",IF(Q174&lt;&gt;"Disetujui","MENUNGGU PERSETUJUAN","OK")))))))))</f>
        <v/>
      </c>
      <c r="Z174" s="98"/>
      <c r="AA174" s="105"/>
      <c r="AB174" s="98"/>
      <c r="AC174" s="104" t="str">
        <f t="shared" si="30"/>
        <v/>
      </c>
    </row>
    <row r="175" spans="1:29">
      <c r="A175" s="9" t="str">
        <f t="shared" si="26"/>
        <v/>
      </c>
      <c r="B175" s="10"/>
      <c r="C175" s="9" t="str">
        <f t="shared" si="27"/>
        <v/>
      </c>
      <c r="D175" s="46"/>
      <c r="E175" s="47" t="str">
        <f>IF(D175="","",IFERROR(INDEX(PERKARA!$B$5:$B$104,MATCH(D175,PERKARA!$A$5:$A$104,0)),"ID TIDAK TERDAFTAR"))</f>
        <v/>
      </c>
      <c r="F175" s="6"/>
      <c r="G175" s="6"/>
      <c r="H175" s="6"/>
      <c r="I175" s="6"/>
      <c r="J175" s="6"/>
      <c r="K175" s="11"/>
      <c r="L175" s="6"/>
      <c r="M175" s="6"/>
      <c r="N175" s="6"/>
      <c r="O175" s="6"/>
      <c r="P175" s="6"/>
      <c r="Q175" s="103"/>
      <c r="R175" s="107"/>
      <c r="S175" s="11"/>
      <c r="T175" s="12" t="str">
        <f t="shared" si="28"/>
        <v/>
      </c>
      <c r="U175" s="10"/>
      <c r="V175" s="9" t="str">
        <f t="shared" si="29"/>
        <v/>
      </c>
      <c r="W175" s="6"/>
      <c r="X175" s="6"/>
      <c r="Y175" s="67" t="str">
        <f>IF(B175="","",IF(AND(D175&lt;&gt;"",E175="ID TIDAK TERDAFTAR"),"PERKARA TIDAK VALID",IF(I175="","AKUN BELUM DIISI",IF(AND(M175="Ya",N175=""),"KLAIM BELUM DIHUBUNGKAN",IF(AND(N175&lt;&gt;"",COUNTIF(REIMBURSE!$A$5:$A$124,N175)=0),"ID KLAIM TIDAK TERDAFTAR",IF(Q175="Ditolak","PENGELUARAN DITOLAK",IF(R175&gt;K175,"NILAI DISETUJUI MELEBIHI BIAYA",IF(AND(Q175="Disetujui",Z175=""),"PENYETUJU BELUM DIISI",IF(Q175&lt;&gt;"Disetujui","MENUNGGU PERSETUJUAN","OK")))))))))</f>
        <v/>
      </c>
      <c r="Z175" s="98"/>
      <c r="AA175" s="105"/>
      <c r="AB175" s="98"/>
      <c r="AC175" s="104" t="str">
        <f t="shared" si="30"/>
        <v/>
      </c>
    </row>
    <row r="176" spans="1:29">
      <c r="A176" s="9" t="str">
        <f t="shared" si="26"/>
        <v/>
      </c>
      <c r="B176" s="10"/>
      <c r="C176" s="9" t="str">
        <f t="shared" si="27"/>
        <v/>
      </c>
      <c r="D176" s="46"/>
      <c r="E176" s="47" t="str">
        <f>IF(D176="","",IFERROR(INDEX(PERKARA!$B$5:$B$104,MATCH(D176,PERKARA!$A$5:$A$104,0)),"ID TIDAK TERDAFTAR"))</f>
        <v/>
      </c>
      <c r="F176" s="6"/>
      <c r="G176" s="6"/>
      <c r="H176" s="6"/>
      <c r="I176" s="6"/>
      <c r="J176" s="6"/>
      <c r="K176" s="11"/>
      <c r="L176" s="6"/>
      <c r="M176" s="6"/>
      <c r="N176" s="6"/>
      <c r="O176" s="6"/>
      <c r="P176" s="6"/>
      <c r="Q176" s="103"/>
      <c r="R176" s="107"/>
      <c r="S176" s="11"/>
      <c r="T176" s="12" t="str">
        <f t="shared" si="28"/>
        <v/>
      </c>
      <c r="U176" s="10"/>
      <c r="V176" s="9" t="str">
        <f t="shared" si="29"/>
        <v/>
      </c>
      <c r="W176" s="6"/>
      <c r="X176" s="6"/>
      <c r="Y176" s="67" t="str">
        <f>IF(B176="","",IF(AND(D176&lt;&gt;"",E176="ID TIDAK TERDAFTAR"),"PERKARA TIDAK VALID",IF(I176="","AKUN BELUM DIISI",IF(AND(M176="Ya",N176=""),"KLAIM BELUM DIHUBUNGKAN",IF(AND(N176&lt;&gt;"",COUNTIF(REIMBURSE!$A$5:$A$124,N176)=0),"ID KLAIM TIDAK TERDAFTAR",IF(Q176="Ditolak","PENGELUARAN DITOLAK",IF(R176&gt;K176,"NILAI DISETUJUI MELEBIHI BIAYA",IF(AND(Q176="Disetujui",Z176=""),"PENYETUJU BELUM DIISI",IF(Q176&lt;&gt;"Disetujui","MENUNGGU PERSETUJUAN","OK")))))))))</f>
        <v/>
      </c>
      <c r="Z176" s="98"/>
      <c r="AA176" s="105"/>
      <c r="AB176" s="98"/>
      <c r="AC176" s="104" t="str">
        <f t="shared" si="30"/>
        <v/>
      </c>
    </row>
    <row r="177" spans="1:29">
      <c r="A177" s="9" t="str">
        <f t="shared" si="26"/>
        <v/>
      </c>
      <c r="B177" s="10"/>
      <c r="C177" s="9" t="str">
        <f t="shared" si="27"/>
        <v/>
      </c>
      <c r="D177" s="46"/>
      <c r="E177" s="47" t="str">
        <f>IF(D177="","",IFERROR(INDEX(PERKARA!$B$5:$B$104,MATCH(D177,PERKARA!$A$5:$A$104,0)),"ID TIDAK TERDAFTAR"))</f>
        <v/>
      </c>
      <c r="F177" s="6"/>
      <c r="G177" s="6"/>
      <c r="H177" s="6"/>
      <c r="I177" s="6"/>
      <c r="J177" s="6"/>
      <c r="K177" s="11"/>
      <c r="L177" s="6"/>
      <c r="M177" s="6"/>
      <c r="N177" s="6"/>
      <c r="O177" s="6"/>
      <c r="P177" s="6"/>
      <c r="Q177" s="103"/>
      <c r="R177" s="107"/>
      <c r="S177" s="11"/>
      <c r="T177" s="12" t="str">
        <f t="shared" si="28"/>
        <v/>
      </c>
      <c r="U177" s="10"/>
      <c r="V177" s="9" t="str">
        <f t="shared" si="29"/>
        <v/>
      </c>
      <c r="W177" s="6"/>
      <c r="X177" s="6"/>
      <c r="Y177" s="67" t="str">
        <f>IF(B177="","",IF(AND(D177&lt;&gt;"",E177="ID TIDAK TERDAFTAR"),"PERKARA TIDAK VALID",IF(I177="","AKUN BELUM DIISI",IF(AND(M177="Ya",N177=""),"KLAIM BELUM DIHUBUNGKAN",IF(AND(N177&lt;&gt;"",COUNTIF(REIMBURSE!$A$5:$A$124,N177)=0),"ID KLAIM TIDAK TERDAFTAR",IF(Q177="Ditolak","PENGELUARAN DITOLAK",IF(R177&gt;K177,"NILAI DISETUJUI MELEBIHI BIAYA",IF(AND(Q177="Disetujui",Z177=""),"PENYETUJU BELUM DIISI",IF(Q177&lt;&gt;"Disetujui","MENUNGGU PERSETUJUAN","OK")))))))))</f>
        <v/>
      </c>
      <c r="Z177" s="98"/>
      <c r="AA177" s="105"/>
      <c r="AB177" s="98"/>
      <c r="AC177" s="104" t="str">
        <f t="shared" si="30"/>
        <v/>
      </c>
    </row>
    <row r="178" spans="1:29">
      <c r="A178" s="9" t="str">
        <f t="shared" si="26"/>
        <v/>
      </c>
      <c r="B178" s="10"/>
      <c r="C178" s="9" t="str">
        <f t="shared" si="27"/>
        <v/>
      </c>
      <c r="D178" s="46"/>
      <c r="E178" s="47" t="str">
        <f>IF(D178="","",IFERROR(INDEX(PERKARA!$B$5:$B$104,MATCH(D178,PERKARA!$A$5:$A$104,0)),"ID TIDAK TERDAFTAR"))</f>
        <v/>
      </c>
      <c r="F178" s="6"/>
      <c r="G178" s="6"/>
      <c r="H178" s="6"/>
      <c r="I178" s="6"/>
      <c r="J178" s="6"/>
      <c r="K178" s="11"/>
      <c r="L178" s="6"/>
      <c r="M178" s="6"/>
      <c r="N178" s="6"/>
      <c r="O178" s="6"/>
      <c r="P178" s="6"/>
      <c r="Q178" s="103"/>
      <c r="R178" s="107"/>
      <c r="S178" s="11"/>
      <c r="T178" s="12" t="str">
        <f t="shared" si="28"/>
        <v/>
      </c>
      <c r="U178" s="10"/>
      <c r="V178" s="9" t="str">
        <f t="shared" si="29"/>
        <v/>
      </c>
      <c r="W178" s="6"/>
      <c r="X178" s="6"/>
      <c r="Y178" s="67" t="str">
        <f>IF(B178="","",IF(AND(D178&lt;&gt;"",E178="ID TIDAK TERDAFTAR"),"PERKARA TIDAK VALID",IF(I178="","AKUN BELUM DIISI",IF(AND(M178="Ya",N178=""),"KLAIM BELUM DIHUBUNGKAN",IF(AND(N178&lt;&gt;"",COUNTIF(REIMBURSE!$A$5:$A$124,N178)=0),"ID KLAIM TIDAK TERDAFTAR",IF(Q178="Ditolak","PENGELUARAN DITOLAK",IF(R178&gt;K178,"NILAI DISETUJUI MELEBIHI BIAYA",IF(AND(Q178="Disetujui",Z178=""),"PENYETUJU BELUM DIISI",IF(Q178&lt;&gt;"Disetujui","MENUNGGU PERSETUJUAN","OK")))))))))</f>
        <v/>
      </c>
      <c r="Z178" s="98"/>
      <c r="AA178" s="105"/>
      <c r="AB178" s="98"/>
      <c r="AC178" s="104" t="str">
        <f t="shared" si="30"/>
        <v/>
      </c>
    </row>
    <row r="179" spans="1:29">
      <c r="A179" s="9" t="str">
        <f t="shared" si="26"/>
        <v/>
      </c>
      <c r="B179" s="10"/>
      <c r="C179" s="9" t="str">
        <f t="shared" si="27"/>
        <v/>
      </c>
      <c r="D179" s="46"/>
      <c r="E179" s="47" t="str">
        <f>IF(D179="","",IFERROR(INDEX(PERKARA!$B$5:$B$104,MATCH(D179,PERKARA!$A$5:$A$104,0)),"ID TIDAK TERDAFTAR"))</f>
        <v/>
      </c>
      <c r="F179" s="6"/>
      <c r="G179" s="6"/>
      <c r="H179" s="6"/>
      <c r="I179" s="6"/>
      <c r="J179" s="6"/>
      <c r="K179" s="11"/>
      <c r="L179" s="6"/>
      <c r="M179" s="6"/>
      <c r="N179" s="6"/>
      <c r="O179" s="6"/>
      <c r="P179" s="6"/>
      <c r="Q179" s="103"/>
      <c r="R179" s="107"/>
      <c r="S179" s="11"/>
      <c r="T179" s="12" t="str">
        <f t="shared" si="28"/>
        <v/>
      </c>
      <c r="U179" s="10"/>
      <c r="V179" s="9" t="str">
        <f t="shared" si="29"/>
        <v/>
      </c>
      <c r="W179" s="6"/>
      <c r="X179" s="6"/>
      <c r="Y179" s="67" t="str">
        <f>IF(B179="","",IF(AND(D179&lt;&gt;"",E179="ID TIDAK TERDAFTAR"),"PERKARA TIDAK VALID",IF(I179="","AKUN BELUM DIISI",IF(AND(M179="Ya",N179=""),"KLAIM BELUM DIHUBUNGKAN",IF(AND(N179&lt;&gt;"",COUNTIF(REIMBURSE!$A$5:$A$124,N179)=0),"ID KLAIM TIDAK TERDAFTAR",IF(Q179="Ditolak","PENGELUARAN DITOLAK",IF(R179&gt;K179,"NILAI DISETUJUI MELEBIHI BIAYA",IF(AND(Q179="Disetujui",Z179=""),"PENYETUJU BELUM DIISI",IF(Q179&lt;&gt;"Disetujui","MENUNGGU PERSETUJUAN","OK")))))))))</f>
        <v/>
      </c>
      <c r="Z179" s="98"/>
      <c r="AA179" s="105"/>
      <c r="AB179" s="98"/>
      <c r="AC179" s="104" t="str">
        <f t="shared" si="30"/>
        <v/>
      </c>
    </row>
    <row r="180" spans="1:29">
      <c r="A180" s="9" t="str">
        <f t="shared" si="26"/>
        <v/>
      </c>
      <c r="B180" s="10"/>
      <c r="C180" s="9" t="str">
        <f t="shared" si="27"/>
        <v/>
      </c>
      <c r="D180" s="46"/>
      <c r="E180" s="47" t="str">
        <f>IF(D180="","",IFERROR(INDEX(PERKARA!$B$5:$B$104,MATCH(D180,PERKARA!$A$5:$A$104,0)),"ID TIDAK TERDAFTAR"))</f>
        <v/>
      </c>
      <c r="F180" s="6"/>
      <c r="G180" s="6"/>
      <c r="H180" s="6"/>
      <c r="I180" s="6"/>
      <c r="J180" s="6"/>
      <c r="K180" s="11"/>
      <c r="L180" s="6"/>
      <c r="M180" s="6"/>
      <c r="N180" s="6"/>
      <c r="O180" s="6"/>
      <c r="P180" s="6"/>
      <c r="Q180" s="103"/>
      <c r="R180" s="107"/>
      <c r="S180" s="11"/>
      <c r="T180" s="12" t="str">
        <f t="shared" si="28"/>
        <v/>
      </c>
      <c r="U180" s="10"/>
      <c r="V180" s="9" t="str">
        <f t="shared" si="29"/>
        <v/>
      </c>
      <c r="W180" s="6"/>
      <c r="X180" s="6"/>
      <c r="Y180" s="67" t="str">
        <f>IF(B180="","",IF(AND(D180&lt;&gt;"",E180="ID TIDAK TERDAFTAR"),"PERKARA TIDAK VALID",IF(I180="","AKUN BELUM DIISI",IF(AND(M180="Ya",N180=""),"KLAIM BELUM DIHUBUNGKAN",IF(AND(N180&lt;&gt;"",COUNTIF(REIMBURSE!$A$5:$A$124,N180)=0),"ID KLAIM TIDAK TERDAFTAR",IF(Q180="Ditolak","PENGELUARAN DITOLAK",IF(R180&gt;K180,"NILAI DISETUJUI MELEBIHI BIAYA",IF(AND(Q180="Disetujui",Z180=""),"PENYETUJU BELUM DIISI",IF(Q180&lt;&gt;"Disetujui","MENUNGGU PERSETUJUAN","OK")))))))))</f>
        <v/>
      </c>
      <c r="Z180" s="98"/>
      <c r="AA180" s="105"/>
      <c r="AB180" s="98"/>
      <c r="AC180" s="104" t="str">
        <f t="shared" si="30"/>
        <v/>
      </c>
    </row>
    <row r="181" spans="1:29">
      <c r="A181" s="9" t="str">
        <f t="shared" si="26"/>
        <v/>
      </c>
      <c r="B181" s="10"/>
      <c r="C181" s="9" t="str">
        <f t="shared" si="27"/>
        <v/>
      </c>
      <c r="D181" s="46"/>
      <c r="E181" s="47" t="str">
        <f>IF(D181="","",IFERROR(INDEX(PERKARA!$B$5:$B$104,MATCH(D181,PERKARA!$A$5:$A$104,0)),"ID TIDAK TERDAFTAR"))</f>
        <v/>
      </c>
      <c r="F181" s="6"/>
      <c r="G181" s="6"/>
      <c r="H181" s="6"/>
      <c r="I181" s="6"/>
      <c r="J181" s="6"/>
      <c r="K181" s="11"/>
      <c r="L181" s="6"/>
      <c r="M181" s="6"/>
      <c r="N181" s="6"/>
      <c r="O181" s="6"/>
      <c r="P181" s="6"/>
      <c r="Q181" s="103"/>
      <c r="R181" s="107"/>
      <c r="S181" s="11"/>
      <c r="T181" s="12" t="str">
        <f t="shared" si="28"/>
        <v/>
      </c>
      <c r="U181" s="10"/>
      <c r="V181" s="9" t="str">
        <f t="shared" si="29"/>
        <v/>
      </c>
      <c r="W181" s="6"/>
      <c r="X181" s="6"/>
      <c r="Y181" s="67" t="str">
        <f>IF(B181="","",IF(AND(D181&lt;&gt;"",E181="ID TIDAK TERDAFTAR"),"PERKARA TIDAK VALID",IF(I181="","AKUN BELUM DIISI",IF(AND(M181="Ya",N181=""),"KLAIM BELUM DIHUBUNGKAN",IF(AND(N181&lt;&gt;"",COUNTIF(REIMBURSE!$A$5:$A$124,N181)=0),"ID KLAIM TIDAK TERDAFTAR",IF(Q181="Ditolak","PENGELUARAN DITOLAK",IF(R181&gt;K181,"NILAI DISETUJUI MELEBIHI BIAYA",IF(AND(Q181="Disetujui",Z181=""),"PENYETUJU BELUM DIISI",IF(Q181&lt;&gt;"Disetujui","MENUNGGU PERSETUJUAN","OK")))))))))</f>
        <v/>
      </c>
      <c r="Z181" s="98"/>
      <c r="AA181" s="105"/>
      <c r="AB181" s="98"/>
      <c r="AC181" s="104" t="str">
        <f t="shared" si="30"/>
        <v/>
      </c>
    </row>
    <row r="182" spans="1:29">
      <c r="A182" s="9" t="str">
        <f t="shared" si="26"/>
        <v/>
      </c>
      <c r="B182" s="10"/>
      <c r="C182" s="9" t="str">
        <f t="shared" si="27"/>
        <v/>
      </c>
      <c r="D182" s="46"/>
      <c r="E182" s="47" t="str">
        <f>IF(D182="","",IFERROR(INDEX(PERKARA!$B$5:$B$104,MATCH(D182,PERKARA!$A$5:$A$104,0)),"ID TIDAK TERDAFTAR"))</f>
        <v/>
      </c>
      <c r="F182" s="6"/>
      <c r="G182" s="6"/>
      <c r="H182" s="6"/>
      <c r="I182" s="6"/>
      <c r="J182" s="6"/>
      <c r="K182" s="11"/>
      <c r="L182" s="6"/>
      <c r="M182" s="6"/>
      <c r="N182" s="6"/>
      <c r="O182" s="6"/>
      <c r="P182" s="6"/>
      <c r="Q182" s="103"/>
      <c r="R182" s="107"/>
      <c r="S182" s="11"/>
      <c r="T182" s="12" t="str">
        <f t="shared" si="28"/>
        <v/>
      </c>
      <c r="U182" s="10"/>
      <c r="V182" s="9" t="str">
        <f t="shared" si="29"/>
        <v/>
      </c>
      <c r="W182" s="6"/>
      <c r="X182" s="6"/>
      <c r="Y182" s="67" t="str">
        <f>IF(B182="","",IF(AND(D182&lt;&gt;"",E182="ID TIDAK TERDAFTAR"),"PERKARA TIDAK VALID",IF(I182="","AKUN BELUM DIISI",IF(AND(M182="Ya",N182=""),"KLAIM BELUM DIHUBUNGKAN",IF(AND(N182&lt;&gt;"",COUNTIF(REIMBURSE!$A$5:$A$124,N182)=0),"ID KLAIM TIDAK TERDAFTAR",IF(Q182="Ditolak","PENGELUARAN DITOLAK",IF(R182&gt;K182,"NILAI DISETUJUI MELEBIHI BIAYA",IF(AND(Q182="Disetujui",Z182=""),"PENYETUJU BELUM DIISI",IF(Q182&lt;&gt;"Disetujui","MENUNGGU PERSETUJUAN","OK")))))))))</f>
        <v/>
      </c>
      <c r="Z182" s="98"/>
      <c r="AA182" s="105"/>
      <c r="AB182" s="98"/>
      <c r="AC182" s="104" t="str">
        <f t="shared" si="30"/>
        <v/>
      </c>
    </row>
    <row r="183" spans="1:29">
      <c r="A183" s="9" t="str">
        <f t="shared" si="26"/>
        <v/>
      </c>
      <c r="B183" s="10"/>
      <c r="C183" s="9" t="str">
        <f t="shared" si="27"/>
        <v/>
      </c>
      <c r="D183" s="46"/>
      <c r="E183" s="47" t="str">
        <f>IF(D183="","",IFERROR(INDEX(PERKARA!$B$5:$B$104,MATCH(D183,PERKARA!$A$5:$A$104,0)),"ID TIDAK TERDAFTAR"))</f>
        <v/>
      </c>
      <c r="F183" s="6"/>
      <c r="G183" s="6"/>
      <c r="H183" s="6"/>
      <c r="I183" s="6"/>
      <c r="J183" s="6"/>
      <c r="K183" s="11"/>
      <c r="L183" s="6"/>
      <c r="M183" s="6"/>
      <c r="N183" s="6"/>
      <c r="O183" s="6"/>
      <c r="P183" s="6"/>
      <c r="Q183" s="103"/>
      <c r="R183" s="107"/>
      <c r="S183" s="11"/>
      <c r="T183" s="12" t="str">
        <f t="shared" si="28"/>
        <v/>
      </c>
      <c r="U183" s="10"/>
      <c r="V183" s="9" t="str">
        <f t="shared" si="29"/>
        <v/>
      </c>
      <c r="W183" s="6"/>
      <c r="X183" s="6"/>
      <c r="Y183" s="67" t="str">
        <f>IF(B183="","",IF(AND(D183&lt;&gt;"",E183="ID TIDAK TERDAFTAR"),"PERKARA TIDAK VALID",IF(I183="","AKUN BELUM DIISI",IF(AND(M183="Ya",N183=""),"KLAIM BELUM DIHUBUNGKAN",IF(AND(N183&lt;&gt;"",COUNTIF(REIMBURSE!$A$5:$A$124,N183)=0),"ID KLAIM TIDAK TERDAFTAR",IF(Q183="Ditolak","PENGELUARAN DITOLAK",IF(R183&gt;K183,"NILAI DISETUJUI MELEBIHI BIAYA",IF(AND(Q183="Disetujui",Z183=""),"PENYETUJU BELUM DIISI",IF(Q183&lt;&gt;"Disetujui","MENUNGGU PERSETUJUAN","OK")))))))))</f>
        <v/>
      </c>
      <c r="Z183" s="98"/>
      <c r="AA183" s="105"/>
      <c r="AB183" s="98"/>
      <c r="AC183" s="104" t="str">
        <f t="shared" si="30"/>
        <v/>
      </c>
    </row>
    <row r="184" spans="1:29">
      <c r="A184" s="9" t="str">
        <f t="shared" si="26"/>
        <v/>
      </c>
      <c r="B184" s="10"/>
      <c r="C184" s="9" t="str">
        <f t="shared" si="27"/>
        <v/>
      </c>
      <c r="D184" s="46"/>
      <c r="E184" s="47" t="str">
        <f>IF(D184="","",IFERROR(INDEX(PERKARA!$B$5:$B$104,MATCH(D184,PERKARA!$A$5:$A$104,0)),"ID TIDAK TERDAFTAR"))</f>
        <v/>
      </c>
      <c r="F184" s="6"/>
      <c r="G184" s="6"/>
      <c r="H184" s="6"/>
      <c r="I184" s="6"/>
      <c r="J184" s="6"/>
      <c r="K184" s="11"/>
      <c r="L184" s="6"/>
      <c r="M184" s="6"/>
      <c r="N184" s="6"/>
      <c r="O184" s="6"/>
      <c r="P184" s="6"/>
      <c r="Q184" s="103"/>
      <c r="R184" s="107"/>
      <c r="S184" s="11"/>
      <c r="T184" s="12" t="str">
        <f t="shared" si="28"/>
        <v/>
      </c>
      <c r="U184" s="10"/>
      <c r="V184" s="9" t="str">
        <f t="shared" si="29"/>
        <v/>
      </c>
      <c r="W184" s="6"/>
      <c r="X184" s="6"/>
      <c r="Y184" s="67" t="str">
        <f>IF(B184="","",IF(AND(D184&lt;&gt;"",E184="ID TIDAK TERDAFTAR"),"PERKARA TIDAK VALID",IF(I184="","AKUN BELUM DIISI",IF(AND(M184="Ya",N184=""),"KLAIM BELUM DIHUBUNGKAN",IF(AND(N184&lt;&gt;"",COUNTIF(REIMBURSE!$A$5:$A$124,N184)=0),"ID KLAIM TIDAK TERDAFTAR",IF(Q184="Ditolak","PENGELUARAN DITOLAK",IF(R184&gt;K184,"NILAI DISETUJUI MELEBIHI BIAYA",IF(AND(Q184="Disetujui",Z184=""),"PENYETUJU BELUM DIISI",IF(Q184&lt;&gt;"Disetujui","MENUNGGU PERSETUJUAN","OK")))))))))</f>
        <v/>
      </c>
      <c r="Z184" s="98"/>
      <c r="AA184" s="105"/>
      <c r="AB184" s="98"/>
      <c r="AC184" s="104" t="str">
        <f t="shared" si="30"/>
        <v/>
      </c>
    </row>
    <row r="185" spans="1:29">
      <c r="A185" s="9" t="str">
        <f t="shared" si="26"/>
        <v/>
      </c>
      <c r="B185" s="10"/>
      <c r="C185" s="9" t="str">
        <f t="shared" si="27"/>
        <v/>
      </c>
      <c r="D185" s="46"/>
      <c r="E185" s="47" t="str">
        <f>IF(D185="","",IFERROR(INDEX(PERKARA!$B$5:$B$104,MATCH(D185,PERKARA!$A$5:$A$104,0)),"ID TIDAK TERDAFTAR"))</f>
        <v/>
      </c>
      <c r="F185" s="6"/>
      <c r="G185" s="6"/>
      <c r="H185" s="6"/>
      <c r="I185" s="6"/>
      <c r="J185" s="6"/>
      <c r="K185" s="11"/>
      <c r="L185" s="6"/>
      <c r="M185" s="6"/>
      <c r="N185" s="6"/>
      <c r="O185" s="6"/>
      <c r="P185" s="6"/>
      <c r="Q185" s="103"/>
      <c r="R185" s="107"/>
      <c r="S185" s="11"/>
      <c r="T185" s="12" t="str">
        <f t="shared" si="28"/>
        <v/>
      </c>
      <c r="U185" s="10"/>
      <c r="V185" s="9" t="str">
        <f t="shared" si="29"/>
        <v/>
      </c>
      <c r="W185" s="6"/>
      <c r="X185" s="6"/>
      <c r="Y185" s="67" t="str">
        <f>IF(B185="","",IF(AND(D185&lt;&gt;"",E185="ID TIDAK TERDAFTAR"),"PERKARA TIDAK VALID",IF(I185="","AKUN BELUM DIISI",IF(AND(M185="Ya",N185=""),"KLAIM BELUM DIHUBUNGKAN",IF(AND(N185&lt;&gt;"",COUNTIF(REIMBURSE!$A$5:$A$124,N185)=0),"ID KLAIM TIDAK TERDAFTAR",IF(Q185="Ditolak","PENGELUARAN DITOLAK",IF(R185&gt;K185,"NILAI DISETUJUI MELEBIHI BIAYA",IF(AND(Q185="Disetujui",Z185=""),"PENYETUJU BELUM DIISI",IF(Q185&lt;&gt;"Disetujui","MENUNGGU PERSETUJUAN","OK")))))))))</f>
        <v/>
      </c>
      <c r="Z185" s="98"/>
      <c r="AA185" s="105"/>
      <c r="AB185" s="98"/>
      <c r="AC185" s="104" t="str">
        <f t="shared" si="30"/>
        <v/>
      </c>
    </row>
    <row r="186" spans="1:29">
      <c r="A186" s="9" t="str">
        <f t="shared" si="26"/>
        <v/>
      </c>
      <c r="B186" s="10"/>
      <c r="C186" s="9" t="str">
        <f t="shared" si="27"/>
        <v/>
      </c>
      <c r="D186" s="46"/>
      <c r="E186" s="47" t="str">
        <f>IF(D186="","",IFERROR(INDEX(PERKARA!$B$5:$B$104,MATCH(D186,PERKARA!$A$5:$A$104,0)),"ID TIDAK TERDAFTAR"))</f>
        <v/>
      </c>
      <c r="F186" s="6"/>
      <c r="G186" s="6"/>
      <c r="H186" s="6"/>
      <c r="I186" s="6"/>
      <c r="J186" s="6"/>
      <c r="K186" s="11"/>
      <c r="L186" s="6"/>
      <c r="M186" s="6"/>
      <c r="N186" s="6"/>
      <c r="O186" s="6"/>
      <c r="P186" s="6"/>
      <c r="Q186" s="103"/>
      <c r="R186" s="107"/>
      <c r="S186" s="11"/>
      <c r="T186" s="12" t="str">
        <f t="shared" si="28"/>
        <v/>
      </c>
      <c r="U186" s="10"/>
      <c r="V186" s="9" t="str">
        <f t="shared" si="29"/>
        <v/>
      </c>
      <c r="W186" s="6"/>
      <c r="X186" s="6"/>
      <c r="Y186" s="67" t="str">
        <f>IF(B186="","",IF(AND(D186&lt;&gt;"",E186="ID TIDAK TERDAFTAR"),"PERKARA TIDAK VALID",IF(I186="","AKUN BELUM DIISI",IF(AND(M186="Ya",N186=""),"KLAIM BELUM DIHUBUNGKAN",IF(AND(N186&lt;&gt;"",COUNTIF(REIMBURSE!$A$5:$A$124,N186)=0),"ID KLAIM TIDAK TERDAFTAR",IF(Q186="Ditolak","PENGELUARAN DITOLAK",IF(R186&gt;K186,"NILAI DISETUJUI MELEBIHI BIAYA",IF(AND(Q186="Disetujui",Z186=""),"PENYETUJU BELUM DIISI",IF(Q186&lt;&gt;"Disetujui","MENUNGGU PERSETUJUAN","OK")))))))))</f>
        <v/>
      </c>
      <c r="Z186" s="98"/>
      <c r="AA186" s="105"/>
      <c r="AB186" s="98"/>
      <c r="AC186" s="104" t="str">
        <f t="shared" si="30"/>
        <v/>
      </c>
    </row>
    <row r="187" spans="1:29">
      <c r="A187" s="9" t="str">
        <f t="shared" si="26"/>
        <v/>
      </c>
      <c r="B187" s="10"/>
      <c r="C187" s="9" t="str">
        <f t="shared" si="27"/>
        <v/>
      </c>
      <c r="D187" s="46"/>
      <c r="E187" s="47" t="str">
        <f>IF(D187="","",IFERROR(INDEX(PERKARA!$B$5:$B$104,MATCH(D187,PERKARA!$A$5:$A$104,0)),"ID TIDAK TERDAFTAR"))</f>
        <v/>
      </c>
      <c r="F187" s="6"/>
      <c r="G187" s="6"/>
      <c r="H187" s="6"/>
      <c r="I187" s="6"/>
      <c r="J187" s="6"/>
      <c r="K187" s="11"/>
      <c r="L187" s="6"/>
      <c r="M187" s="6"/>
      <c r="N187" s="6"/>
      <c r="O187" s="6"/>
      <c r="P187" s="6"/>
      <c r="Q187" s="103"/>
      <c r="R187" s="107"/>
      <c r="S187" s="11"/>
      <c r="T187" s="12" t="str">
        <f t="shared" si="28"/>
        <v/>
      </c>
      <c r="U187" s="10"/>
      <c r="V187" s="9" t="str">
        <f t="shared" si="29"/>
        <v/>
      </c>
      <c r="W187" s="6"/>
      <c r="X187" s="6"/>
      <c r="Y187" s="67" t="str">
        <f>IF(B187="","",IF(AND(D187&lt;&gt;"",E187="ID TIDAK TERDAFTAR"),"PERKARA TIDAK VALID",IF(I187="","AKUN BELUM DIISI",IF(AND(M187="Ya",N187=""),"KLAIM BELUM DIHUBUNGKAN",IF(AND(N187&lt;&gt;"",COUNTIF(REIMBURSE!$A$5:$A$124,N187)=0),"ID KLAIM TIDAK TERDAFTAR",IF(Q187="Ditolak","PENGELUARAN DITOLAK",IF(R187&gt;K187,"NILAI DISETUJUI MELEBIHI BIAYA",IF(AND(Q187="Disetujui",Z187=""),"PENYETUJU BELUM DIISI",IF(Q187&lt;&gt;"Disetujui","MENUNGGU PERSETUJUAN","OK")))))))))</f>
        <v/>
      </c>
      <c r="Z187" s="98"/>
      <c r="AA187" s="105"/>
      <c r="AB187" s="98"/>
      <c r="AC187" s="104" t="str">
        <f t="shared" si="30"/>
        <v/>
      </c>
    </row>
    <row r="188" spans="1:29">
      <c r="A188" s="9" t="str">
        <f t="shared" si="26"/>
        <v/>
      </c>
      <c r="B188" s="10"/>
      <c r="C188" s="9" t="str">
        <f t="shared" si="27"/>
        <v/>
      </c>
      <c r="D188" s="46"/>
      <c r="E188" s="47" t="str">
        <f>IF(D188="","",IFERROR(INDEX(PERKARA!$B$5:$B$104,MATCH(D188,PERKARA!$A$5:$A$104,0)),"ID TIDAK TERDAFTAR"))</f>
        <v/>
      </c>
      <c r="F188" s="6"/>
      <c r="G188" s="6"/>
      <c r="H188" s="6"/>
      <c r="I188" s="6"/>
      <c r="J188" s="6"/>
      <c r="K188" s="11"/>
      <c r="L188" s="6"/>
      <c r="M188" s="6"/>
      <c r="N188" s="6"/>
      <c r="O188" s="6"/>
      <c r="P188" s="6"/>
      <c r="Q188" s="103"/>
      <c r="R188" s="107"/>
      <c r="S188" s="11"/>
      <c r="T188" s="12" t="str">
        <f t="shared" si="28"/>
        <v/>
      </c>
      <c r="U188" s="10"/>
      <c r="V188" s="9" t="str">
        <f t="shared" si="29"/>
        <v/>
      </c>
      <c r="W188" s="6"/>
      <c r="X188" s="6"/>
      <c r="Y188" s="67" t="str">
        <f>IF(B188="","",IF(AND(D188&lt;&gt;"",E188="ID TIDAK TERDAFTAR"),"PERKARA TIDAK VALID",IF(I188="","AKUN BELUM DIISI",IF(AND(M188="Ya",N188=""),"KLAIM BELUM DIHUBUNGKAN",IF(AND(N188&lt;&gt;"",COUNTIF(REIMBURSE!$A$5:$A$124,N188)=0),"ID KLAIM TIDAK TERDAFTAR",IF(Q188="Ditolak","PENGELUARAN DITOLAK",IF(R188&gt;K188,"NILAI DISETUJUI MELEBIHI BIAYA",IF(AND(Q188="Disetujui",Z188=""),"PENYETUJU BELUM DIISI",IF(Q188&lt;&gt;"Disetujui","MENUNGGU PERSETUJUAN","OK")))))))))</f>
        <v/>
      </c>
      <c r="Z188" s="98"/>
      <c r="AA188" s="105"/>
      <c r="AB188" s="98"/>
      <c r="AC188" s="104" t="str">
        <f t="shared" si="30"/>
        <v/>
      </c>
    </row>
    <row r="189" spans="1:29">
      <c r="A189" s="9" t="str">
        <f t="shared" si="26"/>
        <v/>
      </c>
      <c r="B189" s="10"/>
      <c r="C189" s="9" t="str">
        <f t="shared" si="27"/>
        <v/>
      </c>
      <c r="D189" s="46"/>
      <c r="E189" s="47" t="str">
        <f>IF(D189="","",IFERROR(INDEX(PERKARA!$B$5:$B$104,MATCH(D189,PERKARA!$A$5:$A$104,0)),"ID TIDAK TERDAFTAR"))</f>
        <v/>
      </c>
      <c r="F189" s="6"/>
      <c r="G189" s="6"/>
      <c r="H189" s="6"/>
      <c r="I189" s="6"/>
      <c r="J189" s="6"/>
      <c r="K189" s="11"/>
      <c r="L189" s="6"/>
      <c r="M189" s="6"/>
      <c r="N189" s="6"/>
      <c r="O189" s="6"/>
      <c r="P189" s="6"/>
      <c r="Q189" s="103"/>
      <c r="R189" s="107"/>
      <c r="S189" s="11"/>
      <c r="T189" s="12" t="str">
        <f t="shared" si="28"/>
        <v/>
      </c>
      <c r="U189" s="10"/>
      <c r="V189" s="9" t="str">
        <f t="shared" si="29"/>
        <v/>
      </c>
      <c r="W189" s="6"/>
      <c r="X189" s="6"/>
      <c r="Y189" s="67" t="str">
        <f>IF(B189="","",IF(AND(D189&lt;&gt;"",E189="ID TIDAK TERDAFTAR"),"PERKARA TIDAK VALID",IF(I189="","AKUN BELUM DIISI",IF(AND(M189="Ya",N189=""),"KLAIM BELUM DIHUBUNGKAN",IF(AND(N189&lt;&gt;"",COUNTIF(REIMBURSE!$A$5:$A$124,N189)=0),"ID KLAIM TIDAK TERDAFTAR",IF(Q189="Ditolak","PENGELUARAN DITOLAK",IF(R189&gt;K189,"NILAI DISETUJUI MELEBIHI BIAYA",IF(AND(Q189="Disetujui",Z189=""),"PENYETUJU BELUM DIISI",IF(Q189&lt;&gt;"Disetujui","MENUNGGU PERSETUJUAN","OK")))))))))</f>
        <v/>
      </c>
      <c r="Z189" s="98"/>
      <c r="AA189" s="105"/>
      <c r="AB189" s="98"/>
      <c r="AC189" s="104" t="str">
        <f t="shared" si="30"/>
        <v/>
      </c>
    </row>
    <row r="190" spans="1:29">
      <c r="A190" s="9" t="str">
        <f t="shared" si="26"/>
        <v/>
      </c>
      <c r="B190" s="10"/>
      <c r="C190" s="9" t="str">
        <f t="shared" si="27"/>
        <v/>
      </c>
      <c r="D190" s="46"/>
      <c r="E190" s="47" t="str">
        <f>IF(D190="","",IFERROR(INDEX(PERKARA!$B$5:$B$104,MATCH(D190,PERKARA!$A$5:$A$104,0)),"ID TIDAK TERDAFTAR"))</f>
        <v/>
      </c>
      <c r="F190" s="6"/>
      <c r="G190" s="6"/>
      <c r="H190" s="6"/>
      <c r="I190" s="6"/>
      <c r="J190" s="6"/>
      <c r="K190" s="11"/>
      <c r="L190" s="6"/>
      <c r="M190" s="6"/>
      <c r="N190" s="6"/>
      <c r="O190" s="6"/>
      <c r="P190" s="6"/>
      <c r="Q190" s="103"/>
      <c r="R190" s="107"/>
      <c r="S190" s="11"/>
      <c r="T190" s="12" t="str">
        <f t="shared" si="28"/>
        <v/>
      </c>
      <c r="U190" s="10"/>
      <c r="V190" s="9" t="str">
        <f t="shared" si="29"/>
        <v/>
      </c>
      <c r="W190" s="6"/>
      <c r="X190" s="6"/>
      <c r="Y190" s="67" t="str">
        <f>IF(B190="","",IF(AND(D190&lt;&gt;"",E190="ID TIDAK TERDAFTAR"),"PERKARA TIDAK VALID",IF(I190="","AKUN BELUM DIISI",IF(AND(M190="Ya",N190=""),"KLAIM BELUM DIHUBUNGKAN",IF(AND(N190&lt;&gt;"",COUNTIF(REIMBURSE!$A$5:$A$124,N190)=0),"ID KLAIM TIDAK TERDAFTAR",IF(Q190="Ditolak","PENGELUARAN DITOLAK",IF(R190&gt;K190,"NILAI DISETUJUI MELEBIHI BIAYA",IF(AND(Q190="Disetujui",Z190=""),"PENYETUJU BELUM DIISI",IF(Q190&lt;&gt;"Disetujui","MENUNGGU PERSETUJUAN","OK")))))))))</f>
        <v/>
      </c>
      <c r="Z190" s="98"/>
      <c r="AA190" s="105"/>
      <c r="AB190" s="98"/>
      <c r="AC190" s="104" t="str">
        <f t="shared" si="30"/>
        <v/>
      </c>
    </row>
    <row r="191" spans="1:29">
      <c r="A191" s="9" t="str">
        <f t="shared" si="26"/>
        <v/>
      </c>
      <c r="B191" s="10"/>
      <c r="C191" s="9" t="str">
        <f t="shared" si="27"/>
        <v/>
      </c>
      <c r="D191" s="46"/>
      <c r="E191" s="47" t="str">
        <f>IF(D191="","",IFERROR(INDEX(PERKARA!$B$5:$B$104,MATCH(D191,PERKARA!$A$5:$A$104,0)),"ID TIDAK TERDAFTAR"))</f>
        <v/>
      </c>
      <c r="F191" s="6"/>
      <c r="G191" s="6"/>
      <c r="H191" s="6"/>
      <c r="I191" s="6"/>
      <c r="J191" s="6"/>
      <c r="K191" s="11"/>
      <c r="L191" s="6"/>
      <c r="M191" s="6"/>
      <c r="N191" s="6"/>
      <c r="O191" s="6"/>
      <c r="P191" s="6"/>
      <c r="Q191" s="103"/>
      <c r="R191" s="107"/>
      <c r="S191" s="11"/>
      <c r="T191" s="12" t="str">
        <f t="shared" si="28"/>
        <v/>
      </c>
      <c r="U191" s="10"/>
      <c r="V191" s="9" t="str">
        <f t="shared" si="29"/>
        <v/>
      </c>
      <c r="W191" s="6"/>
      <c r="X191" s="6"/>
      <c r="Y191" s="67" t="str">
        <f>IF(B191="","",IF(AND(D191&lt;&gt;"",E191="ID TIDAK TERDAFTAR"),"PERKARA TIDAK VALID",IF(I191="","AKUN BELUM DIISI",IF(AND(M191="Ya",N191=""),"KLAIM BELUM DIHUBUNGKAN",IF(AND(N191&lt;&gt;"",COUNTIF(REIMBURSE!$A$5:$A$124,N191)=0),"ID KLAIM TIDAK TERDAFTAR",IF(Q191="Ditolak","PENGELUARAN DITOLAK",IF(R191&gt;K191,"NILAI DISETUJUI MELEBIHI BIAYA",IF(AND(Q191="Disetujui",Z191=""),"PENYETUJU BELUM DIISI",IF(Q191&lt;&gt;"Disetujui","MENUNGGU PERSETUJUAN","OK")))))))))</f>
        <v/>
      </c>
      <c r="Z191" s="98"/>
      <c r="AA191" s="105"/>
      <c r="AB191" s="98"/>
      <c r="AC191" s="104" t="str">
        <f t="shared" si="30"/>
        <v/>
      </c>
    </row>
    <row r="192" spans="1:29">
      <c r="A192" s="9" t="str">
        <f t="shared" si="26"/>
        <v/>
      </c>
      <c r="B192" s="10"/>
      <c r="C192" s="9" t="str">
        <f t="shared" si="27"/>
        <v/>
      </c>
      <c r="D192" s="46"/>
      <c r="E192" s="47" t="str">
        <f>IF(D192="","",IFERROR(INDEX(PERKARA!$B$5:$B$104,MATCH(D192,PERKARA!$A$5:$A$104,0)),"ID TIDAK TERDAFTAR"))</f>
        <v/>
      </c>
      <c r="F192" s="6"/>
      <c r="G192" s="6"/>
      <c r="H192" s="6"/>
      <c r="I192" s="6"/>
      <c r="J192" s="6"/>
      <c r="K192" s="11"/>
      <c r="L192" s="6"/>
      <c r="M192" s="6"/>
      <c r="N192" s="6"/>
      <c r="O192" s="6"/>
      <c r="P192" s="6"/>
      <c r="Q192" s="103"/>
      <c r="R192" s="107"/>
      <c r="S192" s="11"/>
      <c r="T192" s="12" t="str">
        <f t="shared" si="28"/>
        <v/>
      </c>
      <c r="U192" s="10"/>
      <c r="V192" s="9" t="str">
        <f t="shared" si="29"/>
        <v/>
      </c>
      <c r="W192" s="6"/>
      <c r="X192" s="6"/>
      <c r="Y192" s="67" t="str">
        <f>IF(B192="","",IF(AND(D192&lt;&gt;"",E192="ID TIDAK TERDAFTAR"),"PERKARA TIDAK VALID",IF(I192="","AKUN BELUM DIISI",IF(AND(M192="Ya",N192=""),"KLAIM BELUM DIHUBUNGKAN",IF(AND(N192&lt;&gt;"",COUNTIF(REIMBURSE!$A$5:$A$124,N192)=0),"ID KLAIM TIDAK TERDAFTAR",IF(Q192="Ditolak","PENGELUARAN DITOLAK",IF(R192&gt;K192,"NILAI DISETUJUI MELEBIHI BIAYA",IF(AND(Q192="Disetujui",Z192=""),"PENYETUJU BELUM DIISI",IF(Q192&lt;&gt;"Disetujui","MENUNGGU PERSETUJUAN","OK")))))))))</f>
        <v/>
      </c>
      <c r="Z192" s="98"/>
      <c r="AA192" s="105"/>
      <c r="AB192" s="98"/>
      <c r="AC192" s="104" t="str">
        <f t="shared" si="30"/>
        <v/>
      </c>
    </row>
    <row r="193" spans="1:29">
      <c r="A193" s="9" t="str">
        <f t="shared" si="26"/>
        <v/>
      </c>
      <c r="B193" s="10"/>
      <c r="C193" s="9" t="str">
        <f t="shared" si="27"/>
        <v/>
      </c>
      <c r="D193" s="46"/>
      <c r="E193" s="47" t="str">
        <f>IF(D193="","",IFERROR(INDEX(PERKARA!$B$5:$B$104,MATCH(D193,PERKARA!$A$5:$A$104,0)),"ID TIDAK TERDAFTAR"))</f>
        <v/>
      </c>
      <c r="F193" s="6"/>
      <c r="G193" s="6"/>
      <c r="H193" s="6"/>
      <c r="I193" s="6"/>
      <c r="J193" s="6"/>
      <c r="K193" s="11"/>
      <c r="L193" s="6"/>
      <c r="M193" s="6"/>
      <c r="N193" s="6"/>
      <c r="O193" s="6"/>
      <c r="P193" s="6"/>
      <c r="Q193" s="103"/>
      <c r="R193" s="107"/>
      <c r="S193" s="11"/>
      <c r="T193" s="12" t="str">
        <f t="shared" si="28"/>
        <v/>
      </c>
      <c r="U193" s="10"/>
      <c r="V193" s="9" t="str">
        <f t="shared" si="29"/>
        <v/>
      </c>
      <c r="W193" s="6"/>
      <c r="X193" s="6"/>
      <c r="Y193" s="67" t="str">
        <f>IF(B193="","",IF(AND(D193&lt;&gt;"",E193="ID TIDAK TERDAFTAR"),"PERKARA TIDAK VALID",IF(I193="","AKUN BELUM DIISI",IF(AND(M193="Ya",N193=""),"KLAIM BELUM DIHUBUNGKAN",IF(AND(N193&lt;&gt;"",COUNTIF(REIMBURSE!$A$5:$A$124,N193)=0),"ID KLAIM TIDAK TERDAFTAR",IF(Q193="Ditolak","PENGELUARAN DITOLAK",IF(R193&gt;K193,"NILAI DISETUJUI MELEBIHI BIAYA",IF(AND(Q193="Disetujui",Z193=""),"PENYETUJU BELUM DIISI",IF(Q193&lt;&gt;"Disetujui","MENUNGGU PERSETUJUAN","OK")))))))))</f>
        <v/>
      </c>
      <c r="Z193" s="98"/>
      <c r="AA193" s="105"/>
      <c r="AB193" s="98"/>
      <c r="AC193" s="104" t="str">
        <f t="shared" si="30"/>
        <v/>
      </c>
    </row>
    <row r="194" spans="1:29">
      <c r="A194" s="9" t="str">
        <f t="shared" si="26"/>
        <v/>
      </c>
      <c r="B194" s="10"/>
      <c r="C194" s="9" t="str">
        <f t="shared" si="27"/>
        <v/>
      </c>
      <c r="D194" s="46"/>
      <c r="E194" s="47" t="str">
        <f>IF(D194="","",IFERROR(INDEX(PERKARA!$B$5:$B$104,MATCH(D194,PERKARA!$A$5:$A$104,0)),"ID TIDAK TERDAFTAR"))</f>
        <v/>
      </c>
      <c r="F194" s="6"/>
      <c r="G194" s="6"/>
      <c r="H194" s="6"/>
      <c r="I194" s="6"/>
      <c r="J194" s="6"/>
      <c r="K194" s="11"/>
      <c r="L194" s="6"/>
      <c r="M194" s="6"/>
      <c r="N194" s="6"/>
      <c r="O194" s="6"/>
      <c r="P194" s="6"/>
      <c r="Q194" s="103"/>
      <c r="R194" s="107"/>
      <c r="S194" s="11"/>
      <c r="T194" s="12" t="str">
        <f t="shared" si="28"/>
        <v/>
      </c>
      <c r="U194" s="10"/>
      <c r="V194" s="9" t="str">
        <f t="shared" si="29"/>
        <v/>
      </c>
      <c r="W194" s="6"/>
      <c r="X194" s="6"/>
      <c r="Y194" s="67" t="str">
        <f>IF(B194="","",IF(AND(D194&lt;&gt;"",E194="ID TIDAK TERDAFTAR"),"PERKARA TIDAK VALID",IF(I194="","AKUN BELUM DIISI",IF(AND(M194="Ya",N194=""),"KLAIM BELUM DIHUBUNGKAN",IF(AND(N194&lt;&gt;"",COUNTIF(REIMBURSE!$A$5:$A$124,N194)=0),"ID KLAIM TIDAK TERDAFTAR",IF(Q194="Ditolak","PENGELUARAN DITOLAK",IF(R194&gt;K194,"NILAI DISETUJUI MELEBIHI BIAYA",IF(AND(Q194="Disetujui",Z194=""),"PENYETUJU BELUM DIISI",IF(Q194&lt;&gt;"Disetujui","MENUNGGU PERSETUJUAN","OK")))))))))</f>
        <v/>
      </c>
      <c r="Z194" s="98"/>
      <c r="AA194" s="105"/>
      <c r="AB194" s="98"/>
      <c r="AC194" s="104" t="str">
        <f t="shared" si="30"/>
        <v/>
      </c>
    </row>
    <row r="195" spans="1:29">
      <c r="A195" s="9" t="str">
        <f t="shared" si="26"/>
        <v/>
      </c>
      <c r="B195" s="10"/>
      <c r="C195" s="9" t="str">
        <f t="shared" si="27"/>
        <v/>
      </c>
      <c r="D195" s="46"/>
      <c r="E195" s="47" t="str">
        <f>IF(D195="","",IFERROR(INDEX(PERKARA!$B$5:$B$104,MATCH(D195,PERKARA!$A$5:$A$104,0)),"ID TIDAK TERDAFTAR"))</f>
        <v/>
      </c>
      <c r="F195" s="6"/>
      <c r="G195" s="6"/>
      <c r="H195" s="6"/>
      <c r="I195" s="6"/>
      <c r="J195" s="6"/>
      <c r="K195" s="11"/>
      <c r="L195" s="6"/>
      <c r="M195" s="6"/>
      <c r="N195" s="6"/>
      <c r="O195" s="6"/>
      <c r="P195" s="6"/>
      <c r="Q195" s="103"/>
      <c r="R195" s="107"/>
      <c r="S195" s="11"/>
      <c r="T195" s="12" t="str">
        <f t="shared" si="28"/>
        <v/>
      </c>
      <c r="U195" s="10"/>
      <c r="V195" s="9" t="str">
        <f t="shared" si="29"/>
        <v/>
      </c>
      <c r="W195" s="6"/>
      <c r="X195" s="6"/>
      <c r="Y195" s="67" t="str">
        <f>IF(B195="","",IF(AND(D195&lt;&gt;"",E195="ID TIDAK TERDAFTAR"),"PERKARA TIDAK VALID",IF(I195="","AKUN BELUM DIISI",IF(AND(M195="Ya",N195=""),"KLAIM BELUM DIHUBUNGKAN",IF(AND(N195&lt;&gt;"",COUNTIF(REIMBURSE!$A$5:$A$124,N195)=0),"ID KLAIM TIDAK TERDAFTAR",IF(Q195="Ditolak","PENGELUARAN DITOLAK",IF(R195&gt;K195,"NILAI DISETUJUI MELEBIHI BIAYA",IF(AND(Q195="Disetujui",Z195=""),"PENYETUJU BELUM DIISI",IF(Q195&lt;&gt;"Disetujui","MENUNGGU PERSETUJUAN","OK")))))))))</f>
        <v/>
      </c>
      <c r="Z195" s="98"/>
      <c r="AA195" s="105"/>
      <c r="AB195" s="98"/>
      <c r="AC195" s="104" t="str">
        <f t="shared" si="30"/>
        <v/>
      </c>
    </row>
    <row r="196" spans="1:29">
      <c r="A196" s="9" t="str">
        <f t="shared" si="26"/>
        <v/>
      </c>
      <c r="B196" s="10"/>
      <c r="C196" s="9" t="str">
        <f t="shared" si="27"/>
        <v/>
      </c>
      <c r="D196" s="46"/>
      <c r="E196" s="47" t="str">
        <f>IF(D196="","",IFERROR(INDEX(PERKARA!$B$5:$B$104,MATCH(D196,PERKARA!$A$5:$A$104,0)),"ID TIDAK TERDAFTAR"))</f>
        <v/>
      </c>
      <c r="F196" s="6"/>
      <c r="G196" s="6"/>
      <c r="H196" s="6"/>
      <c r="I196" s="6"/>
      <c r="J196" s="6"/>
      <c r="K196" s="11"/>
      <c r="L196" s="6"/>
      <c r="M196" s="6"/>
      <c r="N196" s="6"/>
      <c r="O196" s="6"/>
      <c r="P196" s="6"/>
      <c r="Q196" s="103"/>
      <c r="R196" s="107"/>
      <c r="S196" s="11"/>
      <c r="T196" s="12" t="str">
        <f t="shared" si="28"/>
        <v/>
      </c>
      <c r="U196" s="10"/>
      <c r="V196" s="9" t="str">
        <f t="shared" si="29"/>
        <v/>
      </c>
      <c r="W196" s="6"/>
      <c r="X196" s="6"/>
      <c r="Y196" s="67" t="str">
        <f>IF(B196="","",IF(AND(D196&lt;&gt;"",E196="ID TIDAK TERDAFTAR"),"PERKARA TIDAK VALID",IF(I196="","AKUN BELUM DIISI",IF(AND(M196="Ya",N196=""),"KLAIM BELUM DIHUBUNGKAN",IF(AND(N196&lt;&gt;"",COUNTIF(REIMBURSE!$A$5:$A$124,N196)=0),"ID KLAIM TIDAK TERDAFTAR",IF(Q196="Ditolak","PENGELUARAN DITOLAK",IF(R196&gt;K196,"NILAI DISETUJUI MELEBIHI BIAYA",IF(AND(Q196="Disetujui",Z196=""),"PENYETUJU BELUM DIISI",IF(Q196&lt;&gt;"Disetujui","MENUNGGU PERSETUJUAN","OK")))))))))</f>
        <v/>
      </c>
      <c r="Z196" s="98"/>
      <c r="AA196" s="105"/>
      <c r="AB196" s="98"/>
      <c r="AC196" s="104" t="str">
        <f t="shared" si="30"/>
        <v/>
      </c>
    </row>
    <row r="197" spans="1:29">
      <c r="A197" s="9" t="str">
        <f t="shared" ref="A197:A204" si="31">IF(B197="","","EXP-"&amp;TEXT(B197,"yyyymmdd")&amp;"-"&amp;TEXT(ROW()-4,"000"))</f>
        <v/>
      </c>
      <c r="B197" s="10"/>
      <c r="C197" s="9" t="str">
        <f t="shared" ref="C197:C204" si="32">IF(B197="","",TEXT(B197,"yyyy-mm"))</f>
        <v/>
      </c>
      <c r="D197" s="46"/>
      <c r="E197" s="47" t="str">
        <f>IF(D197="","",IFERROR(INDEX(PERKARA!$B$5:$B$104,MATCH(D197,PERKARA!$A$5:$A$104,0)),"ID TIDAK TERDAFTAR"))</f>
        <v/>
      </c>
      <c r="F197" s="6"/>
      <c r="G197" s="6"/>
      <c r="H197" s="6"/>
      <c r="I197" s="6"/>
      <c r="J197" s="6"/>
      <c r="K197" s="11"/>
      <c r="L197" s="6"/>
      <c r="M197" s="6"/>
      <c r="N197" s="6"/>
      <c r="O197" s="6"/>
      <c r="P197" s="6"/>
      <c r="Q197" s="103"/>
      <c r="R197" s="107"/>
      <c r="S197" s="11"/>
      <c r="T197" s="12" t="str">
        <f t="shared" ref="T197:T204" si="33">IF(B197="","",IF(M197&lt;&gt;"Ya",0,MAX(IF(R197="",K197,R197)-S197,0)))</f>
        <v/>
      </c>
      <c r="U197" s="10"/>
      <c r="V197" s="9" t="str">
        <f t="shared" ref="V197:V204" si="34">IF(B197="","",IF(M197&lt;&gt;"Ya","Tidak Perlu",IF(Q197="Ditolak","Ditolak",IF(S197=0,IF(Q197="Disetujui","Belum Dibayar","Belum Diajukan"),IF(T197=0,"Lunas","Dibayar Sebagian")))))</f>
        <v/>
      </c>
      <c r="W197" s="6"/>
      <c r="X197" s="6"/>
      <c r="Y197" s="67" t="str">
        <f>IF(B197="","",IF(AND(D197&lt;&gt;"",E197="ID TIDAK TERDAFTAR"),"PERKARA TIDAK VALID",IF(I197="","AKUN BELUM DIISI",IF(AND(M197="Ya",N197=""),"KLAIM BELUM DIHUBUNGKAN",IF(AND(N197&lt;&gt;"",COUNTIF(REIMBURSE!$A$5:$A$124,N197)=0),"ID KLAIM TIDAK TERDAFTAR",IF(Q197="Ditolak","PENGELUARAN DITOLAK",IF(R197&gt;K197,"NILAI DISETUJUI MELEBIHI BIAYA",IF(AND(Q197="Disetujui",Z197=""),"PENYETUJU BELUM DIISI",IF(Q197&lt;&gt;"Disetujui","MENUNGGU PERSETUJUAN","OK")))))))))</f>
        <v/>
      </c>
      <c r="Z197" s="98"/>
      <c r="AA197" s="105"/>
      <c r="AB197" s="98"/>
      <c r="AC197" s="104" t="str">
        <f t="shared" ref="AC197:AC204" si="35">IF(B197="","",IF(Q197="Ditolak","DITOLAK",IF(AND(Q197="Disetujui",R197&gt;K197),"NILAI DISETUJUI MELEBIHI BIAYA",IF(AND(Q197="Disetujui",R197=""),"NILAI PERSETUJUAN BELUM DIISI",IF(AND(Q197="Disetujui",Z197&lt;&gt;""),"LENGKAP",IF(Q197="Disetujui","NAMA PENYETUJU BELUM DIISI","MENUNGGU PERSETUJUAN MANUAL"))))))</f>
        <v/>
      </c>
    </row>
    <row r="198" spans="1:29">
      <c r="A198" s="9" t="str">
        <f t="shared" si="31"/>
        <v/>
      </c>
      <c r="B198" s="10"/>
      <c r="C198" s="9" t="str">
        <f t="shared" si="32"/>
        <v/>
      </c>
      <c r="D198" s="46"/>
      <c r="E198" s="47" t="str">
        <f>IF(D198="","",IFERROR(INDEX(PERKARA!$B$5:$B$104,MATCH(D198,PERKARA!$A$5:$A$104,0)),"ID TIDAK TERDAFTAR"))</f>
        <v/>
      </c>
      <c r="F198" s="6"/>
      <c r="G198" s="6"/>
      <c r="H198" s="6"/>
      <c r="I198" s="6"/>
      <c r="J198" s="6"/>
      <c r="K198" s="11"/>
      <c r="L198" s="6"/>
      <c r="M198" s="6"/>
      <c r="N198" s="6"/>
      <c r="O198" s="6"/>
      <c r="P198" s="6"/>
      <c r="Q198" s="103"/>
      <c r="R198" s="107"/>
      <c r="S198" s="11"/>
      <c r="T198" s="12" t="str">
        <f t="shared" si="33"/>
        <v/>
      </c>
      <c r="U198" s="10"/>
      <c r="V198" s="9" t="str">
        <f t="shared" si="34"/>
        <v/>
      </c>
      <c r="W198" s="6"/>
      <c r="X198" s="6"/>
      <c r="Y198" s="67" t="str">
        <f>IF(B198="","",IF(AND(D198&lt;&gt;"",E198="ID TIDAK TERDAFTAR"),"PERKARA TIDAK VALID",IF(I198="","AKUN BELUM DIISI",IF(AND(M198="Ya",N198=""),"KLAIM BELUM DIHUBUNGKAN",IF(AND(N198&lt;&gt;"",COUNTIF(REIMBURSE!$A$5:$A$124,N198)=0),"ID KLAIM TIDAK TERDAFTAR",IF(Q198="Ditolak","PENGELUARAN DITOLAK",IF(R198&gt;K198,"NILAI DISETUJUI MELEBIHI BIAYA",IF(AND(Q198="Disetujui",Z198=""),"PENYETUJU BELUM DIISI",IF(Q198&lt;&gt;"Disetujui","MENUNGGU PERSETUJUAN","OK")))))))))</f>
        <v/>
      </c>
      <c r="Z198" s="98"/>
      <c r="AA198" s="105"/>
      <c r="AB198" s="98"/>
      <c r="AC198" s="104" t="str">
        <f t="shared" si="35"/>
        <v/>
      </c>
    </row>
    <row r="199" spans="1:29">
      <c r="A199" s="9" t="str">
        <f t="shared" si="31"/>
        <v/>
      </c>
      <c r="B199" s="10"/>
      <c r="C199" s="9" t="str">
        <f t="shared" si="32"/>
        <v/>
      </c>
      <c r="D199" s="46"/>
      <c r="E199" s="47" t="str">
        <f>IF(D199="","",IFERROR(INDEX(PERKARA!$B$5:$B$104,MATCH(D199,PERKARA!$A$5:$A$104,0)),"ID TIDAK TERDAFTAR"))</f>
        <v/>
      </c>
      <c r="F199" s="6"/>
      <c r="G199" s="6"/>
      <c r="H199" s="6"/>
      <c r="I199" s="6"/>
      <c r="J199" s="6"/>
      <c r="K199" s="11"/>
      <c r="L199" s="6"/>
      <c r="M199" s="6"/>
      <c r="N199" s="6"/>
      <c r="O199" s="6"/>
      <c r="P199" s="6"/>
      <c r="Q199" s="103"/>
      <c r="R199" s="107"/>
      <c r="S199" s="11"/>
      <c r="T199" s="12" t="str">
        <f t="shared" si="33"/>
        <v/>
      </c>
      <c r="U199" s="10"/>
      <c r="V199" s="9" t="str">
        <f t="shared" si="34"/>
        <v/>
      </c>
      <c r="W199" s="6"/>
      <c r="X199" s="6"/>
      <c r="Y199" s="67" t="str">
        <f>IF(B199="","",IF(AND(D199&lt;&gt;"",E199="ID TIDAK TERDAFTAR"),"PERKARA TIDAK VALID",IF(I199="","AKUN BELUM DIISI",IF(AND(M199="Ya",N199=""),"KLAIM BELUM DIHUBUNGKAN",IF(AND(N199&lt;&gt;"",COUNTIF(REIMBURSE!$A$5:$A$124,N199)=0),"ID KLAIM TIDAK TERDAFTAR",IF(Q199="Ditolak","PENGELUARAN DITOLAK",IF(R199&gt;K199,"NILAI DISETUJUI MELEBIHI BIAYA",IF(AND(Q199="Disetujui",Z199=""),"PENYETUJU BELUM DIISI",IF(Q199&lt;&gt;"Disetujui","MENUNGGU PERSETUJUAN","OK")))))))))</f>
        <v/>
      </c>
      <c r="Z199" s="98"/>
      <c r="AA199" s="105"/>
      <c r="AB199" s="98"/>
      <c r="AC199" s="104" t="str">
        <f t="shared" si="35"/>
        <v/>
      </c>
    </row>
    <row r="200" spans="1:29">
      <c r="A200" s="9" t="str">
        <f t="shared" si="31"/>
        <v/>
      </c>
      <c r="B200" s="10"/>
      <c r="C200" s="9" t="str">
        <f t="shared" si="32"/>
        <v/>
      </c>
      <c r="D200" s="46"/>
      <c r="E200" s="47" t="str">
        <f>IF(D200="","",IFERROR(INDEX(PERKARA!$B$5:$B$104,MATCH(D200,PERKARA!$A$5:$A$104,0)),"ID TIDAK TERDAFTAR"))</f>
        <v/>
      </c>
      <c r="F200" s="6"/>
      <c r="G200" s="6"/>
      <c r="H200" s="6"/>
      <c r="I200" s="6"/>
      <c r="J200" s="6"/>
      <c r="K200" s="11"/>
      <c r="L200" s="6"/>
      <c r="M200" s="6"/>
      <c r="N200" s="6"/>
      <c r="O200" s="6"/>
      <c r="P200" s="6"/>
      <c r="Q200" s="103"/>
      <c r="R200" s="107"/>
      <c r="S200" s="11"/>
      <c r="T200" s="12" t="str">
        <f t="shared" si="33"/>
        <v/>
      </c>
      <c r="U200" s="10"/>
      <c r="V200" s="9" t="str">
        <f t="shared" si="34"/>
        <v/>
      </c>
      <c r="W200" s="6"/>
      <c r="X200" s="6"/>
      <c r="Y200" s="67" t="str">
        <f>IF(B200="","",IF(AND(D200&lt;&gt;"",E200="ID TIDAK TERDAFTAR"),"PERKARA TIDAK VALID",IF(I200="","AKUN BELUM DIISI",IF(AND(M200="Ya",N200=""),"KLAIM BELUM DIHUBUNGKAN",IF(AND(N200&lt;&gt;"",COUNTIF(REIMBURSE!$A$5:$A$124,N200)=0),"ID KLAIM TIDAK TERDAFTAR",IF(Q200="Ditolak","PENGELUARAN DITOLAK",IF(R200&gt;K200,"NILAI DISETUJUI MELEBIHI BIAYA",IF(AND(Q200="Disetujui",Z200=""),"PENYETUJU BELUM DIISI",IF(Q200&lt;&gt;"Disetujui","MENUNGGU PERSETUJUAN","OK")))))))))</f>
        <v/>
      </c>
      <c r="Z200" s="98"/>
      <c r="AA200" s="105"/>
      <c r="AB200" s="98"/>
      <c r="AC200" s="104" t="str">
        <f t="shared" si="35"/>
        <v/>
      </c>
    </row>
    <row r="201" spans="1:29">
      <c r="A201" s="9" t="str">
        <f t="shared" si="31"/>
        <v/>
      </c>
      <c r="B201" s="10"/>
      <c r="C201" s="9" t="str">
        <f t="shared" si="32"/>
        <v/>
      </c>
      <c r="D201" s="46"/>
      <c r="E201" s="47" t="str">
        <f>IF(D201="","",IFERROR(INDEX(PERKARA!$B$5:$B$104,MATCH(D201,PERKARA!$A$5:$A$104,0)),"ID TIDAK TERDAFTAR"))</f>
        <v/>
      </c>
      <c r="F201" s="6"/>
      <c r="G201" s="6"/>
      <c r="H201" s="6"/>
      <c r="I201" s="6"/>
      <c r="J201" s="6"/>
      <c r="K201" s="11"/>
      <c r="L201" s="6"/>
      <c r="M201" s="6"/>
      <c r="N201" s="6"/>
      <c r="O201" s="6"/>
      <c r="P201" s="6"/>
      <c r="Q201" s="103"/>
      <c r="R201" s="107"/>
      <c r="S201" s="11"/>
      <c r="T201" s="12" t="str">
        <f t="shared" si="33"/>
        <v/>
      </c>
      <c r="U201" s="10"/>
      <c r="V201" s="9" t="str">
        <f t="shared" si="34"/>
        <v/>
      </c>
      <c r="W201" s="6"/>
      <c r="X201" s="6"/>
      <c r="Y201" s="67" t="str">
        <f>IF(B201="","",IF(AND(D201&lt;&gt;"",E201="ID TIDAK TERDAFTAR"),"PERKARA TIDAK VALID",IF(I201="","AKUN BELUM DIISI",IF(AND(M201="Ya",N201=""),"KLAIM BELUM DIHUBUNGKAN",IF(AND(N201&lt;&gt;"",COUNTIF(REIMBURSE!$A$5:$A$124,N201)=0),"ID KLAIM TIDAK TERDAFTAR",IF(Q201="Ditolak","PENGELUARAN DITOLAK",IF(R201&gt;K201,"NILAI DISETUJUI MELEBIHI BIAYA",IF(AND(Q201="Disetujui",Z201=""),"PENYETUJU BELUM DIISI",IF(Q201&lt;&gt;"Disetujui","MENUNGGU PERSETUJUAN","OK")))))))))</f>
        <v/>
      </c>
      <c r="Z201" s="98"/>
      <c r="AA201" s="105"/>
      <c r="AB201" s="98"/>
      <c r="AC201" s="104" t="str">
        <f t="shared" si="35"/>
        <v/>
      </c>
    </row>
    <row r="202" spans="1:29">
      <c r="A202" s="9" t="str">
        <f t="shared" si="31"/>
        <v/>
      </c>
      <c r="B202" s="10"/>
      <c r="C202" s="9" t="str">
        <f t="shared" si="32"/>
        <v/>
      </c>
      <c r="D202" s="46"/>
      <c r="E202" s="47" t="str">
        <f>IF(D202="","",IFERROR(INDEX(PERKARA!$B$5:$B$104,MATCH(D202,PERKARA!$A$5:$A$104,0)),"ID TIDAK TERDAFTAR"))</f>
        <v/>
      </c>
      <c r="F202" s="6"/>
      <c r="G202" s="6"/>
      <c r="H202" s="6"/>
      <c r="I202" s="6"/>
      <c r="J202" s="6"/>
      <c r="K202" s="11"/>
      <c r="L202" s="6"/>
      <c r="M202" s="6"/>
      <c r="N202" s="6"/>
      <c r="O202" s="6"/>
      <c r="P202" s="6"/>
      <c r="Q202" s="103"/>
      <c r="R202" s="107"/>
      <c r="S202" s="11"/>
      <c r="T202" s="12" t="str">
        <f t="shared" si="33"/>
        <v/>
      </c>
      <c r="U202" s="10"/>
      <c r="V202" s="9" t="str">
        <f t="shared" si="34"/>
        <v/>
      </c>
      <c r="W202" s="6"/>
      <c r="X202" s="6"/>
      <c r="Y202" s="67" t="str">
        <f>IF(B202="","",IF(AND(D202&lt;&gt;"",E202="ID TIDAK TERDAFTAR"),"PERKARA TIDAK VALID",IF(I202="","AKUN BELUM DIISI",IF(AND(M202="Ya",N202=""),"KLAIM BELUM DIHUBUNGKAN",IF(AND(N202&lt;&gt;"",COUNTIF(REIMBURSE!$A$5:$A$124,N202)=0),"ID KLAIM TIDAK TERDAFTAR",IF(Q202="Ditolak","PENGELUARAN DITOLAK",IF(R202&gt;K202,"NILAI DISETUJUI MELEBIHI BIAYA",IF(AND(Q202="Disetujui",Z202=""),"PENYETUJU BELUM DIISI",IF(Q202&lt;&gt;"Disetujui","MENUNGGU PERSETUJUAN","OK")))))))))</f>
        <v/>
      </c>
      <c r="Z202" s="98"/>
      <c r="AA202" s="105"/>
      <c r="AB202" s="98"/>
      <c r="AC202" s="104" t="str">
        <f t="shared" si="35"/>
        <v/>
      </c>
    </row>
    <row r="203" spans="1:29">
      <c r="A203" s="9" t="str">
        <f t="shared" si="31"/>
        <v/>
      </c>
      <c r="B203" s="10"/>
      <c r="C203" s="9" t="str">
        <f t="shared" si="32"/>
        <v/>
      </c>
      <c r="D203" s="46"/>
      <c r="E203" s="47" t="str">
        <f>IF(D203="","",IFERROR(INDEX(PERKARA!$B$5:$B$104,MATCH(D203,PERKARA!$A$5:$A$104,0)),"ID TIDAK TERDAFTAR"))</f>
        <v/>
      </c>
      <c r="F203" s="6"/>
      <c r="G203" s="6"/>
      <c r="H203" s="6"/>
      <c r="I203" s="6"/>
      <c r="J203" s="6"/>
      <c r="K203" s="11"/>
      <c r="L203" s="6"/>
      <c r="M203" s="6"/>
      <c r="N203" s="6"/>
      <c r="O203" s="6"/>
      <c r="P203" s="6"/>
      <c r="Q203" s="103"/>
      <c r="R203" s="107"/>
      <c r="S203" s="11"/>
      <c r="T203" s="12" t="str">
        <f t="shared" si="33"/>
        <v/>
      </c>
      <c r="U203" s="10"/>
      <c r="V203" s="9" t="str">
        <f t="shared" si="34"/>
        <v/>
      </c>
      <c r="W203" s="6"/>
      <c r="X203" s="6"/>
      <c r="Y203" s="67" t="str">
        <f>IF(B203="","",IF(AND(D203&lt;&gt;"",E203="ID TIDAK TERDAFTAR"),"PERKARA TIDAK VALID",IF(I203="","AKUN BELUM DIISI",IF(AND(M203="Ya",N203=""),"KLAIM BELUM DIHUBUNGKAN",IF(AND(N203&lt;&gt;"",COUNTIF(REIMBURSE!$A$5:$A$124,N203)=0),"ID KLAIM TIDAK TERDAFTAR",IF(Q203="Ditolak","PENGELUARAN DITOLAK",IF(R203&gt;K203,"NILAI DISETUJUI MELEBIHI BIAYA",IF(AND(Q203="Disetujui",Z203=""),"PENYETUJU BELUM DIISI",IF(Q203&lt;&gt;"Disetujui","MENUNGGU PERSETUJUAN","OK")))))))))</f>
        <v/>
      </c>
      <c r="Z203" s="98"/>
      <c r="AA203" s="105"/>
      <c r="AB203" s="98"/>
      <c r="AC203" s="104" t="str">
        <f t="shared" si="35"/>
        <v/>
      </c>
    </row>
    <row r="204" spans="1:29">
      <c r="A204" s="9" t="str">
        <f t="shared" si="31"/>
        <v/>
      </c>
      <c r="B204" s="10"/>
      <c r="C204" s="9" t="str">
        <f t="shared" si="32"/>
        <v/>
      </c>
      <c r="D204" s="46"/>
      <c r="E204" s="47" t="str">
        <f>IF(D204="","",IFERROR(INDEX(PERKARA!$B$5:$B$104,MATCH(D204,PERKARA!$A$5:$A$104,0)),"ID TIDAK TERDAFTAR"))</f>
        <v/>
      </c>
      <c r="F204" s="6"/>
      <c r="G204" s="6"/>
      <c r="H204" s="6"/>
      <c r="I204" s="6"/>
      <c r="J204" s="6"/>
      <c r="K204" s="11"/>
      <c r="L204" s="6"/>
      <c r="M204" s="6"/>
      <c r="N204" s="6"/>
      <c r="O204" s="6"/>
      <c r="P204" s="6"/>
      <c r="Q204" s="103"/>
      <c r="R204" s="107"/>
      <c r="S204" s="11"/>
      <c r="T204" s="12" t="str">
        <f t="shared" si="33"/>
        <v/>
      </c>
      <c r="U204" s="10"/>
      <c r="V204" s="9" t="str">
        <f t="shared" si="34"/>
        <v/>
      </c>
      <c r="W204" s="6"/>
      <c r="X204" s="6"/>
      <c r="Y204" s="67" t="str">
        <f>IF(B204="","",IF(AND(D204&lt;&gt;"",E204="ID TIDAK TERDAFTAR"),"PERKARA TIDAK VALID",IF(I204="","AKUN BELUM DIISI",IF(AND(M204="Ya",N204=""),"KLAIM BELUM DIHUBUNGKAN",IF(AND(N204&lt;&gt;"",COUNTIF(REIMBURSE!$A$5:$A$124,N204)=0),"ID KLAIM TIDAK TERDAFTAR",IF(Q204="Ditolak","PENGELUARAN DITOLAK",IF(R204&gt;K204,"NILAI DISETUJUI MELEBIHI BIAYA",IF(AND(Q204="Disetujui",Z204=""),"PENYETUJU BELUM DIISI",IF(Q204&lt;&gt;"Disetujui","MENUNGGU PERSETUJUAN","OK")))))))))</f>
        <v/>
      </c>
      <c r="Z204" s="98"/>
      <c r="AA204" s="105"/>
      <c r="AB204" s="98"/>
      <c r="AC204" s="104" t="str">
        <f t="shared" si="35"/>
        <v/>
      </c>
    </row>
  </sheetData>
  <mergeCells count="2">
    <mergeCell ref="A1:AC2"/>
    <mergeCell ref="A3:AC3"/>
  </mergeCells>
  <conditionalFormatting sqref="E5:E204">
    <cfRule type="containsText" dxfId="37" priority="4" operator="containsText" text="ID TIDAK TERDAFTAR"/>
  </conditionalFormatting>
  <conditionalFormatting sqref="O5:O204">
    <cfRule type="containsText" dxfId="36" priority="1" operator="containsText" text="Lunas"/>
    <cfRule type="containsText" dxfId="35" priority="2" operator="containsText" text="Jatuh Tempo"/>
    <cfRule type="containsText" dxfId="34" priority="3" operator="containsText" text="Sebagian"/>
  </conditionalFormatting>
  <conditionalFormatting sqref="V5:V204">
    <cfRule type="containsText" dxfId="33" priority="5" operator="containsText" text="Lunas"/>
    <cfRule type="containsText" dxfId="32" priority="9" operator="containsText" text="Jatuh Tempo"/>
    <cfRule type="containsText" dxfId="31" priority="14"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1">
        <x14:dataValidation type="list" xr:uid="{00000000-0002-0000-0400-000000000000}">
          <x14:formula1>
            <xm:f>PERKARA!$A$5:$A$104</xm:f>
          </x14:formula1>
          <xm:sqref>D5:D204</xm:sqref>
        </x14:dataValidation>
        <x14:dataValidation type="list" xr:uid="{00000000-0002-0000-0400-000001000000}">
          <x14:formula1>
            <xm:f>MASTER!$E$5:$E$22</xm:f>
          </x14:formula1>
          <xm:sqref>G5:G204</xm:sqref>
        </x14:dataValidation>
        <x14:dataValidation type="list" xr:uid="{00000000-0002-0000-0400-000002000000}">
          <x14:formula1>
            <xm:f>MASTER!$A$5:$A$9</xm:f>
          </x14:formula1>
          <xm:sqref>H5:H204</xm:sqref>
        </x14:dataValidation>
        <x14:dataValidation type="list" xr:uid="{00000000-0002-0000-0400-000003000000}">
          <x14:formula1>
            <xm:f>MASTER!$G$5:$G$10</xm:f>
          </x14:formula1>
          <xm:sqref>I5:I204</xm:sqref>
        </x14:dataValidation>
        <x14:dataValidation type="list" xr:uid="{00000000-0002-0000-0400-000004000000}">
          <x14:formula1>
            <xm:f>MASTER!$I$5:$I$10</xm:f>
          </x14:formula1>
          <xm:sqref>J5:J204</xm:sqref>
        </x14:dataValidation>
        <x14:dataValidation type="list" xr:uid="{00000000-0002-0000-0400-000005000000}">
          <x14:formula1>
            <xm:f>MASTER!$O$5:$O$7</xm:f>
          </x14:formula1>
          <xm:sqref>L5:L204</xm:sqref>
        </x14:dataValidation>
        <x14:dataValidation type="list" xr:uid="{00000000-0002-0000-0400-000006000000}">
          <x14:formula1>
            <xm:f>MASTER!$Q$5:$Q$6</xm:f>
          </x14:formula1>
          <xm:sqref>M5:M204 W5:W204</xm:sqref>
        </x14:dataValidation>
        <x14:dataValidation type="list" xr:uid="{00000000-0002-0000-0400-000007000000}">
          <x14:formula1>
            <xm:f>REIMBURSE!$A$5:$A$124</xm:f>
          </x14:formula1>
          <xm:sqref>N5:N204</xm:sqref>
        </x14:dataValidation>
        <x14:dataValidation type="list" xr:uid="{00000000-0002-0000-0400-000008000000}">
          <x14:formula1>
            <xm:f>MASTER!$K$5:$K$7</xm:f>
          </x14:formula1>
          <xm:sqref>O5:O204</xm:sqref>
        </x14:dataValidation>
        <x14:dataValidation type="list" xr:uid="{00000000-0002-0000-0400-000009000000}">
          <x14:formula1>
            <xm:f>MASTER!$M$5:$M$8</xm:f>
          </x14:formula1>
          <xm:sqref>Q5:Q204</xm:sqref>
        </x14:dataValidation>
        <x14:dataValidation type="list" xr:uid="{00000000-0002-0000-0400-00000B000000}">
          <x14:formula1>
            <xm:f>MASTER!$A$5:$A$7</xm:f>
          </x14:formula1>
          <xm:sqref>Z5:Z204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6"/>
  <sheetViews>
    <sheetView showGridLines="0" workbookViewId="0">
      <selection activeCell="A14" sqref="A14:Q16"/>
    </sheetView>
  </sheetViews>
  <sheetFormatPr defaultRowHeight="13.8"/>
  <cols>
    <col min="1" max="1" width="22" customWidth="1"/>
    <col min="2" max="2" width="19" customWidth="1"/>
    <col min="3" max="3" width="21" customWidth="1"/>
    <col min="4" max="4" width="23" customWidth="1"/>
    <col min="5" max="8" width="22" customWidth="1"/>
    <col min="9" max="9" width="23" customWidth="1"/>
    <col min="10" max="11" width="20" customWidth="1"/>
    <col min="12" max="12" width="23" customWidth="1"/>
    <col min="13" max="13" width="24" customWidth="1"/>
    <col min="14" max="15" width="23" customWidth="1"/>
    <col min="16" max="16" width="20" customWidth="1"/>
    <col min="17" max="17" width="36" customWidth="1"/>
    <col min="19" max="19" width="15.296875" customWidth="1"/>
    <col min="20" max="20" width="12.59765625" customWidth="1"/>
  </cols>
  <sheetData>
    <row r="1" spans="1:20" ht="25.05" customHeight="1">
      <c r="A1" s="237" t="s">
        <v>167</v>
      </c>
      <c r="B1" s="237" t="s">
        <v>167</v>
      </c>
      <c r="C1" s="237" t="s">
        <v>167</v>
      </c>
      <c r="D1" s="237" t="s">
        <v>167</v>
      </c>
      <c r="E1" s="237" t="s">
        <v>167</v>
      </c>
      <c r="F1" s="237" t="s">
        <v>167</v>
      </c>
      <c r="G1" s="237" t="s">
        <v>167</v>
      </c>
      <c r="H1" s="237" t="s">
        <v>167</v>
      </c>
      <c r="I1" s="237" t="s">
        <v>167</v>
      </c>
      <c r="J1" s="237" t="s">
        <v>167</v>
      </c>
      <c r="K1" s="237" t="s">
        <v>167</v>
      </c>
      <c r="L1" s="237" t="s">
        <v>167</v>
      </c>
      <c r="M1" s="237" t="s">
        <v>167</v>
      </c>
      <c r="N1" s="237" t="s">
        <v>167</v>
      </c>
      <c r="O1" s="237" t="s">
        <v>167</v>
      </c>
      <c r="P1" s="237" t="s">
        <v>167</v>
      </c>
      <c r="Q1" s="237" t="s">
        <v>167</v>
      </c>
    </row>
    <row r="2" spans="1:20" ht="25.05" customHeight="1">
      <c r="A2" s="237" t="s">
        <v>167</v>
      </c>
      <c r="B2" s="237" t="s">
        <v>167</v>
      </c>
      <c r="C2" s="237" t="s">
        <v>167</v>
      </c>
      <c r="D2" s="237" t="s">
        <v>167</v>
      </c>
      <c r="E2" s="237" t="s">
        <v>167</v>
      </c>
      <c r="F2" s="237" t="s">
        <v>167</v>
      </c>
      <c r="G2" s="237" t="s">
        <v>167</v>
      </c>
      <c r="H2" s="237" t="s">
        <v>167</v>
      </c>
      <c r="I2" s="237" t="s">
        <v>167</v>
      </c>
      <c r="J2" s="237" t="s">
        <v>167</v>
      </c>
      <c r="K2" s="237" t="s">
        <v>167</v>
      </c>
      <c r="L2" s="237" t="s">
        <v>167</v>
      </c>
      <c r="M2" s="237" t="s">
        <v>167</v>
      </c>
      <c r="N2" s="237" t="s">
        <v>167</v>
      </c>
      <c r="O2" s="237" t="s">
        <v>167</v>
      </c>
      <c r="P2" s="237" t="s">
        <v>167</v>
      </c>
      <c r="Q2" s="237" t="s">
        <v>167</v>
      </c>
    </row>
    <row r="3" spans="1:20" ht="30" customHeight="1">
      <c r="A3" s="295" t="s">
        <v>604</v>
      </c>
      <c r="B3" s="295" t="s">
        <v>605</v>
      </c>
      <c r="C3" s="295" t="s">
        <v>605</v>
      </c>
      <c r="D3" s="295" t="s">
        <v>605</v>
      </c>
      <c r="E3" s="295" t="s">
        <v>605</v>
      </c>
      <c r="F3" s="295" t="s">
        <v>605</v>
      </c>
      <c r="G3" s="295" t="s">
        <v>605</v>
      </c>
      <c r="H3" s="295" t="s">
        <v>605</v>
      </c>
      <c r="I3" s="295" t="s">
        <v>605</v>
      </c>
      <c r="J3" s="295" t="s">
        <v>605</v>
      </c>
      <c r="K3" s="295" t="s">
        <v>605</v>
      </c>
      <c r="L3" s="295" t="s">
        <v>605</v>
      </c>
      <c r="M3" s="295" t="s">
        <v>605</v>
      </c>
      <c r="N3" s="295" t="s">
        <v>605</v>
      </c>
      <c r="O3" s="295" t="s">
        <v>605</v>
      </c>
      <c r="P3" s="295" t="s">
        <v>605</v>
      </c>
      <c r="Q3" s="295" t="s">
        <v>605</v>
      </c>
      <c r="R3" s="296"/>
      <c r="S3" s="296"/>
      <c r="T3" s="296"/>
    </row>
    <row r="4" spans="1:20" ht="37.049999999999997" customHeight="1">
      <c r="A4" s="7" t="s">
        <v>168</v>
      </c>
      <c r="B4" s="7" t="s">
        <v>169</v>
      </c>
      <c r="C4" s="7" t="s">
        <v>170</v>
      </c>
      <c r="D4" s="7" t="s">
        <v>171</v>
      </c>
      <c r="E4" s="7" t="s">
        <v>131</v>
      </c>
      <c r="F4" s="7" t="s">
        <v>172</v>
      </c>
      <c r="G4" s="7" t="s">
        <v>173</v>
      </c>
      <c r="H4" s="7" t="s">
        <v>606</v>
      </c>
      <c r="I4" s="7" t="s">
        <v>174</v>
      </c>
      <c r="J4" s="7" t="s">
        <v>175</v>
      </c>
      <c r="K4" s="7" t="s">
        <v>176</v>
      </c>
      <c r="L4" s="7" t="s">
        <v>177</v>
      </c>
      <c r="M4" s="7" t="s">
        <v>178</v>
      </c>
      <c r="N4" s="7" t="s">
        <v>179</v>
      </c>
      <c r="O4" s="7" t="s">
        <v>180</v>
      </c>
      <c r="P4" s="7" t="s">
        <v>181</v>
      </c>
      <c r="Q4" s="7" t="s">
        <v>79</v>
      </c>
      <c r="R4" s="66" t="s">
        <v>607</v>
      </c>
      <c r="S4" s="66" t="s">
        <v>608</v>
      </c>
      <c r="T4" s="66" t="s">
        <v>609</v>
      </c>
    </row>
    <row r="5" spans="1:20" s="57" customFormat="1">
      <c r="A5" s="230" t="s">
        <v>182</v>
      </c>
      <c r="B5" s="197">
        <f>SALDO_AWAL_2026!B9</f>
        <v>0</v>
      </c>
      <c r="C5" s="198">
        <f>SUMIFS(PEMASUKAN!$J$5:$J$204,PEMASUKAN!$K$5:$K$204,A5)</f>
        <v>16000000</v>
      </c>
      <c r="D5" s="198">
        <f>SUMIFS(PENGELUARAN!$K$5:$K$204,PENGELUARAN!$I$5:$I$204,A5)</f>
        <v>4095908</v>
      </c>
      <c r="E5" s="198">
        <f>SUMIFS(GAJI!$P$5:$P$124,GAJI!$T$5:$T$124,A5,GAJI!$R$5:$R$124,"Dibayar")</f>
        <v>0</v>
      </c>
      <c r="F5" s="198">
        <f>SUMIFS(REIMBURSE!$J$5:$J$124,REIMBURSE!$O$5:$O$124,A5)</f>
        <v>0</v>
      </c>
      <c r="G5" s="198">
        <f>SUMIFS(DANA_KLIEN!$H$5:$H$154,DANA_KLIEN!$J$5:$J$154,A5)</f>
        <v>0</v>
      </c>
      <c r="H5" s="198">
        <f>SUMIFS(PARTNER!$I$5:$I$124,PARTNER!$L$5:$L$124,A5)</f>
        <v>9000000</v>
      </c>
      <c r="I5" s="198">
        <f>SUMIFS(KEWAJIBAN!$F$5:$F$124,KEWAJIBAN!$J$5:$J$124,A5)</f>
        <v>0</v>
      </c>
      <c r="J5" s="197">
        <f>SUMIFS(TRANSFER_KAS!$F$5:$F$204,TRANSFER_KAS!$E$5:$E$204,A5)</f>
        <v>0</v>
      </c>
      <c r="K5" s="197">
        <f>SUMIFS(TRANSFER_KAS!$F$5:$F$204,TRANSFER_KAS!$D$5:$D$204,A5)</f>
        <v>0</v>
      </c>
      <c r="L5" s="198">
        <f t="shared" ref="L5:L10" si="0">B5+C5-SUM(D5:I5)+J5-K5+IF(R5="",0,R5)</f>
        <v>2904092</v>
      </c>
      <c r="M5" s="197">
        <v>2904092</v>
      </c>
      <c r="N5" s="198">
        <f t="shared" ref="N5:N10" si="1">IF(M5="","",M5-L5)</f>
        <v>0</v>
      </c>
      <c r="O5" s="58" t="s">
        <v>610</v>
      </c>
      <c r="P5" s="54"/>
      <c r="Q5" s="53"/>
      <c r="R5" s="229" t="str">
        <f>IF(IF(A5=MASTER!$G$7,MASTER!$A$5,IF(A5=MASTER!$G$8,MASTER!$A$6,IF(A5=MASTER!$G$9,MASTER!$A$7,"")))="","",SUMIFS(REIMBURSE!$J$5:$J$124,REIMBURSE!$C$5:$C$124,IF(A5=MASTER!$G$7,MASTER!$A$5,IF(A5=MASTER!$G$8,MASTER!$A$6,IF(A5=MASTER!$G$9,MASTER!$A$7,""))))+SUMIFS(PARTNER!$I$5:$I$124,PARTNER!$D$5:$D$124,IF(A5=MASTER!$G$7,MASTER!$A$5,IF(A5=MASTER!$G$8,MASTER!$A$6,IF(A5=MASTER!$G$9,MASTER!$A$7,""))),PARTNER!$E$5:$E$124,"Pengembalian Talangan"))</f>
        <v/>
      </c>
      <c r="S5" s="229">
        <f t="shared" ref="S5:S10" si="2">IF(A5="Bank Dana Klien",0,MAX(L5,0))</f>
        <v>2904092</v>
      </c>
      <c r="T5" s="229">
        <f>IF(OR(A5=MASTER!$G$7,A5=MASTER!$G$8,A5=MASTER!$G$9),MAX(-L5,0),0)</f>
        <v>0</v>
      </c>
    </row>
    <row r="6" spans="1:20" s="57" customFormat="1">
      <c r="A6" s="230" t="s">
        <v>183</v>
      </c>
      <c r="B6" s="197">
        <f>SALDO_AWAL_2026!B10</f>
        <v>0</v>
      </c>
      <c r="C6" s="198">
        <f>SUMIFS(PEMASUKAN!$J$5:$J$204,PEMASUKAN!$K$5:$K$204,A6)</f>
        <v>0</v>
      </c>
      <c r="D6" s="198">
        <f>SUMIFS(PENGELUARAN!$K$5:$K$204,PENGELUARAN!$I$5:$I$204,A6)</f>
        <v>0</v>
      </c>
      <c r="E6" s="198">
        <f>SUMIFS(GAJI!$P$5:$P$124,GAJI!$T$5:$T$124,A6,GAJI!$R$5:$R$124,"Dibayar")</f>
        <v>0</v>
      </c>
      <c r="F6" s="198">
        <f>SUMIFS(REIMBURSE!$J$5:$J$124,REIMBURSE!$O$5:$O$124,A6)</f>
        <v>0</v>
      </c>
      <c r="G6" s="198">
        <f>SUMIFS(DANA_KLIEN!$H$5:$H$154,DANA_KLIEN!$J$5:$J$154,A6)</f>
        <v>0</v>
      </c>
      <c r="H6" s="198">
        <f>SUMIFS(PARTNER!$I$5:$I$124,PARTNER!$L$5:$L$124,A6)</f>
        <v>0</v>
      </c>
      <c r="I6" s="198">
        <f>SUMIFS(KEWAJIBAN!$F$5:$F$124,KEWAJIBAN!$J$5:$J$124,A6)</f>
        <v>0</v>
      </c>
      <c r="J6" s="197">
        <f>SUMIFS(TRANSFER_KAS!$F$5:$F$204,TRANSFER_KAS!$E$5:$E$204,A6)</f>
        <v>0</v>
      </c>
      <c r="K6" s="197">
        <f>SUMIFS(TRANSFER_KAS!$F$5:$F$204,TRANSFER_KAS!$D$5:$D$204,A6)</f>
        <v>0</v>
      </c>
      <c r="L6" s="198">
        <f t="shared" si="0"/>
        <v>0</v>
      </c>
      <c r="M6" s="197">
        <v>0</v>
      </c>
      <c r="N6" s="198">
        <f t="shared" si="1"/>
        <v>0</v>
      </c>
      <c r="O6" s="58" t="s">
        <v>610</v>
      </c>
      <c r="P6" s="54"/>
      <c r="Q6" s="53"/>
      <c r="R6" s="229" t="str">
        <f>IF(IF(A6=MASTER!$G$7,MASTER!$A$5,IF(A6=MASTER!$G$8,MASTER!$A$6,IF(A6=MASTER!$G$9,MASTER!$A$7,"")))="","",SUMIFS(REIMBURSE!$J$5:$J$124,REIMBURSE!$C$5:$C$124,IF(A6=MASTER!$G$7,MASTER!$A$5,IF(A6=MASTER!$G$8,MASTER!$A$6,IF(A6=MASTER!$G$9,MASTER!$A$7,""))))+SUMIFS(PARTNER!$I$5:$I$124,PARTNER!$D$5:$D$124,IF(A6=MASTER!$G$7,MASTER!$A$5,IF(A6=MASTER!$G$8,MASTER!$A$6,IF(A6=MASTER!$G$9,MASTER!$A$7,""))),PARTNER!$E$5:$E$124,"Pengembalian Talangan"))</f>
        <v/>
      </c>
      <c r="S6" s="229">
        <f t="shared" si="2"/>
        <v>0</v>
      </c>
      <c r="T6" s="229">
        <f>IF(OR(A6=MASTER!$G$7,A6=MASTER!$G$8,A6=MASTER!$G$9),MAX(-L6,0),0)</f>
        <v>0</v>
      </c>
    </row>
    <row r="7" spans="1:20" s="57" customFormat="1">
      <c r="A7" s="230" t="s">
        <v>184</v>
      </c>
      <c r="B7" s="197">
        <f>SALDO_AWAL_2026!B11</f>
        <v>0</v>
      </c>
      <c r="C7" s="198">
        <f>SUMIFS(PEMASUKAN!$J$5:$J$204,PEMASUKAN!$K$5:$K$204,A7)</f>
        <v>0</v>
      </c>
      <c r="D7" s="198">
        <f>SUMIFS(PENGELUARAN!$K$5:$K$204,PENGELUARAN!$I$5:$I$204,A7)</f>
        <v>0</v>
      </c>
      <c r="E7" s="198">
        <f>SUMIFS(GAJI!$P$5:$P$124,GAJI!$T$5:$T$124,A7,GAJI!$R$5:$R$124,"Dibayar")</f>
        <v>1000000</v>
      </c>
      <c r="F7" s="198">
        <f>SUMIFS(REIMBURSE!$J$5:$J$124,REIMBURSE!$O$5:$O$124,A7)</f>
        <v>0</v>
      </c>
      <c r="G7" s="198">
        <f>SUMIFS(DANA_KLIEN!$H$5:$H$154,DANA_KLIEN!$J$5:$J$154,A7)</f>
        <v>0</v>
      </c>
      <c r="H7" s="198">
        <f>SUMIFS(PARTNER!$I$5:$I$124,PARTNER!$L$5:$L$124,A7)</f>
        <v>0</v>
      </c>
      <c r="I7" s="198">
        <f>SUMIFS(KEWAJIBAN!$F$5:$F$124,KEWAJIBAN!$J$5:$J$124,A7)</f>
        <v>0</v>
      </c>
      <c r="J7" s="197">
        <f>SUMIFS(TRANSFER_KAS!$F$5:$F$204,TRANSFER_KAS!$E$5:$E$204,A7)</f>
        <v>0</v>
      </c>
      <c r="K7" s="197">
        <f>SUMIFS(TRANSFER_KAS!$F$5:$F$204,TRANSFER_KAS!$D$5:$D$204,A7)</f>
        <v>0</v>
      </c>
      <c r="L7" s="198">
        <f t="shared" si="0"/>
        <v>-1000000</v>
      </c>
      <c r="M7" s="197">
        <v>0</v>
      </c>
      <c r="N7" s="198">
        <f t="shared" si="1"/>
        <v>1000000</v>
      </c>
      <c r="O7" s="58" t="s">
        <v>611</v>
      </c>
      <c r="P7" s="54"/>
      <c r="Q7" s="53"/>
      <c r="R7" s="229">
        <f>IF(IF(A7=MASTER!$G$7,MASTER!$A$5,IF(A7=MASTER!$G$8,MASTER!$A$6,IF(A7=MASTER!$G$9,MASTER!$A$7,"")))="","",SUMIFS(REIMBURSE!$J$5:$J$124,REIMBURSE!$C$5:$C$124,IF(A7=MASTER!$G$7,MASTER!$A$5,IF(A7=MASTER!$G$8,MASTER!$A$6,IF(A7=MASTER!$G$9,MASTER!$A$7,""))))+SUMIFS(PARTNER!$I$5:$I$124,PARTNER!$D$5:$D$124,IF(A7=MASTER!$G$7,MASTER!$A$5,IF(A7=MASTER!$G$8,MASTER!$A$6,IF(A7=MASTER!$G$9,MASTER!$A$7,""))),PARTNER!$E$5:$E$124,"Pengembalian Talangan"))</f>
        <v>0</v>
      </c>
      <c r="S7" s="229">
        <f t="shared" si="2"/>
        <v>0</v>
      </c>
      <c r="T7" s="229">
        <f>IF(OR(A7=MASTER!$G$7,A7=MASTER!$G$8,A7=MASTER!$G$9),MAX(-L7,0),0)</f>
        <v>1000000</v>
      </c>
    </row>
    <row r="8" spans="1:20" s="57" customFormat="1">
      <c r="A8" s="230" t="s">
        <v>185</v>
      </c>
      <c r="B8" s="197">
        <f>SALDO_AWAL_2026!B12</f>
        <v>0</v>
      </c>
      <c r="C8" s="198">
        <f>SUMIFS(PEMASUKAN!$J$5:$J$204,PEMASUKAN!$K$5:$K$204,A8)</f>
        <v>0</v>
      </c>
      <c r="D8" s="198">
        <f>SUMIFS(PENGELUARAN!$K$5:$K$204,PENGELUARAN!$I$5:$I$204,A8)</f>
        <v>0</v>
      </c>
      <c r="E8" s="198">
        <f>SUMIFS(GAJI!$P$5:$P$124,GAJI!$T$5:$T$124,A8,GAJI!$R$5:$R$124,"Dibayar")</f>
        <v>0</v>
      </c>
      <c r="F8" s="198">
        <f>SUMIFS(REIMBURSE!$J$5:$J$124,REIMBURSE!$O$5:$O$124,A8)</f>
        <v>0</v>
      </c>
      <c r="G8" s="198">
        <f>SUMIFS(DANA_KLIEN!$H$5:$H$154,DANA_KLIEN!$J$5:$J$154,A8)</f>
        <v>0</v>
      </c>
      <c r="H8" s="198">
        <f>SUMIFS(PARTNER!$I$5:$I$124,PARTNER!$L$5:$L$124,A8)</f>
        <v>0</v>
      </c>
      <c r="I8" s="198">
        <f>SUMIFS(KEWAJIBAN!$F$5:$F$124,KEWAJIBAN!$J$5:$J$124,A8)</f>
        <v>0</v>
      </c>
      <c r="J8" s="197">
        <f>SUMIFS(TRANSFER_KAS!$F$5:$F$204,TRANSFER_KAS!$E$5:$E$204,A8)</f>
        <v>0</v>
      </c>
      <c r="K8" s="197">
        <f>SUMIFS(TRANSFER_KAS!$F$5:$F$204,TRANSFER_KAS!$D$5:$D$204,A8)</f>
        <v>0</v>
      </c>
      <c r="L8" s="198">
        <f t="shared" si="0"/>
        <v>0</v>
      </c>
      <c r="M8" s="197">
        <v>0</v>
      </c>
      <c r="N8" s="198">
        <f t="shared" si="1"/>
        <v>0</v>
      </c>
      <c r="O8" s="58" t="s">
        <v>610</v>
      </c>
      <c r="P8" s="54"/>
      <c r="Q8" s="53"/>
      <c r="R8" s="229">
        <f>IF(IF(A8=MASTER!$G$7,MASTER!$A$5,IF(A8=MASTER!$G$8,MASTER!$A$6,IF(A8=MASTER!$G$9,MASTER!$A$7,"")))="","",SUMIFS(REIMBURSE!$J$5:$J$124,REIMBURSE!$C$5:$C$124,IF(A8=MASTER!$G$7,MASTER!$A$5,IF(A8=MASTER!$G$8,MASTER!$A$6,IF(A8=MASTER!$G$9,MASTER!$A$7,""))))+SUMIFS(PARTNER!$I$5:$I$124,PARTNER!$D$5:$D$124,IF(A8=MASTER!$G$7,MASTER!$A$5,IF(A8=MASTER!$G$8,MASTER!$A$6,IF(A8=MASTER!$G$9,MASTER!$A$7,""))),PARTNER!$E$5:$E$124,"Pengembalian Talangan"))</f>
        <v>0</v>
      </c>
      <c r="S8" s="229">
        <f t="shared" si="2"/>
        <v>0</v>
      </c>
      <c r="T8" s="229">
        <f>IF(OR(A8=MASTER!$G$7,A8=MASTER!$G$8,A8=MASTER!$G$9),MAX(-L8,0),0)</f>
        <v>0</v>
      </c>
    </row>
    <row r="9" spans="1:20" s="57" customFormat="1">
      <c r="A9" s="230" t="s">
        <v>186</v>
      </c>
      <c r="B9" s="197">
        <f>SALDO_AWAL_2026!B13</f>
        <v>0</v>
      </c>
      <c r="C9" s="198">
        <f>SUMIFS(PEMASUKAN!$J$5:$J$204,PEMASUKAN!$K$5:$K$204,A9)</f>
        <v>0</v>
      </c>
      <c r="D9" s="198">
        <f>SUMIFS(PENGELUARAN!$K$5:$K$204,PENGELUARAN!$I$5:$I$204,A9)</f>
        <v>0</v>
      </c>
      <c r="E9" s="198">
        <f>SUMIFS(GAJI!$P$5:$P$124,GAJI!$T$5:$T$124,A9,GAJI!$R$5:$R$124,"Dibayar")</f>
        <v>0</v>
      </c>
      <c r="F9" s="198">
        <f>SUMIFS(REIMBURSE!$J$5:$J$124,REIMBURSE!$O$5:$O$124,A9)</f>
        <v>0</v>
      </c>
      <c r="G9" s="198">
        <f>SUMIFS(DANA_KLIEN!$H$5:$H$154,DANA_KLIEN!$J$5:$J$154,A9)</f>
        <v>0</v>
      </c>
      <c r="H9" s="198">
        <f>SUMIFS(PARTNER!$I$5:$I$124,PARTNER!$L$5:$L$124,A9)</f>
        <v>0</v>
      </c>
      <c r="I9" s="198">
        <f>SUMIFS(KEWAJIBAN!$F$5:$F$124,KEWAJIBAN!$J$5:$J$124,A9)</f>
        <v>0</v>
      </c>
      <c r="J9" s="197">
        <f>SUMIFS(TRANSFER_KAS!$F$5:$F$204,TRANSFER_KAS!$E$5:$E$204,A9)</f>
        <v>0</v>
      </c>
      <c r="K9" s="197">
        <f>SUMIFS(TRANSFER_KAS!$F$5:$F$204,TRANSFER_KAS!$D$5:$D$204,A9)</f>
        <v>0</v>
      </c>
      <c r="L9" s="198">
        <f t="shared" si="0"/>
        <v>0</v>
      </c>
      <c r="M9" s="197">
        <v>0</v>
      </c>
      <c r="N9" s="198">
        <f t="shared" si="1"/>
        <v>0</v>
      </c>
      <c r="O9" s="58" t="s">
        <v>610</v>
      </c>
      <c r="P9" s="54"/>
      <c r="Q9" s="53"/>
      <c r="R9" s="229">
        <f>IF(IF(A9=MASTER!$G$7,MASTER!$A$5,IF(A9=MASTER!$G$8,MASTER!$A$6,IF(A9=MASTER!$G$9,MASTER!$A$7,"")))="","",SUMIFS(REIMBURSE!$J$5:$J$124,REIMBURSE!$C$5:$C$124,IF(A9=MASTER!$G$7,MASTER!$A$5,IF(A9=MASTER!$G$8,MASTER!$A$6,IF(A9=MASTER!$G$9,MASTER!$A$7,""))))+SUMIFS(PARTNER!$I$5:$I$124,PARTNER!$D$5:$D$124,IF(A9=MASTER!$G$7,MASTER!$A$5,IF(A9=MASTER!$G$8,MASTER!$A$6,IF(A9=MASTER!$G$9,MASTER!$A$7,""))),PARTNER!$E$5:$E$124,"Pengembalian Talangan"))</f>
        <v>0</v>
      </c>
      <c r="S9" s="229">
        <f t="shared" si="2"/>
        <v>0</v>
      </c>
      <c r="T9" s="229">
        <f>IF(OR(A9=MASTER!$G$7,A9=MASTER!$G$8,A9=MASTER!$G$9),MAX(-L9,0),0)</f>
        <v>0</v>
      </c>
    </row>
    <row r="10" spans="1:20" s="57" customFormat="1">
      <c r="A10" s="230" t="s">
        <v>187</v>
      </c>
      <c r="B10" s="197">
        <f>SALDO_AWAL_2026!B14</f>
        <v>0</v>
      </c>
      <c r="C10" s="198">
        <f>SUMIFS(PEMASUKAN!$J$5:$J$204,PEMASUKAN!$K$5:$K$204,A10)</f>
        <v>0</v>
      </c>
      <c r="D10" s="198">
        <f>SUMIFS(PENGELUARAN!$K$5:$K$204,PENGELUARAN!$I$5:$I$204,A10)</f>
        <v>0</v>
      </c>
      <c r="E10" s="198">
        <f>SUMIFS(GAJI!$P$5:$P$124,GAJI!$T$5:$T$124,A10,GAJI!$R$5:$R$124,"Dibayar")</f>
        <v>0</v>
      </c>
      <c r="F10" s="198">
        <f>SUMIFS(REIMBURSE!$J$5:$J$124,REIMBURSE!$O$5:$O$124,A10)</f>
        <v>0</v>
      </c>
      <c r="G10" s="198">
        <f>SUMIFS(DANA_KLIEN!$H$5:$H$154,DANA_KLIEN!$J$5:$J$154,A10)</f>
        <v>0</v>
      </c>
      <c r="H10" s="198">
        <f>SUMIFS(PARTNER!$I$5:$I$124,PARTNER!$L$5:$L$124,A10)</f>
        <v>0</v>
      </c>
      <c r="I10" s="198">
        <f>SUMIFS(KEWAJIBAN!$F$5:$F$124,KEWAJIBAN!$J$5:$J$124,A10)</f>
        <v>0</v>
      </c>
      <c r="J10" s="197">
        <f>SUMIFS(TRANSFER_KAS!$F$5:$F$204,TRANSFER_KAS!$E$5:$E$204,A10)</f>
        <v>0</v>
      </c>
      <c r="K10" s="197">
        <f>SUMIFS(TRANSFER_KAS!$F$5:$F$204,TRANSFER_KAS!$D$5:$D$204,A10)</f>
        <v>0</v>
      </c>
      <c r="L10" s="198">
        <f t="shared" si="0"/>
        <v>0</v>
      </c>
      <c r="M10" s="197">
        <v>0</v>
      </c>
      <c r="N10" s="198">
        <f t="shared" si="1"/>
        <v>0</v>
      </c>
      <c r="O10" s="58" t="s">
        <v>610</v>
      </c>
      <c r="P10" s="54"/>
      <c r="Q10" s="53"/>
      <c r="R10" s="229" t="str">
        <f>IF(IF(A10=MASTER!$G$7,MASTER!$A$5,IF(A10=MASTER!$G$8,MASTER!$A$6,IF(A10=MASTER!$G$9,MASTER!$A$7,"")))="","",SUMIFS(REIMBURSE!$J$5:$J$124,REIMBURSE!$C$5:$C$124,IF(A10=MASTER!$G$7,MASTER!$A$5,IF(A10=MASTER!$G$8,MASTER!$A$6,IF(A10=MASTER!$G$9,MASTER!$A$7,""))))+SUMIFS(PARTNER!$I$5:$I$124,PARTNER!$D$5:$D$124,IF(A10=MASTER!$G$7,MASTER!$A$5,IF(A10=MASTER!$G$8,MASTER!$A$6,IF(A10=MASTER!$G$9,MASTER!$A$7,""))),PARTNER!$E$5:$E$124,"Pengembalian Talangan"))</f>
        <v/>
      </c>
      <c r="S10" s="229">
        <f t="shared" si="2"/>
        <v>0</v>
      </c>
      <c r="T10" s="229">
        <f>IF(OR(A10=MASTER!$G$7,A10=MASTER!$G$8,A10=MASTER!$G$9),MAX(-L10,0),0)</f>
        <v>0</v>
      </c>
    </row>
    <row r="11" spans="1:20">
      <c r="A11" s="226"/>
    </row>
    <row r="13" spans="1:20" ht="25.05" customHeight="1">
      <c r="A13" s="241" t="s">
        <v>188</v>
      </c>
      <c r="B13" s="241" t="s">
        <v>188</v>
      </c>
      <c r="C13" s="241" t="s">
        <v>188</v>
      </c>
      <c r="D13" s="241" t="s">
        <v>188</v>
      </c>
      <c r="E13" s="241" t="s">
        <v>188</v>
      </c>
      <c r="F13" s="241" t="s">
        <v>188</v>
      </c>
      <c r="G13" s="241" t="s">
        <v>188</v>
      </c>
      <c r="H13" s="241" t="s">
        <v>188</v>
      </c>
      <c r="I13" s="241" t="s">
        <v>188</v>
      </c>
      <c r="J13" s="241" t="s">
        <v>188</v>
      </c>
      <c r="K13" s="241" t="s">
        <v>188</v>
      </c>
      <c r="L13" s="241" t="s">
        <v>188</v>
      </c>
      <c r="M13" s="241" t="s">
        <v>188</v>
      </c>
      <c r="N13" s="241" t="s">
        <v>188</v>
      </c>
      <c r="O13" s="241" t="s">
        <v>188</v>
      </c>
      <c r="P13" s="241" t="s">
        <v>188</v>
      </c>
      <c r="Q13" s="241" t="s">
        <v>188</v>
      </c>
    </row>
    <row r="14" spans="1:20">
      <c r="A14" s="286" t="s">
        <v>189</v>
      </c>
      <c r="B14" s="287" t="s">
        <v>189</v>
      </c>
      <c r="C14" s="287" t="s">
        <v>189</v>
      </c>
      <c r="D14" s="287" t="s">
        <v>189</v>
      </c>
      <c r="E14" s="287" t="s">
        <v>189</v>
      </c>
      <c r="F14" s="287" t="s">
        <v>189</v>
      </c>
      <c r="G14" s="287" t="s">
        <v>189</v>
      </c>
      <c r="H14" s="287" t="s">
        <v>189</v>
      </c>
      <c r="I14" s="287" t="s">
        <v>189</v>
      </c>
      <c r="J14" s="287" t="s">
        <v>189</v>
      </c>
      <c r="K14" s="287" t="s">
        <v>189</v>
      </c>
      <c r="L14" s="287" t="s">
        <v>189</v>
      </c>
      <c r="M14" s="287" t="s">
        <v>189</v>
      </c>
      <c r="N14" s="287" t="s">
        <v>189</v>
      </c>
      <c r="O14" s="287" t="s">
        <v>189</v>
      </c>
      <c r="P14" s="287" t="s">
        <v>189</v>
      </c>
      <c r="Q14" s="288" t="s">
        <v>189</v>
      </c>
    </row>
    <row r="15" spans="1:20">
      <c r="A15" s="289" t="s">
        <v>189</v>
      </c>
      <c r="B15" s="290" t="s">
        <v>189</v>
      </c>
      <c r="C15" s="290" t="s">
        <v>189</v>
      </c>
      <c r="D15" s="290" t="s">
        <v>189</v>
      </c>
      <c r="E15" s="290" t="s">
        <v>189</v>
      </c>
      <c r="F15" s="290" t="s">
        <v>189</v>
      </c>
      <c r="G15" s="290" t="s">
        <v>189</v>
      </c>
      <c r="H15" s="290" t="s">
        <v>189</v>
      </c>
      <c r="I15" s="290" t="s">
        <v>189</v>
      </c>
      <c r="J15" s="290" t="s">
        <v>189</v>
      </c>
      <c r="K15" s="290" t="s">
        <v>189</v>
      </c>
      <c r="L15" s="290" t="s">
        <v>189</v>
      </c>
      <c r="M15" s="290" t="s">
        <v>189</v>
      </c>
      <c r="N15" s="290" t="s">
        <v>189</v>
      </c>
      <c r="O15" s="290" t="s">
        <v>189</v>
      </c>
      <c r="P15" s="290" t="s">
        <v>189</v>
      </c>
      <c r="Q15" s="291" t="s">
        <v>189</v>
      </c>
    </row>
    <row r="16" spans="1:20">
      <c r="A16" s="292" t="s">
        <v>189</v>
      </c>
      <c r="B16" s="293" t="s">
        <v>189</v>
      </c>
      <c r="C16" s="293" t="s">
        <v>189</v>
      </c>
      <c r="D16" s="293" t="s">
        <v>189</v>
      </c>
      <c r="E16" s="293" t="s">
        <v>189</v>
      </c>
      <c r="F16" s="293" t="s">
        <v>189</v>
      </c>
      <c r="G16" s="293" t="s">
        <v>189</v>
      </c>
      <c r="H16" s="293" t="s">
        <v>189</v>
      </c>
      <c r="I16" s="293" t="s">
        <v>189</v>
      </c>
      <c r="J16" s="293" t="s">
        <v>189</v>
      </c>
      <c r="K16" s="293" t="s">
        <v>189</v>
      </c>
      <c r="L16" s="293" t="s">
        <v>189</v>
      </c>
      <c r="M16" s="293" t="s">
        <v>189</v>
      </c>
      <c r="N16" s="293" t="s">
        <v>189</v>
      </c>
      <c r="O16" s="293" t="s">
        <v>189</v>
      </c>
      <c r="P16" s="293" t="s">
        <v>189</v>
      </c>
      <c r="Q16" s="294" t="s">
        <v>189</v>
      </c>
    </row>
  </sheetData>
  <mergeCells count="4">
    <mergeCell ref="A13:Q13"/>
    <mergeCell ref="A14:Q16"/>
    <mergeCell ref="A1:Q2"/>
    <mergeCell ref="A3:T3"/>
  </mergeCells>
  <conditionalFormatting sqref="O5:O10">
    <cfRule type="containsText" dxfId="30" priority="1" operator="containsText" text="Lunas"/>
    <cfRule type="containsText" dxfId="29" priority="5" operator="containsText" text="Jatuh Tempo"/>
    <cfRule type="containsText" dxfId="28" priority="10" operator="containsText" text="Sebagian"/>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24"/>
  <sheetViews>
    <sheetView showGridLines="0" workbookViewId="0">
      <selection activeCell="E16" sqref="E16"/>
    </sheetView>
  </sheetViews>
  <sheetFormatPr defaultRowHeight="13.8"/>
  <cols>
    <col min="1" max="1" width="20" customWidth="1"/>
    <col min="2" max="2" width="15" customWidth="1"/>
    <col min="3" max="3" width="25" customWidth="1"/>
    <col min="4" max="5" width="21" customWidth="1"/>
    <col min="6" max="8" width="19" customWidth="1"/>
    <col min="9" max="9" width="17" customWidth="1"/>
    <col min="10" max="10" width="19" customWidth="1"/>
    <col min="11" max="11" width="21" customWidth="1"/>
    <col min="12" max="12" width="19" customWidth="1"/>
    <col min="13" max="13" width="21" customWidth="1"/>
    <col min="14" max="14" width="18" customWidth="1"/>
    <col min="15" max="16" width="22" customWidth="1"/>
    <col min="17" max="17" width="21" customWidth="1"/>
    <col min="18" max="18" width="22" customWidth="1"/>
    <col min="19" max="19" width="16" customWidth="1"/>
    <col min="20" max="20" width="21" customWidth="1"/>
    <col min="21" max="21" width="27" customWidth="1"/>
    <col min="22" max="22" width="21" customWidth="1"/>
    <col min="23" max="23" width="34" customWidth="1"/>
    <col min="27" max="30" width="21" customWidth="1"/>
  </cols>
  <sheetData>
    <row r="1" spans="1:30" ht="25.05" customHeight="1">
      <c r="A1" s="282" t="s">
        <v>115</v>
      </c>
      <c r="B1" s="282" t="s">
        <v>115</v>
      </c>
      <c r="C1" s="282" t="s">
        <v>115</v>
      </c>
      <c r="D1" s="282" t="s">
        <v>115</v>
      </c>
      <c r="E1" s="282" t="s">
        <v>115</v>
      </c>
      <c r="F1" s="282" t="s">
        <v>115</v>
      </c>
      <c r="G1" s="282" t="s">
        <v>115</v>
      </c>
      <c r="H1" s="282" t="s">
        <v>115</v>
      </c>
      <c r="I1" s="282" t="s">
        <v>115</v>
      </c>
      <c r="J1" s="282" t="s">
        <v>115</v>
      </c>
      <c r="K1" s="282" t="s">
        <v>115</v>
      </c>
      <c r="L1" s="282" t="s">
        <v>115</v>
      </c>
      <c r="M1" s="282" t="s">
        <v>115</v>
      </c>
      <c r="N1" s="282" t="s">
        <v>115</v>
      </c>
      <c r="O1" s="282" t="s">
        <v>115</v>
      </c>
      <c r="P1" s="282" t="s">
        <v>115</v>
      </c>
      <c r="Q1" s="282" t="s">
        <v>115</v>
      </c>
      <c r="R1" s="282" t="s">
        <v>115</v>
      </c>
      <c r="S1" s="282" t="s">
        <v>115</v>
      </c>
      <c r="T1" s="282" t="s">
        <v>115</v>
      </c>
      <c r="U1" s="282" t="s">
        <v>115</v>
      </c>
      <c r="V1" s="282" t="s">
        <v>115</v>
      </c>
      <c r="W1" s="282" t="s">
        <v>115</v>
      </c>
      <c r="X1" s="283"/>
      <c r="Y1" s="283"/>
      <c r="Z1" s="283"/>
      <c r="AA1" s="283"/>
      <c r="AB1" s="283"/>
      <c r="AC1" s="283"/>
      <c r="AD1" s="283"/>
    </row>
    <row r="2" spans="1:30" ht="25.05" customHeight="1">
      <c r="A2" s="282" t="s">
        <v>115</v>
      </c>
      <c r="B2" s="282" t="s">
        <v>115</v>
      </c>
      <c r="C2" s="282" t="s">
        <v>115</v>
      </c>
      <c r="D2" s="282" t="s">
        <v>115</v>
      </c>
      <c r="E2" s="282" t="s">
        <v>115</v>
      </c>
      <c r="F2" s="282" t="s">
        <v>115</v>
      </c>
      <c r="G2" s="282" t="s">
        <v>115</v>
      </c>
      <c r="H2" s="282" t="s">
        <v>115</v>
      </c>
      <c r="I2" s="282" t="s">
        <v>115</v>
      </c>
      <c r="J2" s="282" t="s">
        <v>115</v>
      </c>
      <c r="K2" s="282" t="s">
        <v>115</v>
      </c>
      <c r="L2" s="282" t="s">
        <v>115</v>
      </c>
      <c r="M2" s="282" t="s">
        <v>115</v>
      </c>
      <c r="N2" s="282" t="s">
        <v>115</v>
      </c>
      <c r="O2" s="282" t="s">
        <v>115</v>
      </c>
      <c r="P2" s="282" t="s">
        <v>115</v>
      </c>
      <c r="Q2" s="282" t="s">
        <v>115</v>
      </c>
      <c r="R2" s="282" t="s">
        <v>115</v>
      </c>
      <c r="S2" s="282" t="s">
        <v>115</v>
      </c>
      <c r="T2" s="282" t="s">
        <v>115</v>
      </c>
      <c r="U2" s="282" t="s">
        <v>115</v>
      </c>
      <c r="V2" s="282" t="s">
        <v>115</v>
      </c>
      <c r="W2" s="282" t="s">
        <v>115</v>
      </c>
      <c r="X2" s="283"/>
      <c r="Y2" s="283"/>
      <c r="Z2" s="283"/>
      <c r="AA2" s="283"/>
      <c r="AB2" s="283"/>
      <c r="AC2" s="283"/>
      <c r="AD2" s="283"/>
    </row>
    <row r="3" spans="1:30" ht="30" customHeight="1">
      <c r="A3" s="284" t="s">
        <v>592</v>
      </c>
      <c r="B3" s="284" t="s">
        <v>593</v>
      </c>
      <c r="C3" s="284" t="s">
        <v>593</v>
      </c>
      <c r="D3" s="284" t="s">
        <v>593</v>
      </c>
      <c r="E3" s="284" t="s">
        <v>593</v>
      </c>
      <c r="F3" s="284" t="s">
        <v>593</v>
      </c>
      <c r="G3" s="284" t="s">
        <v>593</v>
      </c>
      <c r="H3" s="284" t="s">
        <v>593</v>
      </c>
      <c r="I3" s="284" t="s">
        <v>593</v>
      </c>
      <c r="J3" s="284" t="s">
        <v>593</v>
      </c>
      <c r="K3" s="284" t="s">
        <v>593</v>
      </c>
      <c r="L3" s="284" t="s">
        <v>593</v>
      </c>
      <c r="M3" s="284" t="s">
        <v>593</v>
      </c>
      <c r="N3" s="284" t="s">
        <v>593</v>
      </c>
      <c r="O3" s="284" t="s">
        <v>593</v>
      </c>
      <c r="P3" s="284" t="s">
        <v>593</v>
      </c>
      <c r="Q3" s="284" t="s">
        <v>593</v>
      </c>
      <c r="R3" s="284" t="s">
        <v>593</v>
      </c>
      <c r="S3" s="284" t="s">
        <v>593</v>
      </c>
      <c r="T3" s="284" t="s">
        <v>593</v>
      </c>
      <c r="U3" s="284" t="s">
        <v>593</v>
      </c>
      <c r="V3" s="284" t="s">
        <v>593</v>
      </c>
      <c r="W3" s="284" t="s">
        <v>593</v>
      </c>
      <c r="X3" s="285"/>
      <c r="Y3" s="285"/>
      <c r="Z3" s="285"/>
      <c r="AA3" s="285"/>
      <c r="AB3" s="285"/>
      <c r="AC3" s="285"/>
      <c r="AD3" s="285"/>
    </row>
    <row r="4" spans="1:30" ht="34.950000000000003" customHeight="1">
      <c r="A4" s="7" t="s">
        <v>116</v>
      </c>
      <c r="B4" s="7" t="s">
        <v>117</v>
      </c>
      <c r="C4" s="7" t="s">
        <v>118</v>
      </c>
      <c r="D4" s="7" t="s">
        <v>119</v>
      </c>
      <c r="E4" s="7" t="s">
        <v>120</v>
      </c>
      <c r="F4" s="7" t="s">
        <v>121</v>
      </c>
      <c r="G4" s="7" t="s">
        <v>122</v>
      </c>
      <c r="H4" s="7" t="s">
        <v>123</v>
      </c>
      <c r="I4" s="7" t="s">
        <v>124</v>
      </c>
      <c r="J4" s="7" t="s">
        <v>125</v>
      </c>
      <c r="K4" s="7" t="s">
        <v>126</v>
      </c>
      <c r="L4" s="7" t="s">
        <v>127</v>
      </c>
      <c r="M4" s="7" t="s">
        <v>128</v>
      </c>
      <c r="N4" s="7" t="s">
        <v>129</v>
      </c>
      <c r="O4" s="7" t="s">
        <v>130</v>
      </c>
      <c r="P4" s="7" t="s">
        <v>131</v>
      </c>
      <c r="Q4" s="7" t="s">
        <v>132</v>
      </c>
      <c r="R4" s="7" t="s">
        <v>133</v>
      </c>
      <c r="S4" s="7" t="s">
        <v>134</v>
      </c>
      <c r="T4" s="7" t="s">
        <v>135</v>
      </c>
      <c r="U4" s="7" t="s">
        <v>94</v>
      </c>
      <c r="V4" s="100" t="s">
        <v>589</v>
      </c>
      <c r="W4" s="7" t="s">
        <v>79</v>
      </c>
      <c r="X4" s="66" t="s">
        <v>594</v>
      </c>
      <c r="Y4" s="66" t="s">
        <v>595</v>
      </c>
      <c r="Z4" s="66" t="s">
        <v>581</v>
      </c>
      <c r="AA4" s="101" t="s">
        <v>587</v>
      </c>
      <c r="AB4" s="101" t="s">
        <v>590</v>
      </c>
      <c r="AC4" s="101" t="s">
        <v>591</v>
      </c>
      <c r="AD4" s="101" t="s">
        <v>585</v>
      </c>
    </row>
    <row r="5" spans="1:30" s="185" customFormat="1">
      <c r="A5" s="179" t="str">
        <f t="shared" ref="A5:A36" si="0">IF(B5="","",IFERROR("PAY-"&amp;TEXT(B5,"yyyymm")&amp;"-"&amp;TEXT(ROW()-4,"000"),"PERIODE HARUS TANGGAL"))</f>
        <v>PAY-202607-001</v>
      </c>
      <c r="B5" s="221">
        <v>46204</v>
      </c>
      <c r="C5" s="214" t="s">
        <v>643</v>
      </c>
      <c r="D5" s="214" t="s">
        <v>1015</v>
      </c>
      <c r="E5" s="214" t="s">
        <v>802</v>
      </c>
      <c r="F5" s="215">
        <v>500000</v>
      </c>
      <c r="G5" s="215">
        <v>0</v>
      </c>
      <c r="H5" s="215">
        <v>0</v>
      </c>
      <c r="I5" s="215"/>
      <c r="J5" s="215">
        <v>0</v>
      </c>
      <c r="K5" s="218">
        <f t="shared" ref="K5:K9" si="1">IF(B5="","",SUM(F5:J5))</f>
        <v>500000</v>
      </c>
      <c r="L5" s="215">
        <v>0</v>
      </c>
      <c r="M5" s="215">
        <v>0</v>
      </c>
      <c r="N5" s="215">
        <v>0</v>
      </c>
      <c r="O5" s="215">
        <v>0</v>
      </c>
      <c r="P5" s="218">
        <f t="shared" ref="P5:P9" si="2">IF(B5="","",MAX(K5-SUM(L5:N5),0))</f>
        <v>500000</v>
      </c>
      <c r="Q5" s="218">
        <f t="shared" ref="Q5:Q9" si="3">IF(B5="","",K5+O5)</f>
        <v>500000</v>
      </c>
      <c r="R5" s="214" t="s">
        <v>803</v>
      </c>
      <c r="S5" s="222">
        <v>46232</v>
      </c>
      <c r="T5" s="214" t="s">
        <v>184</v>
      </c>
      <c r="U5" s="214"/>
      <c r="V5" s="216" t="s">
        <v>577</v>
      </c>
      <c r="W5" s="214" t="s">
        <v>1016</v>
      </c>
      <c r="X5" s="220" t="s">
        <v>576</v>
      </c>
      <c r="Y5" s="205" t="str">
        <f>IF(X5="","",IFERROR(INDEX(PERKARA!$B$5:$B$104,MATCH(X5,PERKARA!$A$5:$A$104,0)),"ID TIDAK TERDAFTAR"))</f>
        <v>PT KKG</v>
      </c>
      <c r="Z5" s="205" t="str">
        <f t="shared" ref="Z5:Z36" si="4">IF(B5="","",IF(A5="PERIODE HARUS TANGGAL","PERIODE TIDAK VALID",IF(COUNTIF($A$5:$A$124,A5)&gt;1,"ID PAYROLL DUPLIKAT",IF(AND(X5&lt;&gt;"",Y5="ID TIDAK TERDAFTAR"),"PERKARA TIDAK VALID",IF(AND(R5="Dibayar",T5=""),"AKUN PEMBAYARAN BELUM DIISI",IF(AND(R5="Dibayar",S5=""),"TANGGAL PEMBAYARAN BELUM DIISI",IF(AND(R5="Dibayar",AD5&lt;&gt;"LENGKAP"),"DIBAYAR TANPA OTORISASI","OK")))))))</f>
        <v>OK</v>
      </c>
      <c r="AA5" s="206" t="s">
        <v>646</v>
      </c>
      <c r="AB5" s="207">
        <v>46232</v>
      </c>
      <c r="AC5" s="206"/>
      <c r="AD5" s="208" t="str">
        <f t="shared" ref="AD5:AD36" si="5">IF(B5="","",IF(AA5="Ditolak","DITOLAK",IF(AND(AA5="Disetujui",V5&lt;&gt;""),"LENGKAP",IF(AA5="Disetujui","NAMA PENYETUJU BELUM DIISI","MENUNGGU PERSETUJUAN MANUAL"))))</f>
        <v>LENGKAP</v>
      </c>
    </row>
    <row r="6" spans="1:30" s="185" customFormat="1">
      <c r="A6" s="179" t="str">
        <f t="shared" si="0"/>
        <v>PAY-202607-002</v>
      </c>
      <c r="B6" s="221">
        <v>46204</v>
      </c>
      <c r="C6" s="214" t="s">
        <v>648</v>
      </c>
      <c r="D6" s="214" t="s">
        <v>1015</v>
      </c>
      <c r="E6" s="214" t="s">
        <v>802</v>
      </c>
      <c r="F6" s="215">
        <v>500000</v>
      </c>
      <c r="G6" s="215">
        <v>0</v>
      </c>
      <c r="H6" s="215">
        <v>0</v>
      </c>
      <c r="I6" s="215"/>
      <c r="J6" s="215">
        <v>0</v>
      </c>
      <c r="K6" s="218">
        <f t="shared" si="1"/>
        <v>500000</v>
      </c>
      <c r="L6" s="215">
        <v>0</v>
      </c>
      <c r="M6" s="215">
        <v>0</v>
      </c>
      <c r="N6" s="215">
        <v>0</v>
      </c>
      <c r="O6" s="215">
        <v>0</v>
      </c>
      <c r="P6" s="218">
        <f t="shared" si="2"/>
        <v>500000</v>
      </c>
      <c r="Q6" s="218">
        <f t="shared" si="3"/>
        <v>500000</v>
      </c>
      <c r="R6" s="214" t="s">
        <v>803</v>
      </c>
      <c r="S6" s="222">
        <v>46232</v>
      </c>
      <c r="T6" s="214" t="s">
        <v>184</v>
      </c>
      <c r="U6" s="214"/>
      <c r="V6" s="216" t="s">
        <v>577</v>
      </c>
      <c r="W6" s="214" t="s">
        <v>1016</v>
      </c>
      <c r="X6" s="220" t="s">
        <v>576</v>
      </c>
      <c r="Y6" s="205" t="str">
        <f>IF(X6="","",IFERROR(INDEX(PERKARA!$B$5:$B$104,MATCH(X6,PERKARA!$A$5:$A$104,0)),"ID TIDAK TERDAFTAR"))</f>
        <v>PT KKG</v>
      </c>
      <c r="Z6" s="205" t="str">
        <f t="shared" si="4"/>
        <v>OK</v>
      </c>
      <c r="AA6" s="206" t="s">
        <v>646</v>
      </c>
      <c r="AB6" s="207">
        <v>46232</v>
      </c>
      <c r="AC6" s="206"/>
      <c r="AD6" s="208" t="str">
        <f t="shared" si="5"/>
        <v>LENGKAP</v>
      </c>
    </row>
    <row r="7" spans="1:30" s="185" customFormat="1">
      <c r="A7" s="179" t="str">
        <f t="shared" si="0"/>
        <v>PAY-202608-003</v>
      </c>
      <c r="B7" s="221">
        <v>46235</v>
      </c>
      <c r="C7" s="214" t="s">
        <v>643</v>
      </c>
      <c r="D7" s="214" t="s">
        <v>1015</v>
      </c>
      <c r="E7" s="214" t="s">
        <v>802</v>
      </c>
      <c r="F7" s="215">
        <v>1500000</v>
      </c>
      <c r="G7" s="215">
        <v>0</v>
      </c>
      <c r="H7" s="215">
        <v>0</v>
      </c>
      <c r="I7" s="215"/>
      <c r="J7" s="215">
        <v>0</v>
      </c>
      <c r="K7" s="218">
        <f t="shared" si="1"/>
        <v>1500000</v>
      </c>
      <c r="L7" s="215">
        <v>0</v>
      </c>
      <c r="M7" s="215">
        <v>0</v>
      </c>
      <c r="N7" s="215">
        <v>0</v>
      </c>
      <c r="O7" s="215">
        <v>0</v>
      </c>
      <c r="P7" s="218">
        <f t="shared" si="2"/>
        <v>1500000</v>
      </c>
      <c r="Q7" s="218">
        <f t="shared" si="3"/>
        <v>1500000</v>
      </c>
      <c r="R7" s="214" t="s">
        <v>783</v>
      </c>
      <c r="S7" s="222"/>
      <c r="T7" s="214" t="s">
        <v>182</v>
      </c>
      <c r="U7" s="214"/>
      <c r="V7" s="216" t="s">
        <v>577</v>
      </c>
      <c r="W7" s="214"/>
      <c r="X7" s="220" t="s">
        <v>576</v>
      </c>
      <c r="Y7" s="205" t="str">
        <f>IF(X7="","",IFERROR(INDEX(PERKARA!$B$5:$B$104,MATCH(X7,PERKARA!$A$5:$A$104,0)),"ID TIDAK TERDAFTAR"))</f>
        <v>PT KKG</v>
      </c>
      <c r="Z7" s="205" t="str">
        <f t="shared" si="4"/>
        <v>OK</v>
      </c>
      <c r="AA7" s="206" t="s">
        <v>646</v>
      </c>
      <c r="AB7" s="207">
        <v>46227</v>
      </c>
      <c r="AC7" s="206"/>
      <c r="AD7" s="208" t="str">
        <f t="shared" si="5"/>
        <v>LENGKAP</v>
      </c>
    </row>
    <row r="8" spans="1:30" s="185" customFormat="1">
      <c r="A8" s="179" t="str">
        <f t="shared" si="0"/>
        <v>PAY-202608-004</v>
      </c>
      <c r="B8" s="221">
        <v>46236</v>
      </c>
      <c r="C8" s="214" t="s">
        <v>648</v>
      </c>
      <c r="D8" s="214" t="s">
        <v>1015</v>
      </c>
      <c r="E8" s="214" t="s">
        <v>802</v>
      </c>
      <c r="F8" s="215">
        <v>1500000</v>
      </c>
      <c r="G8" s="215">
        <v>0</v>
      </c>
      <c r="H8" s="215">
        <v>0</v>
      </c>
      <c r="I8" s="215"/>
      <c r="J8" s="215">
        <v>0</v>
      </c>
      <c r="K8" s="218">
        <f t="shared" si="1"/>
        <v>1500000</v>
      </c>
      <c r="L8" s="215">
        <v>0</v>
      </c>
      <c r="M8" s="215">
        <v>0</v>
      </c>
      <c r="N8" s="215">
        <v>0</v>
      </c>
      <c r="O8" s="215">
        <v>0</v>
      </c>
      <c r="P8" s="218">
        <f t="shared" si="2"/>
        <v>1500000</v>
      </c>
      <c r="Q8" s="218">
        <f t="shared" si="3"/>
        <v>1500000</v>
      </c>
      <c r="R8" s="214" t="s">
        <v>783</v>
      </c>
      <c r="S8" s="222"/>
      <c r="T8" s="214" t="s">
        <v>182</v>
      </c>
      <c r="U8" s="214"/>
      <c r="V8" s="216" t="s">
        <v>577</v>
      </c>
      <c r="W8" s="214"/>
      <c r="X8" s="220" t="s">
        <v>576</v>
      </c>
      <c r="Y8" s="205" t="str">
        <f>IF(X8="","",IFERROR(INDEX(PERKARA!$B$5:$B$104,MATCH(X8,PERKARA!$A$5:$A$104,0)),"ID TIDAK TERDAFTAR"))</f>
        <v>PT KKG</v>
      </c>
      <c r="Z8" s="205" t="str">
        <f t="shared" si="4"/>
        <v>OK</v>
      </c>
      <c r="AA8" s="206" t="s">
        <v>646</v>
      </c>
      <c r="AB8" s="207">
        <v>46227</v>
      </c>
      <c r="AC8" s="206"/>
      <c r="AD8" s="208" t="str">
        <f t="shared" si="5"/>
        <v>LENGKAP</v>
      </c>
    </row>
    <row r="9" spans="1:30" s="185" customFormat="1">
      <c r="A9" s="179" t="str">
        <f t="shared" si="0"/>
        <v/>
      </c>
      <c r="B9" s="221"/>
      <c r="C9" s="214"/>
      <c r="D9" s="214"/>
      <c r="E9" s="214"/>
      <c r="F9" s="215"/>
      <c r="G9" s="215"/>
      <c r="H9" s="215"/>
      <c r="I9" s="215"/>
      <c r="J9" s="215"/>
      <c r="K9" s="218" t="str">
        <f t="shared" si="1"/>
        <v/>
      </c>
      <c r="L9" s="215"/>
      <c r="M9" s="215"/>
      <c r="N9" s="215"/>
      <c r="O9" s="215"/>
      <c r="P9" s="218" t="str">
        <f t="shared" si="2"/>
        <v/>
      </c>
      <c r="Q9" s="218" t="str">
        <f t="shared" si="3"/>
        <v/>
      </c>
      <c r="R9" s="214"/>
      <c r="S9" s="222"/>
      <c r="T9" s="214"/>
      <c r="U9" s="214"/>
      <c r="V9" s="216"/>
      <c r="W9" s="214"/>
      <c r="X9" s="220"/>
      <c r="Y9" s="205" t="str">
        <f>IF(X9="","",IFERROR(INDEX(PERKARA!$B$5:$B$104,MATCH(X9,PERKARA!$A$5:$A$104,0)),"ID TIDAK TERDAFTAR"))</f>
        <v/>
      </c>
      <c r="Z9" s="205" t="str">
        <f t="shared" si="4"/>
        <v/>
      </c>
      <c r="AA9" s="206"/>
      <c r="AB9" s="207"/>
      <c r="AC9" s="206"/>
      <c r="AD9" s="208" t="str">
        <f t="shared" si="5"/>
        <v/>
      </c>
    </row>
    <row r="10" spans="1:30" s="185" customFormat="1">
      <c r="A10" s="179" t="str">
        <f t="shared" si="0"/>
        <v/>
      </c>
      <c r="B10" s="223"/>
      <c r="C10" s="183"/>
      <c r="D10" s="183"/>
      <c r="E10" s="183"/>
      <c r="F10" s="217"/>
      <c r="G10" s="217"/>
      <c r="H10" s="217"/>
      <c r="I10" s="217"/>
      <c r="J10" s="217"/>
      <c r="K10" s="218" t="str">
        <f t="shared" ref="K10:K36" si="6">IF(B10="","",SUM(F10:J10))</f>
        <v/>
      </c>
      <c r="L10" s="217"/>
      <c r="M10" s="217"/>
      <c r="N10" s="217"/>
      <c r="O10" s="217"/>
      <c r="P10" s="218" t="str">
        <f t="shared" ref="P10:P36" si="7">IF(B10="","",MAX(K10-SUM(L10:N10),0))</f>
        <v/>
      </c>
      <c r="Q10" s="218" t="str">
        <f t="shared" ref="Q10:Q36" si="8">IF(B10="","",K10+O10)</f>
        <v/>
      </c>
      <c r="R10" s="183"/>
      <c r="S10" s="180"/>
      <c r="T10" s="183"/>
      <c r="U10" s="183"/>
      <c r="V10" s="184"/>
      <c r="W10" s="183"/>
      <c r="X10" s="220"/>
      <c r="Y10" s="205" t="str">
        <f>IF(X10="","",IFERROR(INDEX(PERKARA!$B$5:$B$104,MATCH(X10,PERKARA!$A$5:$A$104,0)),"ID TIDAK TERDAFTAR"))</f>
        <v/>
      </c>
      <c r="Z10" s="205" t="str">
        <f t="shared" si="4"/>
        <v/>
      </c>
      <c r="AA10" s="206"/>
      <c r="AB10" s="207"/>
      <c r="AC10" s="206"/>
      <c r="AD10" s="208" t="str">
        <f t="shared" si="5"/>
        <v/>
      </c>
    </row>
    <row r="11" spans="1:30" s="185" customFormat="1">
      <c r="A11" s="179" t="str">
        <f t="shared" si="0"/>
        <v/>
      </c>
      <c r="B11" s="223"/>
      <c r="C11" s="183"/>
      <c r="D11" s="183"/>
      <c r="E11" s="183"/>
      <c r="F11" s="217"/>
      <c r="G11" s="217"/>
      <c r="H11" s="217"/>
      <c r="I11" s="217"/>
      <c r="J11" s="217"/>
      <c r="K11" s="218" t="str">
        <f t="shared" si="6"/>
        <v/>
      </c>
      <c r="L11" s="217"/>
      <c r="M11" s="217"/>
      <c r="N11" s="217"/>
      <c r="O11" s="217"/>
      <c r="P11" s="218" t="str">
        <f t="shared" si="7"/>
        <v/>
      </c>
      <c r="Q11" s="218" t="str">
        <f t="shared" si="8"/>
        <v/>
      </c>
      <c r="R11" s="183"/>
      <c r="S11" s="180"/>
      <c r="T11" s="183"/>
      <c r="U11" s="183"/>
      <c r="V11" s="184"/>
      <c r="W11" s="183"/>
      <c r="X11" s="220"/>
      <c r="Y11" s="205" t="str">
        <f>IF(X11="","",IFERROR(INDEX(PERKARA!$B$5:$B$104,MATCH(X11,PERKARA!$A$5:$A$104,0)),"ID TIDAK TERDAFTAR"))</f>
        <v/>
      </c>
      <c r="Z11" s="205" t="str">
        <f t="shared" si="4"/>
        <v/>
      </c>
      <c r="AA11" s="206"/>
      <c r="AB11" s="207"/>
      <c r="AC11" s="206"/>
      <c r="AD11" s="208" t="str">
        <f t="shared" si="5"/>
        <v/>
      </c>
    </row>
    <row r="12" spans="1:30" s="185" customFormat="1">
      <c r="A12" s="179" t="str">
        <f t="shared" si="0"/>
        <v/>
      </c>
      <c r="B12" s="223"/>
      <c r="C12" s="183"/>
      <c r="D12" s="183"/>
      <c r="E12" s="183"/>
      <c r="F12" s="217"/>
      <c r="G12" s="217"/>
      <c r="H12" s="217"/>
      <c r="I12" s="217"/>
      <c r="J12" s="217"/>
      <c r="K12" s="218" t="str">
        <f t="shared" si="6"/>
        <v/>
      </c>
      <c r="L12" s="217"/>
      <c r="M12" s="217"/>
      <c r="N12" s="217"/>
      <c r="O12" s="217"/>
      <c r="P12" s="218" t="str">
        <f t="shared" si="7"/>
        <v/>
      </c>
      <c r="Q12" s="218" t="str">
        <f t="shared" si="8"/>
        <v/>
      </c>
      <c r="R12" s="183"/>
      <c r="S12" s="180"/>
      <c r="T12" s="183"/>
      <c r="U12" s="183"/>
      <c r="V12" s="184"/>
      <c r="W12" s="183"/>
      <c r="X12" s="220"/>
      <c r="Y12" s="205" t="str">
        <f>IF(X12="","",IFERROR(INDEX(PERKARA!$B$5:$B$104,MATCH(X12,PERKARA!$A$5:$A$104,0)),"ID TIDAK TERDAFTAR"))</f>
        <v/>
      </c>
      <c r="Z12" s="205" t="str">
        <f t="shared" si="4"/>
        <v/>
      </c>
      <c r="AA12" s="206"/>
      <c r="AB12" s="207"/>
      <c r="AC12" s="206"/>
      <c r="AD12" s="208" t="str">
        <f t="shared" si="5"/>
        <v/>
      </c>
    </row>
    <row r="13" spans="1:30" s="185" customFormat="1">
      <c r="A13" s="179" t="str">
        <f t="shared" si="0"/>
        <v/>
      </c>
      <c r="B13" s="223"/>
      <c r="C13" s="183"/>
      <c r="D13" s="183"/>
      <c r="E13" s="183"/>
      <c r="F13" s="217"/>
      <c r="G13" s="217"/>
      <c r="H13" s="217"/>
      <c r="I13" s="217"/>
      <c r="J13" s="217"/>
      <c r="K13" s="218" t="str">
        <f t="shared" si="6"/>
        <v/>
      </c>
      <c r="L13" s="217"/>
      <c r="M13" s="217"/>
      <c r="N13" s="217"/>
      <c r="O13" s="217"/>
      <c r="P13" s="218" t="str">
        <f t="shared" si="7"/>
        <v/>
      </c>
      <c r="Q13" s="218" t="str">
        <f t="shared" si="8"/>
        <v/>
      </c>
      <c r="R13" s="183"/>
      <c r="S13" s="180"/>
      <c r="T13" s="183"/>
      <c r="U13" s="183"/>
      <c r="V13" s="184"/>
      <c r="W13" s="183"/>
      <c r="X13" s="220"/>
      <c r="Y13" s="205" t="str">
        <f>IF(X13="","",IFERROR(INDEX(PERKARA!$B$5:$B$104,MATCH(X13,PERKARA!$A$5:$A$104,0)),"ID TIDAK TERDAFTAR"))</f>
        <v/>
      </c>
      <c r="Z13" s="205" t="str">
        <f t="shared" si="4"/>
        <v/>
      </c>
      <c r="AA13" s="206"/>
      <c r="AB13" s="207"/>
      <c r="AC13" s="206"/>
      <c r="AD13" s="208" t="str">
        <f t="shared" si="5"/>
        <v/>
      </c>
    </row>
    <row r="14" spans="1:30" s="185" customFormat="1">
      <c r="A14" s="179" t="str">
        <f t="shared" si="0"/>
        <v/>
      </c>
      <c r="B14" s="223"/>
      <c r="C14" s="183"/>
      <c r="D14" s="183"/>
      <c r="E14" s="183"/>
      <c r="F14" s="217"/>
      <c r="G14" s="217"/>
      <c r="H14" s="217"/>
      <c r="I14" s="217"/>
      <c r="J14" s="217"/>
      <c r="K14" s="218" t="str">
        <f t="shared" si="6"/>
        <v/>
      </c>
      <c r="L14" s="217"/>
      <c r="M14" s="217"/>
      <c r="N14" s="217"/>
      <c r="O14" s="217"/>
      <c r="P14" s="218" t="str">
        <f t="shared" si="7"/>
        <v/>
      </c>
      <c r="Q14" s="218" t="str">
        <f t="shared" si="8"/>
        <v/>
      </c>
      <c r="R14" s="183"/>
      <c r="S14" s="180"/>
      <c r="T14" s="183"/>
      <c r="U14" s="183"/>
      <c r="V14" s="184"/>
      <c r="W14" s="183"/>
      <c r="X14" s="220"/>
      <c r="Y14" s="205" t="str">
        <f>IF(X14="","",IFERROR(INDEX(PERKARA!$B$5:$B$104,MATCH(X14,PERKARA!$A$5:$A$104,0)),"ID TIDAK TERDAFTAR"))</f>
        <v/>
      </c>
      <c r="Z14" s="205" t="str">
        <f t="shared" si="4"/>
        <v/>
      </c>
      <c r="AA14" s="206"/>
      <c r="AB14" s="207"/>
      <c r="AC14" s="206"/>
      <c r="AD14" s="208" t="str">
        <f t="shared" si="5"/>
        <v/>
      </c>
    </row>
    <row r="15" spans="1:30" s="185" customFormat="1">
      <c r="A15" s="179" t="str">
        <f t="shared" si="0"/>
        <v/>
      </c>
      <c r="B15" s="223"/>
      <c r="C15" s="183"/>
      <c r="D15" s="183"/>
      <c r="E15" s="183"/>
      <c r="F15" s="217"/>
      <c r="G15" s="217"/>
      <c r="H15" s="217"/>
      <c r="I15" s="217"/>
      <c r="J15" s="217"/>
      <c r="K15" s="218" t="str">
        <f t="shared" si="6"/>
        <v/>
      </c>
      <c r="L15" s="217"/>
      <c r="M15" s="217"/>
      <c r="N15" s="217"/>
      <c r="O15" s="217"/>
      <c r="P15" s="218" t="str">
        <f t="shared" si="7"/>
        <v/>
      </c>
      <c r="Q15" s="218" t="str">
        <f t="shared" si="8"/>
        <v/>
      </c>
      <c r="R15" s="183"/>
      <c r="S15" s="180"/>
      <c r="T15" s="183"/>
      <c r="U15" s="183"/>
      <c r="V15" s="184"/>
      <c r="W15" s="183"/>
      <c r="X15" s="220"/>
      <c r="Y15" s="205" t="str">
        <f>IF(X15="","",IFERROR(INDEX(PERKARA!$B$5:$B$104,MATCH(X15,PERKARA!$A$5:$A$104,0)),"ID TIDAK TERDAFTAR"))</f>
        <v/>
      </c>
      <c r="Z15" s="205" t="str">
        <f t="shared" si="4"/>
        <v/>
      </c>
      <c r="AA15" s="206"/>
      <c r="AB15" s="207"/>
      <c r="AC15" s="206"/>
      <c r="AD15" s="208" t="str">
        <f t="shared" si="5"/>
        <v/>
      </c>
    </row>
    <row r="16" spans="1:30" s="185" customFormat="1">
      <c r="A16" s="179" t="str">
        <f t="shared" si="0"/>
        <v/>
      </c>
      <c r="B16" s="223"/>
      <c r="C16" s="183"/>
      <c r="D16" s="183"/>
      <c r="E16" s="183"/>
      <c r="F16" s="217"/>
      <c r="G16" s="217"/>
      <c r="H16" s="217"/>
      <c r="I16" s="217"/>
      <c r="J16" s="217"/>
      <c r="K16" s="218" t="str">
        <f t="shared" si="6"/>
        <v/>
      </c>
      <c r="L16" s="217"/>
      <c r="M16" s="217"/>
      <c r="N16" s="217"/>
      <c r="O16" s="217"/>
      <c r="P16" s="218" t="str">
        <f t="shared" si="7"/>
        <v/>
      </c>
      <c r="Q16" s="218" t="str">
        <f t="shared" si="8"/>
        <v/>
      </c>
      <c r="R16" s="183"/>
      <c r="S16" s="180"/>
      <c r="T16" s="183"/>
      <c r="U16" s="183"/>
      <c r="V16" s="184"/>
      <c r="W16" s="183"/>
      <c r="X16" s="220"/>
      <c r="Y16" s="205" t="str">
        <f>IF(X16="","",IFERROR(INDEX(PERKARA!$B$5:$B$104,MATCH(X16,PERKARA!$A$5:$A$104,0)),"ID TIDAK TERDAFTAR"))</f>
        <v/>
      </c>
      <c r="Z16" s="205" t="str">
        <f t="shared" si="4"/>
        <v/>
      </c>
      <c r="AA16" s="206"/>
      <c r="AB16" s="207"/>
      <c r="AC16" s="206"/>
      <c r="AD16" s="208" t="str">
        <f t="shared" si="5"/>
        <v/>
      </c>
    </row>
    <row r="17" spans="1:30" s="185" customFormat="1">
      <c r="A17" s="179" t="str">
        <f t="shared" si="0"/>
        <v/>
      </c>
      <c r="B17" s="223"/>
      <c r="C17" s="183"/>
      <c r="D17" s="183"/>
      <c r="E17" s="183"/>
      <c r="F17" s="217"/>
      <c r="G17" s="217"/>
      <c r="H17" s="217"/>
      <c r="I17" s="217"/>
      <c r="J17" s="217"/>
      <c r="K17" s="218" t="str">
        <f t="shared" si="6"/>
        <v/>
      </c>
      <c r="L17" s="217"/>
      <c r="M17" s="217"/>
      <c r="N17" s="217"/>
      <c r="O17" s="217"/>
      <c r="P17" s="218" t="str">
        <f t="shared" si="7"/>
        <v/>
      </c>
      <c r="Q17" s="218" t="str">
        <f t="shared" si="8"/>
        <v/>
      </c>
      <c r="R17" s="183"/>
      <c r="S17" s="180"/>
      <c r="T17" s="183"/>
      <c r="U17" s="183"/>
      <c r="V17" s="184"/>
      <c r="W17" s="183"/>
      <c r="X17" s="220"/>
      <c r="Y17" s="205" t="str">
        <f>IF(X17="","",IFERROR(INDEX(PERKARA!$B$5:$B$104,MATCH(X17,PERKARA!$A$5:$A$104,0)),"ID TIDAK TERDAFTAR"))</f>
        <v/>
      </c>
      <c r="Z17" s="205" t="str">
        <f t="shared" si="4"/>
        <v/>
      </c>
      <c r="AA17" s="206"/>
      <c r="AB17" s="207"/>
      <c r="AC17" s="206"/>
      <c r="AD17" s="208" t="str">
        <f t="shared" si="5"/>
        <v/>
      </c>
    </row>
    <row r="18" spans="1:30" s="185" customFormat="1">
      <c r="A18" s="179" t="str">
        <f t="shared" si="0"/>
        <v/>
      </c>
      <c r="B18" s="223"/>
      <c r="C18" s="183"/>
      <c r="D18" s="183"/>
      <c r="E18" s="183"/>
      <c r="F18" s="217"/>
      <c r="G18" s="217"/>
      <c r="H18" s="217"/>
      <c r="I18" s="217"/>
      <c r="J18" s="217"/>
      <c r="K18" s="218" t="str">
        <f t="shared" si="6"/>
        <v/>
      </c>
      <c r="L18" s="217"/>
      <c r="M18" s="217"/>
      <c r="N18" s="217"/>
      <c r="O18" s="217"/>
      <c r="P18" s="218" t="str">
        <f t="shared" si="7"/>
        <v/>
      </c>
      <c r="Q18" s="218" t="str">
        <f t="shared" si="8"/>
        <v/>
      </c>
      <c r="R18" s="183"/>
      <c r="S18" s="180"/>
      <c r="T18" s="183"/>
      <c r="U18" s="183"/>
      <c r="V18" s="184"/>
      <c r="W18" s="183"/>
      <c r="X18" s="220"/>
      <c r="Y18" s="205" t="str">
        <f>IF(X18="","",IFERROR(INDEX(PERKARA!$B$5:$B$104,MATCH(X18,PERKARA!$A$5:$A$104,0)),"ID TIDAK TERDAFTAR"))</f>
        <v/>
      </c>
      <c r="Z18" s="205" t="str">
        <f t="shared" si="4"/>
        <v/>
      </c>
      <c r="AA18" s="206"/>
      <c r="AB18" s="207"/>
      <c r="AC18" s="206"/>
      <c r="AD18" s="208" t="str">
        <f t="shared" si="5"/>
        <v/>
      </c>
    </row>
    <row r="19" spans="1:30" s="185" customFormat="1">
      <c r="A19" s="179" t="str">
        <f t="shared" si="0"/>
        <v/>
      </c>
      <c r="B19" s="223"/>
      <c r="C19" s="183"/>
      <c r="D19" s="183"/>
      <c r="E19" s="183"/>
      <c r="F19" s="217"/>
      <c r="G19" s="217"/>
      <c r="H19" s="217"/>
      <c r="I19" s="217"/>
      <c r="J19" s="217"/>
      <c r="K19" s="218" t="str">
        <f t="shared" si="6"/>
        <v/>
      </c>
      <c r="L19" s="217"/>
      <c r="M19" s="217"/>
      <c r="N19" s="217"/>
      <c r="O19" s="217"/>
      <c r="P19" s="218" t="str">
        <f t="shared" si="7"/>
        <v/>
      </c>
      <c r="Q19" s="218" t="str">
        <f t="shared" si="8"/>
        <v/>
      </c>
      <c r="R19" s="183"/>
      <c r="S19" s="180"/>
      <c r="T19" s="183"/>
      <c r="U19" s="183"/>
      <c r="V19" s="184"/>
      <c r="W19" s="183"/>
      <c r="X19" s="220"/>
      <c r="Y19" s="205" t="str">
        <f>IF(X19="","",IFERROR(INDEX(PERKARA!$B$5:$B$104,MATCH(X19,PERKARA!$A$5:$A$104,0)),"ID TIDAK TERDAFTAR"))</f>
        <v/>
      </c>
      <c r="Z19" s="205" t="str">
        <f t="shared" si="4"/>
        <v/>
      </c>
      <c r="AA19" s="206"/>
      <c r="AB19" s="207"/>
      <c r="AC19" s="206"/>
      <c r="AD19" s="208" t="str">
        <f t="shared" si="5"/>
        <v/>
      </c>
    </row>
    <row r="20" spans="1:30" s="185" customFormat="1">
      <c r="A20" s="179" t="str">
        <f t="shared" si="0"/>
        <v/>
      </c>
      <c r="B20" s="223"/>
      <c r="C20" s="183"/>
      <c r="D20" s="183"/>
      <c r="E20" s="183"/>
      <c r="F20" s="217"/>
      <c r="G20" s="217"/>
      <c r="H20" s="217"/>
      <c r="I20" s="217"/>
      <c r="J20" s="217"/>
      <c r="K20" s="218" t="str">
        <f t="shared" si="6"/>
        <v/>
      </c>
      <c r="L20" s="217"/>
      <c r="M20" s="217"/>
      <c r="N20" s="217"/>
      <c r="O20" s="217"/>
      <c r="P20" s="218" t="str">
        <f t="shared" si="7"/>
        <v/>
      </c>
      <c r="Q20" s="218" t="str">
        <f t="shared" si="8"/>
        <v/>
      </c>
      <c r="R20" s="183"/>
      <c r="S20" s="180"/>
      <c r="T20" s="183"/>
      <c r="U20" s="183"/>
      <c r="V20" s="184"/>
      <c r="W20" s="183"/>
      <c r="X20" s="220"/>
      <c r="Y20" s="205" t="str">
        <f>IF(X20="","",IFERROR(INDEX(PERKARA!$B$5:$B$104,MATCH(X20,PERKARA!$A$5:$A$104,0)),"ID TIDAK TERDAFTAR"))</f>
        <v/>
      </c>
      <c r="Z20" s="205" t="str">
        <f t="shared" si="4"/>
        <v/>
      </c>
      <c r="AA20" s="206"/>
      <c r="AB20" s="207"/>
      <c r="AC20" s="206"/>
      <c r="AD20" s="208" t="str">
        <f t="shared" si="5"/>
        <v/>
      </c>
    </row>
    <row r="21" spans="1:30" s="185" customFormat="1">
      <c r="A21" s="179" t="str">
        <f t="shared" si="0"/>
        <v/>
      </c>
      <c r="B21" s="223"/>
      <c r="C21" s="183"/>
      <c r="D21" s="183"/>
      <c r="E21" s="183"/>
      <c r="F21" s="217"/>
      <c r="G21" s="217"/>
      <c r="H21" s="217"/>
      <c r="I21" s="217"/>
      <c r="J21" s="217"/>
      <c r="K21" s="218" t="str">
        <f t="shared" si="6"/>
        <v/>
      </c>
      <c r="L21" s="217"/>
      <c r="M21" s="217"/>
      <c r="N21" s="217"/>
      <c r="O21" s="217"/>
      <c r="P21" s="218" t="str">
        <f t="shared" si="7"/>
        <v/>
      </c>
      <c r="Q21" s="218" t="str">
        <f t="shared" si="8"/>
        <v/>
      </c>
      <c r="R21" s="183"/>
      <c r="S21" s="180"/>
      <c r="T21" s="183"/>
      <c r="U21" s="183"/>
      <c r="V21" s="184"/>
      <c r="W21" s="183"/>
      <c r="X21" s="220"/>
      <c r="Y21" s="205" t="str">
        <f>IF(X21="","",IFERROR(INDEX(PERKARA!$B$5:$B$104,MATCH(X21,PERKARA!$A$5:$A$104,0)),"ID TIDAK TERDAFTAR"))</f>
        <v/>
      </c>
      <c r="Z21" s="205" t="str">
        <f t="shared" si="4"/>
        <v/>
      </c>
      <c r="AA21" s="206"/>
      <c r="AB21" s="207"/>
      <c r="AC21" s="206"/>
      <c r="AD21" s="208" t="str">
        <f t="shared" si="5"/>
        <v/>
      </c>
    </row>
    <row r="22" spans="1:30" s="185" customFormat="1">
      <c r="A22" s="179" t="str">
        <f t="shared" si="0"/>
        <v/>
      </c>
      <c r="B22" s="223"/>
      <c r="C22" s="183"/>
      <c r="D22" s="183"/>
      <c r="E22" s="183"/>
      <c r="F22" s="217"/>
      <c r="G22" s="217"/>
      <c r="H22" s="217"/>
      <c r="I22" s="217"/>
      <c r="J22" s="217"/>
      <c r="K22" s="218" t="str">
        <f t="shared" si="6"/>
        <v/>
      </c>
      <c r="L22" s="217"/>
      <c r="M22" s="217"/>
      <c r="N22" s="217"/>
      <c r="O22" s="217"/>
      <c r="P22" s="218" t="str">
        <f t="shared" si="7"/>
        <v/>
      </c>
      <c r="Q22" s="218" t="str">
        <f t="shared" si="8"/>
        <v/>
      </c>
      <c r="R22" s="183"/>
      <c r="S22" s="180"/>
      <c r="T22" s="183"/>
      <c r="U22" s="183"/>
      <c r="V22" s="184"/>
      <c r="W22" s="183"/>
      <c r="X22" s="220"/>
      <c r="Y22" s="205" t="str">
        <f>IF(X22="","",IFERROR(INDEX(PERKARA!$B$5:$B$104,MATCH(X22,PERKARA!$A$5:$A$104,0)),"ID TIDAK TERDAFTAR"))</f>
        <v/>
      </c>
      <c r="Z22" s="205" t="str">
        <f t="shared" si="4"/>
        <v/>
      </c>
      <c r="AA22" s="206"/>
      <c r="AB22" s="207"/>
      <c r="AC22" s="206"/>
      <c r="AD22" s="208" t="str">
        <f t="shared" si="5"/>
        <v/>
      </c>
    </row>
    <row r="23" spans="1:30" s="185" customFormat="1">
      <c r="A23" s="179" t="str">
        <f t="shared" si="0"/>
        <v/>
      </c>
      <c r="B23" s="223"/>
      <c r="C23" s="183"/>
      <c r="D23" s="183"/>
      <c r="E23" s="183"/>
      <c r="F23" s="217"/>
      <c r="G23" s="217"/>
      <c r="H23" s="217"/>
      <c r="I23" s="217"/>
      <c r="J23" s="217"/>
      <c r="K23" s="218" t="str">
        <f t="shared" si="6"/>
        <v/>
      </c>
      <c r="L23" s="217"/>
      <c r="M23" s="217"/>
      <c r="N23" s="217"/>
      <c r="O23" s="217"/>
      <c r="P23" s="218" t="str">
        <f t="shared" si="7"/>
        <v/>
      </c>
      <c r="Q23" s="218" t="str">
        <f t="shared" si="8"/>
        <v/>
      </c>
      <c r="R23" s="183"/>
      <c r="S23" s="180"/>
      <c r="T23" s="183"/>
      <c r="U23" s="183"/>
      <c r="V23" s="184"/>
      <c r="W23" s="183"/>
      <c r="X23" s="220"/>
      <c r="Y23" s="205" t="str">
        <f>IF(X23="","",IFERROR(INDEX(PERKARA!$B$5:$B$104,MATCH(X23,PERKARA!$A$5:$A$104,0)),"ID TIDAK TERDAFTAR"))</f>
        <v/>
      </c>
      <c r="Z23" s="205" t="str">
        <f t="shared" si="4"/>
        <v/>
      </c>
      <c r="AA23" s="206"/>
      <c r="AB23" s="207"/>
      <c r="AC23" s="206"/>
      <c r="AD23" s="208" t="str">
        <f t="shared" si="5"/>
        <v/>
      </c>
    </row>
    <row r="24" spans="1:30" s="185" customFormat="1">
      <c r="A24" s="179" t="str">
        <f t="shared" si="0"/>
        <v/>
      </c>
      <c r="B24" s="223"/>
      <c r="C24" s="183"/>
      <c r="D24" s="183"/>
      <c r="E24" s="183"/>
      <c r="F24" s="217"/>
      <c r="G24" s="217"/>
      <c r="H24" s="217"/>
      <c r="I24" s="217"/>
      <c r="J24" s="217"/>
      <c r="K24" s="218" t="str">
        <f t="shared" si="6"/>
        <v/>
      </c>
      <c r="L24" s="217"/>
      <c r="M24" s="217"/>
      <c r="N24" s="217"/>
      <c r="O24" s="217"/>
      <c r="P24" s="218" t="str">
        <f t="shared" si="7"/>
        <v/>
      </c>
      <c r="Q24" s="218" t="str">
        <f t="shared" si="8"/>
        <v/>
      </c>
      <c r="R24" s="183"/>
      <c r="S24" s="180"/>
      <c r="T24" s="183"/>
      <c r="U24" s="183"/>
      <c r="V24" s="184"/>
      <c r="W24" s="183"/>
      <c r="X24" s="220"/>
      <c r="Y24" s="205" t="str">
        <f>IF(X24="","",IFERROR(INDEX(PERKARA!$B$5:$B$104,MATCH(X24,PERKARA!$A$5:$A$104,0)),"ID TIDAK TERDAFTAR"))</f>
        <v/>
      </c>
      <c r="Z24" s="205" t="str">
        <f t="shared" si="4"/>
        <v/>
      </c>
      <c r="AA24" s="206"/>
      <c r="AB24" s="207"/>
      <c r="AC24" s="206"/>
      <c r="AD24" s="208" t="str">
        <f t="shared" si="5"/>
        <v/>
      </c>
    </row>
    <row r="25" spans="1:30" s="185" customFormat="1">
      <c r="A25" s="179" t="str">
        <f t="shared" si="0"/>
        <v/>
      </c>
      <c r="B25" s="223"/>
      <c r="C25" s="183"/>
      <c r="D25" s="183"/>
      <c r="E25" s="183"/>
      <c r="F25" s="217"/>
      <c r="G25" s="217"/>
      <c r="H25" s="217"/>
      <c r="I25" s="217"/>
      <c r="J25" s="217"/>
      <c r="K25" s="218" t="str">
        <f t="shared" si="6"/>
        <v/>
      </c>
      <c r="L25" s="217"/>
      <c r="M25" s="217"/>
      <c r="N25" s="217"/>
      <c r="O25" s="217"/>
      <c r="P25" s="218" t="str">
        <f t="shared" si="7"/>
        <v/>
      </c>
      <c r="Q25" s="218" t="str">
        <f t="shared" si="8"/>
        <v/>
      </c>
      <c r="R25" s="183"/>
      <c r="S25" s="180"/>
      <c r="T25" s="183"/>
      <c r="U25" s="183"/>
      <c r="V25" s="184"/>
      <c r="W25" s="183"/>
      <c r="X25" s="220"/>
      <c r="Y25" s="205" t="str">
        <f>IF(X25="","",IFERROR(INDEX(PERKARA!$B$5:$B$104,MATCH(X25,PERKARA!$A$5:$A$104,0)),"ID TIDAK TERDAFTAR"))</f>
        <v/>
      </c>
      <c r="Z25" s="205" t="str">
        <f t="shared" si="4"/>
        <v/>
      </c>
      <c r="AA25" s="206"/>
      <c r="AB25" s="207"/>
      <c r="AC25" s="206"/>
      <c r="AD25" s="208" t="str">
        <f t="shared" si="5"/>
        <v/>
      </c>
    </row>
    <row r="26" spans="1:30" s="185" customFormat="1">
      <c r="A26" s="179" t="str">
        <f t="shared" si="0"/>
        <v/>
      </c>
      <c r="B26" s="223"/>
      <c r="C26" s="183"/>
      <c r="D26" s="183"/>
      <c r="E26" s="183"/>
      <c r="F26" s="217"/>
      <c r="G26" s="217"/>
      <c r="H26" s="217"/>
      <c r="I26" s="217"/>
      <c r="J26" s="217"/>
      <c r="K26" s="218" t="str">
        <f t="shared" si="6"/>
        <v/>
      </c>
      <c r="L26" s="217"/>
      <c r="M26" s="217"/>
      <c r="N26" s="217"/>
      <c r="O26" s="217"/>
      <c r="P26" s="218" t="str">
        <f t="shared" si="7"/>
        <v/>
      </c>
      <c r="Q26" s="218" t="str">
        <f t="shared" si="8"/>
        <v/>
      </c>
      <c r="R26" s="183"/>
      <c r="S26" s="180"/>
      <c r="T26" s="183"/>
      <c r="U26" s="183"/>
      <c r="V26" s="184"/>
      <c r="W26" s="183"/>
      <c r="X26" s="220"/>
      <c r="Y26" s="205" t="str">
        <f>IF(X26="","",IFERROR(INDEX(PERKARA!$B$5:$B$104,MATCH(X26,PERKARA!$A$5:$A$104,0)),"ID TIDAK TERDAFTAR"))</f>
        <v/>
      </c>
      <c r="Z26" s="205" t="str">
        <f t="shared" si="4"/>
        <v/>
      </c>
      <c r="AA26" s="206"/>
      <c r="AB26" s="207"/>
      <c r="AC26" s="206"/>
      <c r="AD26" s="208" t="str">
        <f t="shared" si="5"/>
        <v/>
      </c>
    </row>
    <row r="27" spans="1:30" s="185" customFormat="1">
      <c r="A27" s="179" t="str">
        <f t="shared" si="0"/>
        <v/>
      </c>
      <c r="B27" s="223"/>
      <c r="C27" s="183"/>
      <c r="D27" s="183"/>
      <c r="E27" s="183"/>
      <c r="F27" s="217"/>
      <c r="G27" s="217"/>
      <c r="H27" s="217"/>
      <c r="I27" s="217"/>
      <c r="J27" s="217"/>
      <c r="K27" s="218" t="str">
        <f t="shared" si="6"/>
        <v/>
      </c>
      <c r="L27" s="217"/>
      <c r="M27" s="217"/>
      <c r="N27" s="217"/>
      <c r="O27" s="217"/>
      <c r="P27" s="218" t="str">
        <f t="shared" si="7"/>
        <v/>
      </c>
      <c r="Q27" s="218" t="str">
        <f t="shared" si="8"/>
        <v/>
      </c>
      <c r="R27" s="183"/>
      <c r="S27" s="180"/>
      <c r="T27" s="183"/>
      <c r="U27" s="183"/>
      <c r="V27" s="184"/>
      <c r="W27" s="183"/>
      <c r="X27" s="220"/>
      <c r="Y27" s="205" t="str">
        <f>IF(X27="","",IFERROR(INDEX(PERKARA!$B$5:$B$104,MATCH(X27,PERKARA!$A$5:$A$104,0)),"ID TIDAK TERDAFTAR"))</f>
        <v/>
      </c>
      <c r="Z27" s="205" t="str">
        <f t="shared" si="4"/>
        <v/>
      </c>
      <c r="AA27" s="206"/>
      <c r="AB27" s="207"/>
      <c r="AC27" s="206"/>
      <c r="AD27" s="208" t="str">
        <f t="shared" si="5"/>
        <v/>
      </c>
    </row>
    <row r="28" spans="1:30" s="185" customFormat="1">
      <c r="A28" s="179" t="str">
        <f t="shared" si="0"/>
        <v/>
      </c>
      <c r="B28" s="223"/>
      <c r="C28" s="183"/>
      <c r="D28" s="183"/>
      <c r="E28" s="183"/>
      <c r="F28" s="217"/>
      <c r="G28" s="217"/>
      <c r="H28" s="217"/>
      <c r="I28" s="217"/>
      <c r="J28" s="217"/>
      <c r="K28" s="218" t="str">
        <f t="shared" si="6"/>
        <v/>
      </c>
      <c r="L28" s="217"/>
      <c r="M28" s="217"/>
      <c r="N28" s="217"/>
      <c r="O28" s="217"/>
      <c r="P28" s="218" t="str">
        <f t="shared" si="7"/>
        <v/>
      </c>
      <c r="Q28" s="218" t="str">
        <f t="shared" si="8"/>
        <v/>
      </c>
      <c r="R28" s="183"/>
      <c r="S28" s="180"/>
      <c r="T28" s="183"/>
      <c r="U28" s="183"/>
      <c r="V28" s="184"/>
      <c r="W28" s="183"/>
      <c r="X28" s="220"/>
      <c r="Y28" s="205" t="str">
        <f>IF(X28="","",IFERROR(INDEX(PERKARA!$B$5:$B$104,MATCH(X28,PERKARA!$A$5:$A$104,0)),"ID TIDAK TERDAFTAR"))</f>
        <v/>
      </c>
      <c r="Z28" s="205" t="str">
        <f t="shared" si="4"/>
        <v/>
      </c>
      <c r="AA28" s="206"/>
      <c r="AB28" s="207"/>
      <c r="AC28" s="206"/>
      <c r="AD28" s="208" t="str">
        <f t="shared" si="5"/>
        <v/>
      </c>
    </row>
    <row r="29" spans="1:30" s="185" customFormat="1">
      <c r="A29" s="179" t="str">
        <f t="shared" si="0"/>
        <v/>
      </c>
      <c r="B29" s="223"/>
      <c r="C29" s="183"/>
      <c r="D29" s="183"/>
      <c r="E29" s="183"/>
      <c r="F29" s="217"/>
      <c r="G29" s="217"/>
      <c r="H29" s="217"/>
      <c r="I29" s="217"/>
      <c r="J29" s="217"/>
      <c r="K29" s="218" t="str">
        <f t="shared" si="6"/>
        <v/>
      </c>
      <c r="L29" s="217"/>
      <c r="M29" s="217"/>
      <c r="N29" s="217"/>
      <c r="O29" s="217"/>
      <c r="P29" s="218" t="str">
        <f t="shared" si="7"/>
        <v/>
      </c>
      <c r="Q29" s="218" t="str">
        <f t="shared" si="8"/>
        <v/>
      </c>
      <c r="R29" s="183"/>
      <c r="S29" s="180"/>
      <c r="T29" s="183"/>
      <c r="U29" s="183"/>
      <c r="V29" s="184"/>
      <c r="W29" s="183"/>
      <c r="X29" s="220"/>
      <c r="Y29" s="205" t="str">
        <f>IF(X29="","",IFERROR(INDEX(PERKARA!$B$5:$B$104,MATCH(X29,PERKARA!$A$5:$A$104,0)),"ID TIDAK TERDAFTAR"))</f>
        <v/>
      </c>
      <c r="Z29" s="205" t="str">
        <f t="shared" si="4"/>
        <v/>
      </c>
      <c r="AA29" s="206"/>
      <c r="AB29" s="207"/>
      <c r="AC29" s="206"/>
      <c r="AD29" s="208" t="str">
        <f t="shared" si="5"/>
        <v/>
      </c>
    </row>
    <row r="30" spans="1:30" s="185" customFormat="1">
      <c r="A30" s="179" t="str">
        <f t="shared" si="0"/>
        <v/>
      </c>
      <c r="B30" s="223"/>
      <c r="C30" s="183"/>
      <c r="D30" s="183"/>
      <c r="E30" s="183"/>
      <c r="F30" s="217"/>
      <c r="G30" s="217"/>
      <c r="H30" s="217"/>
      <c r="I30" s="217"/>
      <c r="J30" s="217"/>
      <c r="K30" s="218" t="str">
        <f t="shared" si="6"/>
        <v/>
      </c>
      <c r="L30" s="217"/>
      <c r="M30" s="217"/>
      <c r="N30" s="217"/>
      <c r="O30" s="217"/>
      <c r="P30" s="218" t="str">
        <f t="shared" si="7"/>
        <v/>
      </c>
      <c r="Q30" s="218" t="str">
        <f t="shared" si="8"/>
        <v/>
      </c>
      <c r="R30" s="183"/>
      <c r="S30" s="180"/>
      <c r="T30" s="183"/>
      <c r="U30" s="183"/>
      <c r="V30" s="184"/>
      <c r="W30" s="183"/>
      <c r="X30" s="220"/>
      <c r="Y30" s="205" t="str">
        <f>IF(X30="","",IFERROR(INDEX(PERKARA!$B$5:$B$104,MATCH(X30,PERKARA!$A$5:$A$104,0)),"ID TIDAK TERDAFTAR"))</f>
        <v/>
      </c>
      <c r="Z30" s="205" t="str">
        <f t="shared" si="4"/>
        <v/>
      </c>
      <c r="AA30" s="206"/>
      <c r="AB30" s="207"/>
      <c r="AC30" s="206"/>
      <c r="AD30" s="208" t="str">
        <f t="shared" si="5"/>
        <v/>
      </c>
    </row>
    <row r="31" spans="1:30" s="185" customFormat="1">
      <c r="A31" s="179" t="str">
        <f t="shared" si="0"/>
        <v/>
      </c>
      <c r="B31" s="223"/>
      <c r="C31" s="183"/>
      <c r="D31" s="183"/>
      <c r="E31" s="183"/>
      <c r="F31" s="217"/>
      <c r="G31" s="217"/>
      <c r="H31" s="217"/>
      <c r="I31" s="217"/>
      <c r="J31" s="217"/>
      <c r="K31" s="218" t="str">
        <f t="shared" si="6"/>
        <v/>
      </c>
      <c r="L31" s="217"/>
      <c r="M31" s="217"/>
      <c r="N31" s="217"/>
      <c r="O31" s="217"/>
      <c r="P31" s="218" t="str">
        <f t="shared" si="7"/>
        <v/>
      </c>
      <c r="Q31" s="218" t="str">
        <f t="shared" si="8"/>
        <v/>
      </c>
      <c r="R31" s="183"/>
      <c r="S31" s="180"/>
      <c r="T31" s="183"/>
      <c r="U31" s="183"/>
      <c r="V31" s="184"/>
      <c r="W31" s="183"/>
      <c r="X31" s="220"/>
      <c r="Y31" s="205" t="str">
        <f>IF(X31="","",IFERROR(INDEX(PERKARA!$B$5:$B$104,MATCH(X31,PERKARA!$A$5:$A$104,0)),"ID TIDAK TERDAFTAR"))</f>
        <v/>
      </c>
      <c r="Z31" s="205" t="str">
        <f t="shared" si="4"/>
        <v/>
      </c>
      <c r="AA31" s="206"/>
      <c r="AB31" s="207"/>
      <c r="AC31" s="206"/>
      <c r="AD31" s="208" t="str">
        <f t="shared" si="5"/>
        <v/>
      </c>
    </row>
    <row r="32" spans="1:30">
      <c r="A32" s="9" t="str">
        <f t="shared" si="0"/>
        <v/>
      </c>
      <c r="B32" s="60"/>
      <c r="C32" s="6"/>
      <c r="D32" s="6"/>
      <c r="E32" s="6"/>
      <c r="F32" s="11"/>
      <c r="G32" s="11"/>
      <c r="H32" s="11"/>
      <c r="I32" s="11"/>
      <c r="J32" s="11"/>
      <c r="K32" s="12" t="str">
        <f t="shared" si="6"/>
        <v/>
      </c>
      <c r="L32" s="11"/>
      <c r="M32" s="11"/>
      <c r="N32" s="11"/>
      <c r="O32" s="11"/>
      <c r="P32" s="12" t="str">
        <f t="shared" si="7"/>
        <v/>
      </c>
      <c r="Q32" s="12" t="str">
        <f t="shared" si="8"/>
        <v/>
      </c>
      <c r="R32" s="6"/>
      <c r="S32" s="80"/>
      <c r="T32" s="6"/>
      <c r="U32" s="6"/>
      <c r="V32" s="103"/>
      <c r="W32" s="6"/>
      <c r="X32" s="64"/>
      <c r="Y32" s="67" t="str">
        <f>IF(X32="","",IFERROR(INDEX(PERKARA!$B$5:$B$104,MATCH(X32,PERKARA!$A$5:$A$104,0)),"ID TIDAK TERDAFTAR"))</f>
        <v/>
      </c>
      <c r="Z32" s="67" t="str">
        <f t="shared" si="4"/>
        <v/>
      </c>
      <c r="AA32" s="98"/>
      <c r="AB32" s="105"/>
      <c r="AC32" s="98"/>
      <c r="AD32" s="104" t="str">
        <f t="shared" si="5"/>
        <v/>
      </c>
    </row>
    <row r="33" spans="1:30">
      <c r="A33" s="9" t="str">
        <f t="shared" si="0"/>
        <v/>
      </c>
      <c r="B33" s="60"/>
      <c r="C33" s="6"/>
      <c r="D33" s="6"/>
      <c r="E33" s="6"/>
      <c r="F33" s="11"/>
      <c r="G33" s="11"/>
      <c r="H33" s="11"/>
      <c r="I33" s="11"/>
      <c r="J33" s="11"/>
      <c r="K33" s="12" t="str">
        <f t="shared" si="6"/>
        <v/>
      </c>
      <c r="L33" s="11"/>
      <c r="M33" s="11"/>
      <c r="N33" s="11"/>
      <c r="O33" s="11"/>
      <c r="P33" s="12" t="str">
        <f t="shared" si="7"/>
        <v/>
      </c>
      <c r="Q33" s="12" t="str">
        <f t="shared" si="8"/>
        <v/>
      </c>
      <c r="R33" s="6"/>
      <c r="S33" s="80"/>
      <c r="T33" s="6"/>
      <c r="U33" s="6"/>
      <c r="V33" s="103"/>
      <c r="W33" s="6"/>
      <c r="X33" s="64"/>
      <c r="Y33" s="67" t="str">
        <f>IF(X33="","",IFERROR(INDEX(PERKARA!$B$5:$B$104,MATCH(X33,PERKARA!$A$5:$A$104,0)),"ID TIDAK TERDAFTAR"))</f>
        <v/>
      </c>
      <c r="Z33" s="67" t="str">
        <f t="shared" si="4"/>
        <v/>
      </c>
      <c r="AA33" s="98"/>
      <c r="AB33" s="105"/>
      <c r="AC33" s="98"/>
      <c r="AD33" s="104" t="str">
        <f t="shared" si="5"/>
        <v/>
      </c>
    </row>
    <row r="34" spans="1:30">
      <c r="A34" s="9" t="str">
        <f t="shared" si="0"/>
        <v/>
      </c>
      <c r="B34" s="60"/>
      <c r="C34" s="6"/>
      <c r="D34" s="6"/>
      <c r="E34" s="6"/>
      <c r="F34" s="11"/>
      <c r="G34" s="11"/>
      <c r="H34" s="11"/>
      <c r="I34" s="11"/>
      <c r="J34" s="11"/>
      <c r="K34" s="12" t="str">
        <f t="shared" si="6"/>
        <v/>
      </c>
      <c r="L34" s="11"/>
      <c r="M34" s="11"/>
      <c r="N34" s="11"/>
      <c r="O34" s="11"/>
      <c r="P34" s="12" t="str">
        <f t="shared" si="7"/>
        <v/>
      </c>
      <c r="Q34" s="12" t="str">
        <f t="shared" si="8"/>
        <v/>
      </c>
      <c r="R34" s="6"/>
      <c r="S34" s="80"/>
      <c r="T34" s="6"/>
      <c r="U34" s="6"/>
      <c r="V34" s="103"/>
      <c r="W34" s="6"/>
      <c r="X34" s="64"/>
      <c r="Y34" s="67" t="str">
        <f>IF(X34="","",IFERROR(INDEX(PERKARA!$B$5:$B$104,MATCH(X34,PERKARA!$A$5:$A$104,0)),"ID TIDAK TERDAFTAR"))</f>
        <v/>
      </c>
      <c r="Z34" s="67" t="str">
        <f t="shared" si="4"/>
        <v/>
      </c>
      <c r="AA34" s="98"/>
      <c r="AB34" s="105"/>
      <c r="AC34" s="98"/>
      <c r="AD34" s="104" t="str">
        <f t="shared" si="5"/>
        <v/>
      </c>
    </row>
    <row r="35" spans="1:30">
      <c r="A35" s="9" t="str">
        <f t="shared" si="0"/>
        <v/>
      </c>
      <c r="B35" s="60"/>
      <c r="C35" s="6"/>
      <c r="D35" s="6"/>
      <c r="E35" s="6"/>
      <c r="F35" s="11"/>
      <c r="G35" s="11"/>
      <c r="H35" s="11"/>
      <c r="I35" s="11"/>
      <c r="J35" s="11"/>
      <c r="K35" s="12" t="str">
        <f t="shared" si="6"/>
        <v/>
      </c>
      <c r="L35" s="11"/>
      <c r="M35" s="11"/>
      <c r="N35" s="11"/>
      <c r="O35" s="11"/>
      <c r="P35" s="12" t="str">
        <f t="shared" si="7"/>
        <v/>
      </c>
      <c r="Q35" s="12" t="str">
        <f t="shared" si="8"/>
        <v/>
      </c>
      <c r="R35" s="6"/>
      <c r="S35" s="80"/>
      <c r="T35" s="6"/>
      <c r="U35" s="6"/>
      <c r="V35" s="103"/>
      <c r="W35" s="6"/>
      <c r="X35" s="64"/>
      <c r="Y35" s="67" t="str">
        <f>IF(X35="","",IFERROR(INDEX(PERKARA!$B$5:$B$104,MATCH(X35,PERKARA!$A$5:$A$104,0)),"ID TIDAK TERDAFTAR"))</f>
        <v/>
      </c>
      <c r="Z35" s="67" t="str">
        <f t="shared" si="4"/>
        <v/>
      </c>
      <c r="AA35" s="98"/>
      <c r="AB35" s="105"/>
      <c r="AC35" s="98"/>
      <c r="AD35" s="104" t="str">
        <f t="shared" si="5"/>
        <v/>
      </c>
    </row>
    <row r="36" spans="1:30">
      <c r="A36" s="9" t="str">
        <f t="shared" si="0"/>
        <v/>
      </c>
      <c r="B36" s="60"/>
      <c r="C36" s="6"/>
      <c r="D36" s="6"/>
      <c r="E36" s="6"/>
      <c r="F36" s="11"/>
      <c r="G36" s="11"/>
      <c r="H36" s="11"/>
      <c r="I36" s="11"/>
      <c r="J36" s="11"/>
      <c r="K36" s="12" t="str">
        <f t="shared" si="6"/>
        <v/>
      </c>
      <c r="L36" s="11"/>
      <c r="M36" s="11"/>
      <c r="N36" s="11"/>
      <c r="O36" s="11"/>
      <c r="P36" s="12" t="str">
        <f t="shared" si="7"/>
        <v/>
      </c>
      <c r="Q36" s="12" t="str">
        <f t="shared" si="8"/>
        <v/>
      </c>
      <c r="R36" s="6"/>
      <c r="S36" s="80"/>
      <c r="T36" s="6"/>
      <c r="U36" s="6"/>
      <c r="V36" s="103"/>
      <c r="W36" s="6"/>
      <c r="X36" s="64"/>
      <c r="Y36" s="67" t="str">
        <f>IF(X36="","",IFERROR(INDEX(PERKARA!$B$5:$B$104,MATCH(X36,PERKARA!$A$5:$A$104,0)),"ID TIDAK TERDAFTAR"))</f>
        <v/>
      </c>
      <c r="Z36" s="67" t="str">
        <f t="shared" si="4"/>
        <v/>
      </c>
      <c r="AA36" s="98"/>
      <c r="AB36" s="105"/>
      <c r="AC36" s="98"/>
      <c r="AD36" s="104" t="str">
        <f t="shared" si="5"/>
        <v/>
      </c>
    </row>
    <row r="37" spans="1:30">
      <c r="A37" s="9" t="str">
        <f t="shared" ref="A37:A68" si="9">IF(B37="","",IFERROR("PAY-"&amp;TEXT(B37,"yyyymm")&amp;"-"&amp;TEXT(ROW()-4,"000"),"PERIODE HARUS TANGGAL"))</f>
        <v/>
      </c>
      <c r="B37" s="60"/>
      <c r="C37" s="6"/>
      <c r="D37" s="6"/>
      <c r="E37" s="6"/>
      <c r="F37" s="11"/>
      <c r="G37" s="11"/>
      <c r="H37" s="11"/>
      <c r="I37" s="11"/>
      <c r="J37" s="11"/>
      <c r="K37" s="12" t="str">
        <f t="shared" ref="K37:K68" si="10">IF(B37="","",SUM(F37:J37))</f>
        <v/>
      </c>
      <c r="L37" s="11"/>
      <c r="M37" s="11"/>
      <c r="N37" s="11"/>
      <c r="O37" s="11"/>
      <c r="P37" s="12" t="str">
        <f t="shared" ref="P37:P68" si="11">IF(B37="","",MAX(K37-SUM(L37:N37),0))</f>
        <v/>
      </c>
      <c r="Q37" s="12" t="str">
        <f t="shared" ref="Q37:Q68" si="12">IF(B37="","",K37+O37)</f>
        <v/>
      </c>
      <c r="R37" s="6"/>
      <c r="S37" s="80"/>
      <c r="T37" s="6"/>
      <c r="U37" s="6"/>
      <c r="V37" s="103"/>
      <c r="W37" s="6"/>
      <c r="X37" s="64"/>
      <c r="Y37" s="67" t="str">
        <f>IF(X37="","",IFERROR(INDEX(PERKARA!$B$5:$B$104,MATCH(X37,PERKARA!$A$5:$A$104,0)),"ID TIDAK TERDAFTAR"))</f>
        <v/>
      </c>
      <c r="Z37" s="67" t="str">
        <f t="shared" ref="Z37:Z68" si="13">IF(B37="","",IF(A37="PERIODE HARUS TANGGAL","PERIODE TIDAK VALID",IF(COUNTIF($A$5:$A$124,A37)&gt;1,"ID PAYROLL DUPLIKAT",IF(AND(X37&lt;&gt;"",Y37="ID TIDAK TERDAFTAR"),"PERKARA TIDAK VALID",IF(AND(R37="Dibayar",T37=""),"AKUN PEMBAYARAN BELUM DIISI",IF(AND(R37="Dibayar",S37=""),"TANGGAL PEMBAYARAN BELUM DIISI",IF(AND(R37="Dibayar",AD37&lt;&gt;"LENGKAP"),"DIBAYAR TANPA OTORISASI","OK")))))))</f>
        <v/>
      </c>
      <c r="AA37" s="98"/>
      <c r="AB37" s="105"/>
      <c r="AC37" s="98"/>
      <c r="AD37" s="104" t="str">
        <f t="shared" ref="AD37:AD68" si="14">IF(B37="","",IF(AA37="Ditolak","DITOLAK",IF(AND(AA37="Disetujui",V37&lt;&gt;""),"LENGKAP",IF(AA37="Disetujui","NAMA PENYETUJU BELUM DIISI","MENUNGGU PERSETUJUAN MANUAL"))))</f>
        <v/>
      </c>
    </row>
    <row r="38" spans="1:30">
      <c r="A38" s="9" t="str">
        <f t="shared" si="9"/>
        <v/>
      </c>
      <c r="B38" s="60"/>
      <c r="C38" s="6"/>
      <c r="D38" s="6"/>
      <c r="E38" s="6"/>
      <c r="F38" s="11"/>
      <c r="G38" s="11"/>
      <c r="H38" s="11"/>
      <c r="I38" s="11"/>
      <c r="J38" s="11"/>
      <c r="K38" s="12" t="str">
        <f t="shared" si="10"/>
        <v/>
      </c>
      <c r="L38" s="11"/>
      <c r="M38" s="11"/>
      <c r="N38" s="11"/>
      <c r="O38" s="11"/>
      <c r="P38" s="12" t="str">
        <f t="shared" si="11"/>
        <v/>
      </c>
      <c r="Q38" s="12" t="str">
        <f t="shared" si="12"/>
        <v/>
      </c>
      <c r="R38" s="6"/>
      <c r="S38" s="80"/>
      <c r="T38" s="6"/>
      <c r="U38" s="6"/>
      <c r="V38" s="103"/>
      <c r="W38" s="6"/>
      <c r="X38" s="64"/>
      <c r="Y38" s="67" t="str">
        <f>IF(X38="","",IFERROR(INDEX(PERKARA!$B$5:$B$104,MATCH(X38,PERKARA!$A$5:$A$104,0)),"ID TIDAK TERDAFTAR"))</f>
        <v/>
      </c>
      <c r="Z38" s="67" t="str">
        <f t="shared" si="13"/>
        <v/>
      </c>
      <c r="AA38" s="98"/>
      <c r="AB38" s="105"/>
      <c r="AC38" s="98"/>
      <c r="AD38" s="104" t="str">
        <f t="shared" si="14"/>
        <v/>
      </c>
    </row>
    <row r="39" spans="1:30">
      <c r="A39" s="9" t="str">
        <f t="shared" si="9"/>
        <v/>
      </c>
      <c r="B39" s="60"/>
      <c r="C39" s="6"/>
      <c r="D39" s="6"/>
      <c r="E39" s="6"/>
      <c r="F39" s="11"/>
      <c r="G39" s="11"/>
      <c r="H39" s="11"/>
      <c r="I39" s="11"/>
      <c r="J39" s="11"/>
      <c r="K39" s="12" t="str">
        <f t="shared" si="10"/>
        <v/>
      </c>
      <c r="L39" s="11"/>
      <c r="M39" s="11"/>
      <c r="N39" s="11"/>
      <c r="O39" s="11"/>
      <c r="P39" s="12" t="str">
        <f t="shared" si="11"/>
        <v/>
      </c>
      <c r="Q39" s="12" t="str">
        <f t="shared" si="12"/>
        <v/>
      </c>
      <c r="R39" s="6"/>
      <c r="S39" s="80"/>
      <c r="T39" s="6"/>
      <c r="U39" s="6"/>
      <c r="V39" s="103"/>
      <c r="W39" s="6"/>
      <c r="X39" s="64"/>
      <c r="Y39" s="67" t="str">
        <f>IF(X39="","",IFERROR(INDEX(PERKARA!$B$5:$B$104,MATCH(X39,PERKARA!$A$5:$A$104,0)),"ID TIDAK TERDAFTAR"))</f>
        <v/>
      </c>
      <c r="Z39" s="67" t="str">
        <f t="shared" si="13"/>
        <v/>
      </c>
      <c r="AA39" s="98"/>
      <c r="AB39" s="105"/>
      <c r="AC39" s="98"/>
      <c r="AD39" s="104" t="str">
        <f t="shared" si="14"/>
        <v/>
      </c>
    </row>
    <row r="40" spans="1:30">
      <c r="A40" s="9" t="str">
        <f t="shared" si="9"/>
        <v/>
      </c>
      <c r="B40" s="60"/>
      <c r="C40" s="6"/>
      <c r="D40" s="6"/>
      <c r="E40" s="6"/>
      <c r="F40" s="11"/>
      <c r="G40" s="11"/>
      <c r="H40" s="11"/>
      <c r="I40" s="11"/>
      <c r="J40" s="11"/>
      <c r="K40" s="12" t="str">
        <f t="shared" si="10"/>
        <v/>
      </c>
      <c r="L40" s="11"/>
      <c r="M40" s="11"/>
      <c r="N40" s="11"/>
      <c r="O40" s="11"/>
      <c r="P40" s="12" t="str">
        <f t="shared" si="11"/>
        <v/>
      </c>
      <c r="Q40" s="12" t="str">
        <f t="shared" si="12"/>
        <v/>
      </c>
      <c r="R40" s="6"/>
      <c r="S40" s="80"/>
      <c r="T40" s="6"/>
      <c r="U40" s="6"/>
      <c r="V40" s="103"/>
      <c r="W40" s="6"/>
      <c r="X40" s="64"/>
      <c r="Y40" s="67" t="str">
        <f>IF(X40="","",IFERROR(INDEX(PERKARA!$B$5:$B$104,MATCH(X40,PERKARA!$A$5:$A$104,0)),"ID TIDAK TERDAFTAR"))</f>
        <v/>
      </c>
      <c r="Z40" s="67" t="str">
        <f t="shared" si="13"/>
        <v/>
      </c>
      <c r="AA40" s="98"/>
      <c r="AB40" s="105"/>
      <c r="AC40" s="98"/>
      <c r="AD40" s="104" t="str">
        <f t="shared" si="14"/>
        <v/>
      </c>
    </row>
    <row r="41" spans="1:30">
      <c r="A41" s="9" t="str">
        <f t="shared" si="9"/>
        <v/>
      </c>
      <c r="B41" s="60"/>
      <c r="C41" s="6"/>
      <c r="D41" s="6"/>
      <c r="E41" s="6"/>
      <c r="F41" s="11"/>
      <c r="G41" s="11"/>
      <c r="H41" s="11"/>
      <c r="I41" s="11"/>
      <c r="J41" s="11"/>
      <c r="K41" s="12" t="str">
        <f t="shared" si="10"/>
        <v/>
      </c>
      <c r="L41" s="11"/>
      <c r="M41" s="11"/>
      <c r="N41" s="11"/>
      <c r="O41" s="11"/>
      <c r="P41" s="12" t="str">
        <f t="shared" si="11"/>
        <v/>
      </c>
      <c r="Q41" s="12" t="str">
        <f t="shared" si="12"/>
        <v/>
      </c>
      <c r="R41" s="6"/>
      <c r="S41" s="80"/>
      <c r="T41" s="6"/>
      <c r="U41" s="6"/>
      <c r="V41" s="103"/>
      <c r="W41" s="6"/>
      <c r="X41" s="64"/>
      <c r="Y41" s="67" t="str">
        <f>IF(X41="","",IFERROR(INDEX(PERKARA!$B$5:$B$104,MATCH(X41,PERKARA!$A$5:$A$104,0)),"ID TIDAK TERDAFTAR"))</f>
        <v/>
      </c>
      <c r="Z41" s="67" t="str">
        <f t="shared" si="13"/>
        <v/>
      </c>
      <c r="AA41" s="98"/>
      <c r="AB41" s="105"/>
      <c r="AC41" s="98"/>
      <c r="AD41" s="104" t="str">
        <f t="shared" si="14"/>
        <v/>
      </c>
    </row>
    <row r="42" spans="1:30">
      <c r="A42" s="9" t="str">
        <f t="shared" si="9"/>
        <v/>
      </c>
      <c r="B42" s="60"/>
      <c r="C42" s="6"/>
      <c r="D42" s="6"/>
      <c r="E42" s="6"/>
      <c r="F42" s="11"/>
      <c r="G42" s="11"/>
      <c r="H42" s="11"/>
      <c r="I42" s="11"/>
      <c r="J42" s="11"/>
      <c r="K42" s="12" t="str">
        <f t="shared" si="10"/>
        <v/>
      </c>
      <c r="L42" s="11"/>
      <c r="M42" s="11"/>
      <c r="N42" s="11"/>
      <c r="O42" s="11"/>
      <c r="P42" s="12" t="str">
        <f t="shared" si="11"/>
        <v/>
      </c>
      <c r="Q42" s="12" t="str">
        <f t="shared" si="12"/>
        <v/>
      </c>
      <c r="R42" s="6"/>
      <c r="S42" s="80"/>
      <c r="T42" s="6"/>
      <c r="U42" s="6"/>
      <c r="V42" s="103"/>
      <c r="W42" s="6"/>
      <c r="X42" s="64"/>
      <c r="Y42" s="67" t="str">
        <f>IF(X42="","",IFERROR(INDEX(PERKARA!$B$5:$B$104,MATCH(X42,PERKARA!$A$5:$A$104,0)),"ID TIDAK TERDAFTAR"))</f>
        <v/>
      </c>
      <c r="Z42" s="67" t="str">
        <f t="shared" si="13"/>
        <v/>
      </c>
      <c r="AA42" s="98"/>
      <c r="AB42" s="105"/>
      <c r="AC42" s="98"/>
      <c r="AD42" s="104" t="str">
        <f t="shared" si="14"/>
        <v/>
      </c>
    </row>
    <row r="43" spans="1:30">
      <c r="A43" s="9" t="str">
        <f t="shared" si="9"/>
        <v/>
      </c>
      <c r="B43" s="60"/>
      <c r="C43" s="6"/>
      <c r="D43" s="6"/>
      <c r="E43" s="6"/>
      <c r="F43" s="11"/>
      <c r="G43" s="11"/>
      <c r="H43" s="11"/>
      <c r="I43" s="11"/>
      <c r="J43" s="11"/>
      <c r="K43" s="12" t="str">
        <f t="shared" si="10"/>
        <v/>
      </c>
      <c r="L43" s="11"/>
      <c r="M43" s="11"/>
      <c r="N43" s="11"/>
      <c r="O43" s="11"/>
      <c r="P43" s="12" t="str">
        <f t="shared" si="11"/>
        <v/>
      </c>
      <c r="Q43" s="12" t="str">
        <f t="shared" si="12"/>
        <v/>
      </c>
      <c r="R43" s="6"/>
      <c r="S43" s="80"/>
      <c r="T43" s="6"/>
      <c r="U43" s="6"/>
      <c r="V43" s="103"/>
      <c r="W43" s="6"/>
      <c r="X43" s="64"/>
      <c r="Y43" s="67" t="str">
        <f>IF(X43="","",IFERROR(INDEX(PERKARA!$B$5:$B$104,MATCH(X43,PERKARA!$A$5:$A$104,0)),"ID TIDAK TERDAFTAR"))</f>
        <v/>
      </c>
      <c r="Z43" s="67" t="str">
        <f t="shared" si="13"/>
        <v/>
      </c>
      <c r="AA43" s="98"/>
      <c r="AB43" s="105"/>
      <c r="AC43" s="98"/>
      <c r="AD43" s="104" t="str">
        <f t="shared" si="14"/>
        <v/>
      </c>
    </row>
    <row r="44" spans="1:30">
      <c r="A44" s="9" t="str">
        <f t="shared" si="9"/>
        <v/>
      </c>
      <c r="B44" s="60"/>
      <c r="C44" s="6"/>
      <c r="D44" s="6"/>
      <c r="E44" s="6"/>
      <c r="F44" s="11"/>
      <c r="G44" s="11"/>
      <c r="H44" s="11"/>
      <c r="I44" s="11"/>
      <c r="J44" s="11"/>
      <c r="K44" s="12" t="str">
        <f t="shared" si="10"/>
        <v/>
      </c>
      <c r="L44" s="11"/>
      <c r="M44" s="11"/>
      <c r="N44" s="11"/>
      <c r="O44" s="11"/>
      <c r="P44" s="12" t="str">
        <f t="shared" si="11"/>
        <v/>
      </c>
      <c r="Q44" s="12" t="str">
        <f t="shared" si="12"/>
        <v/>
      </c>
      <c r="R44" s="6"/>
      <c r="S44" s="80"/>
      <c r="T44" s="6"/>
      <c r="U44" s="6"/>
      <c r="V44" s="103"/>
      <c r="W44" s="6"/>
      <c r="X44" s="64"/>
      <c r="Y44" s="67" t="str">
        <f>IF(X44="","",IFERROR(INDEX(PERKARA!$B$5:$B$104,MATCH(X44,PERKARA!$A$5:$A$104,0)),"ID TIDAK TERDAFTAR"))</f>
        <v/>
      </c>
      <c r="Z44" s="67" t="str">
        <f t="shared" si="13"/>
        <v/>
      </c>
      <c r="AA44" s="98"/>
      <c r="AB44" s="105"/>
      <c r="AC44" s="98"/>
      <c r="AD44" s="104" t="str">
        <f t="shared" si="14"/>
        <v/>
      </c>
    </row>
    <row r="45" spans="1:30">
      <c r="A45" s="9" t="str">
        <f t="shared" si="9"/>
        <v/>
      </c>
      <c r="B45" s="60"/>
      <c r="C45" s="6"/>
      <c r="D45" s="6"/>
      <c r="E45" s="6"/>
      <c r="F45" s="11"/>
      <c r="G45" s="11"/>
      <c r="H45" s="11"/>
      <c r="I45" s="11"/>
      <c r="J45" s="11"/>
      <c r="K45" s="12" t="str">
        <f t="shared" si="10"/>
        <v/>
      </c>
      <c r="L45" s="11"/>
      <c r="M45" s="11"/>
      <c r="N45" s="11"/>
      <c r="O45" s="11"/>
      <c r="P45" s="12" t="str">
        <f t="shared" si="11"/>
        <v/>
      </c>
      <c r="Q45" s="12" t="str">
        <f t="shared" si="12"/>
        <v/>
      </c>
      <c r="R45" s="6"/>
      <c r="S45" s="80"/>
      <c r="T45" s="6"/>
      <c r="U45" s="6"/>
      <c r="V45" s="103"/>
      <c r="W45" s="6"/>
      <c r="X45" s="64"/>
      <c r="Y45" s="67" t="str">
        <f>IF(X45="","",IFERROR(INDEX(PERKARA!$B$5:$B$104,MATCH(X45,PERKARA!$A$5:$A$104,0)),"ID TIDAK TERDAFTAR"))</f>
        <v/>
      </c>
      <c r="Z45" s="67" t="str">
        <f t="shared" si="13"/>
        <v/>
      </c>
      <c r="AA45" s="98"/>
      <c r="AB45" s="105"/>
      <c r="AC45" s="98"/>
      <c r="AD45" s="104" t="str">
        <f t="shared" si="14"/>
        <v/>
      </c>
    </row>
    <row r="46" spans="1:30">
      <c r="A46" s="9" t="str">
        <f t="shared" si="9"/>
        <v/>
      </c>
      <c r="B46" s="60"/>
      <c r="C46" s="6"/>
      <c r="D46" s="6"/>
      <c r="E46" s="6"/>
      <c r="F46" s="11"/>
      <c r="G46" s="11"/>
      <c r="H46" s="11"/>
      <c r="I46" s="11"/>
      <c r="J46" s="11"/>
      <c r="K46" s="12" t="str">
        <f t="shared" si="10"/>
        <v/>
      </c>
      <c r="L46" s="11"/>
      <c r="M46" s="11"/>
      <c r="N46" s="11"/>
      <c r="O46" s="11"/>
      <c r="P46" s="12" t="str">
        <f t="shared" si="11"/>
        <v/>
      </c>
      <c r="Q46" s="12" t="str">
        <f t="shared" si="12"/>
        <v/>
      </c>
      <c r="R46" s="6"/>
      <c r="S46" s="80"/>
      <c r="T46" s="6"/>
      <c r="U46" s="6"/>
      <c r="V46" s="103"/>
      <c r="W46" s="6"/>
      <c r="X46" s="64"/>
      <c r="Y46" s="67" t="str">
        <f>IF(X46="","",IFERROR(INDEX(PERKARA!$B$5:$B$104,MATCH(X46,PERKARA!$A$5:$A$104,0)),"ID TIDAK TERDAFTAR"))</f>
        <v/>
      </c>
      <c r="Z46" s="67" t="str">
        <f t="shared" si="13"/>
        <v/>
      </c>
      <c r="AA46" s="98"/>
      <c r="AB46" s="105"/>
      <c r="AC46" s="98"/>
      <c r="AD46" s="104" t="str">
        <f t="shared" si="14"/>
        <v/>
      </c>
    </row>
    <row r="47" spans="1:30">
      <c r="A47" s="9" t="str">
        <f t="shared" si="9"/>
        <v/>
      </c>
      <c r="B47" s="60"/>
      <c r="C47" s="6"/>
      <c r="D47" s="6"/>
      <c r="E47" s="6"/>
      <c r="F47" s="11"/>
      <c r="G47" s="11"/>
      <c r="H47" s="11"/>
      <c r="I47" s="11"/>
      <c r="J47" s="11"/>
      <c r="K47" s="12" t="str">
        <f t="shared" si="10"/>
        <v/>
      </c>
      <c r="L47" s="11"/>
      <c r="M47" s="11"/>
      <c r="N47" s="11"/>
      <c r="O47" s="11"/>
      <c r="P47" s="12" t="str">
        <f t="shared" si="11"/>
        <v/>
      </c>
      <c r="Q47" s="12" t="str">
        <f t="shared" si="12"/>
        <v/>
      </c>
      <c r="R47" s="6"/>
      <c r="S47" s="80"/>
      <c r="T47" s="6"/>
      <c r="U47" s="6"/>
      <c r="V47" s="103"/>
      <c r="W47" s="6"/>
      <c r="X47" s="64"/>
      <c r="Y47" s="67" t="str">
        <f>IF(X47="","",IFERROR(INDEX(PERKARA!$B$5:$B$104,MATCH(X47,PERKARA!$A$5:$A$104,0)),"ID TIDAK TERDAFTAR"))</f>
        <v/>
      </c>
      <c r="Z47" s="67" t="str">
        <f t="shared" si="13"/>
        <v/>
      </c>
      <c r="AA47" s="98"/>
      <c r="AB47" s="105"/>
      <c r="AC47" s="98"/>
      <c r="AD47" s="104" t="str">
        <f t="shared" si="14"/>
        <v/>
      </c>
    </row>
    <row r="48" spans="1:30">
      <c r="A48" s="9" t="str">
        <f t="shared" si="9"/>
        <v/>
      </c>
      <c r="B48" s="60"/>
      <c r="C48" s="6"/>
      <c r="D48" s="6"/>
      <c r="E48" s="6"/>
      <c r="F48" s="11"/>
      <c r="G48" s="11"/>
      <c r="H48" s="11"/>
      <c r="I48" s="11"/>
      <c r="J48" s="11"/>
      <c r="K48" s="12" t="str">
        <f t="shared" si="10"/>
        <v/>
      </c>
      <c r="L48" s="11"/>
      <c r="M48" s="11"/>
      <c r="N48" s="11"/>
      <c r="O48" s="11"/>
      <c r="P48" s="12" t="str">
        <f t="shared" si="11"/>
        <v/>
      </c>
      <c r="Q48" s="12" t="str">
        <f t="shared" si="12"/>
        <v/>
      </c>
      <c r="R48" s="6"/>
      <c r="S48" s="80"/>
      <c r="T48" s="6"/>
      <c r="U48" s="6"/>
      <c r="V48" s="103"/>
      <c r="W48" s="6"/>
      <c r="X48" s="64"/>
      <c r="Y48" s="67" t="str">
        <f>IF(X48="","",IFERROR(INDEX(PERKARA!$B$5:$B$104,MATCH(X48,PERKARA!$A$5:$A$104,0)),"ID TIDAK TERDAFTAR"))</f>
        <v/>
      </c>
      <c r="Z48" s="67" t="str">
        <f t="shared" si="13"/>
        <v/>
      </c>
      <c r="AA48" s="98"/>
      <c r="AB48" s="105"/>
      <c r="AC48" s="98"/>
      <c r="AD48" s="104" t="str">
        <f t="shared" si="14"/>
        <v/>
      </c>
    </row>
    <row r="49" spans="1:30">
      <c r="A49" s="9" t="str">
        <f t="shared" si="9"/>
        <v/>
      </c>
      <c r="B49" s="60"/>
      <c r="C49" s="6"/>
      <c r="D49" s="6"/>
      <c r="E49" s="6"/>
      <c r="F49" s="11"/>
      <c r="G49" s="11"/>
      <c r="H49" s="11"/>
      <c r="I49" s="11"/>
      <c r="J49" s="11"/>
      <c r="K49" s="12" t="str">
        <f t="shared" si="10"/>
        <v/>
      </c>
      <c r="L49" s="11"/>
      <c r="M49" s="11"/>
      <c r="N49" s="11"/>
      <c r="O49" s="11"/>
      <c r="P49" s="12" t="str">
        <f t="shared" si="11"/>
        <v/>
      </c>
      <c r="Q49" s="12" t="str">
        <f t="shared" si="12"/>
        <v/>
      </c>
      <c r="R49" s="6"/>
      <c r="S49" s="80"/>
      <c r="T49" s="6"/>
      <c r="U49" s="6"/>
      <c r="V49" s="103"/>
      <c r="W49" s="6"/>
      <c r="X49" s="64"/>
      <c r="Y49" s="67" t="str">
        <f>IF(X49="","",IFERROR(INDEX(PERKARA!$B$5:$B$104,MATCH(X49,PERKARA!$A$5:$A$104,0)),"ID TIDAK TERDAFTAR"))</f>
        <v/>
      </c>
      <c r="Z49" s="67" t="str">
        <f t="shared" si="13"/>
        <v/>
      </c>
      <c r="AA49" s="98"/>
      <c r="AB49" s="105"/>
      <c r="AC49" s="98"/>
      <c r="AD49" s="104" t="str">
        <f t="shared" si="14"/>
        <v/>
      </c>
    </row>
    <row r="50" spans="1:30">
      <c r="A50" s="9" t="str">
        <f t="shared" si="9"/>
        <v/>
      </c>
      <c r="B50" s="60"/>
      <c r="C50" s="6"/>
      <c r="D50" s="6"/>
      <c r="E50" s="6"/>
      <c r="F50" s="11"/>
      <c r="G50" s="11"/>
      <c r="H50" s="11"/>
      <c r="I50" s="11"/>
      <c r="J50" s="11"/>
      <c r="K50" s="12" t="str">
        <f t="shared" si="10"/>
        <v/>
      </c>
      <c r="L50" s="11"/>
      <c r="M50" s="11"/>
      <c r="N50" s="11"/>
      <c r="O50" s="11"/>
      <c r="P50" s="12" t="str">
        <f t="shared" si="11"/>
        <v/>
      </c>
      <c r="Q50" s="12" t="str">
        <f t="shared" si="12"/>
        <v/>
      </c>
      <c r="R50" s="6"/>
      <c r="S50" s="80"/>
      <c r="T50" s="6"/>
      <c r="U50" s="6"/>
      <c r="V50" s="103"/>
      <c r="W50" s="6"/>
      <c r="X50" s="64"/>
      <c r="Y50" s="67" t="str">
        <f>IF(X50="","",IFERROR(INDEX(PERKARA!$B$5:$B$104,MATCH(X50,PERKARA!$A$5:$A$104,0)),"ID TIDAK TERDAFTAR"))</f>
        <v/>
      </c>
      <c r="Z50" s="67" t="str">
        <f t="shared" si="13"/>
        <v/>
      </c>
      <c r="AA50" s="98"/>
      <c r="AB50" s="105"/>
      <c r="AC50" s="98"/>
      <c r="AD50" s="104" t="str">
        <f t="shared" si="14"/>
        <v/>
      </c>
    </row>
    <row r="51" spans="1:30">
      <c r="A51" s="9" t="str">
        <f t="shared" si="9"/>
        <v/>
      </c>
      <c r="B51" s="60"/>
      <c r="C51" s="6"/>
      <c r="D51" s="6"/>
      <c r="E51" s="6"/>
      <c r="F51" s="11"/>
      <c r="G51" s="11"/>
      <c r="H51" s="11"/>
      <c r="I51" s="11"/>
      <c r="J51" s="11"/>
      <c r="K51" s="12" t="str">
        <f t="shared" si="10"/>
        <v/>
      </c>
      <c r="L51" s="11"/>
      <c r="M51" s="11"/>
      <c r="N51" s="11"/>
      <c r="O51" s="11"/>
      <c r="P51" s="12" t="str">
        <f t="shared" si="11"/>
        <v/>
      </c>
      <c r="Q51" s="12" t="str">
        <f t="shared" si="12"/>
        <v/>
      </c>
      <c r="R51" s="6"/>
      <c r="S51" s="80"/>
      <c r="T51" s="6"/>
      <c r="U51" s="6"/>
      <c r="V51" s="103"/>
      <c r="W51" s="6"/>
      <c r="X51" s="64"/>
      <c r="Y51" s="67" t="str">
        <f>IF(X51="","",IFERROR(INDEX(PERKARA!$B$5:$B$104,MATCH(X51,PERKARA!$A$5:$A$104,0)),"ID TIDAK TERDAFTAR"))</f>
        <v/>
      </c>
      <c r="Z51" s="67" t="str">
        <f t="shared" si="13"/>
        <v/>
      </c>
      <c r="AA51" s="98"/>
      <c r="AB51" s="105"/>
      <c r="AC51" s="98"/>
      <c r="AD51" s="104" t="str">
        <f t="shared" si="14"/>
        <v/>
      </c>
    </row>
    <row r="52" spans="1:30">
      <c r="A52" s="9" t="str">
        <f t="shared" si="9"/>
        <v/>
      </c>
      <c r="B52" s="60"/>
      <c r="C52" s="6"/>
      <c r="D52" s="6"/>
      <c r="E52" s="6"/>
      <c r="F52" s="11"/>
      <c r="G52" s="11"/>
      <c r="H52" s="11"/>
      <c r="I52" s="11"/>
      <c r="J52" s="11"/>
      <c r="K52" s="12" t="str">
        <f t="shared" si="10"/>
        <v/>
      </c>
      <c r="L52" s="11"/>
      <c r="M52" s="11"/>
      <c r="N52" s="11"/>
      <c r="O52" s="11"/>
      <c r="P52" s="12" t="str">
        <f t="shared" si="11"/>
        <v/>
      </c>
      <c r="Q52" s="12" t="str">
        <f t="shared" si="12"/>
        <v/>
      </c>
      <c r="R52" s="6"/>
      <c r="S52" s="80"/>
      <c r="T52" s="6"/>
      <c r="U52" s="6"/>
      <c r="V52" s="103"/>
      <c r="W52" s="6"/>
      <c r="X52" s="64"/>
      <c r="Y52" s="67" t="str">
        <f>IF(X52="","",IFERROR(INDEX(PERKARA!$B$5:$B$104,MATCH(X52,PERKARA!$A$5:$A$104,0)),"ID TIDAK TERDAFTAR"))</f>
        <v/>
      </c>
      <c r="Z52" s="67" t="str">
        <f t="shared" si="13"/>
        <v/>
      </c>
      <c r="AA52" s="98"/>
      <c r="AB52" s="105"/>
      <c r="AC52" s="98"/>
      <c r="AD52" s="104" t="str">
        <f t="shared" si="14"/>
        <v/>
      </c>
    </row>
    <row r="53" spans="1:30">
      <c r="A53" s="9" t="str">
        <f t="shared" si="9"/>
        <v/>
      </c>
      <c r="B53" s="60"/>
      <c r="C53" s="6"/>
      <c r="D53" s="6"/>
      <c r="E53" s="6"/>
      <c r="F53" s="11"/>
      <c r="G53" s="11"/>
      <c r="H53" s="11"/>
      <c r="I53" s="11"/>
      <c r="J53" s="11"/>
      <c r="K53" s="12" t="str">
        <f t="shared" si="10"/>
        <v/>
      </c>
      <c r="L53" s="11"/>
      <c r="M53" s="11"/>
      <c r="N53" s="11"/>
      <c r="O53" s="11"/>
      <c r="P53" s="12" t="str">
        <f t="shared" si="11"/>
        <v/>
      </c>
      <c r="Q53" s="12" t="str">
        <f t="shared" si="12"/>
        <v/>
      </c>
      <c r="R53" s="6"/>
      <c r="S53" s="80"/>
      <c r="T53" s="6"/>
      <c r="U53" s="6"/>
      <c r="V53" s="103"/>
      <c r="W53" s="6"/>
      <c r="X53" s="64"/>
      <c r="Y53" s="67" t="str">
        <f>IF(X53="","",IFERROR(INDEX(PERKARA!$B$5:$B$104,MATCH(X53,PERKARA!$A$5:$A$104,0)),"ID TIDAK TERDAFTAR"))</f>
        <v/>
      </c>
      <c r="Z53" s="67" t="str">
        <f t="shared" si="13"/>
        <v/>
      </c>
      <c r="AA53" s="98"/>
      <c r="AB53" s="105"/>
      <c r="AC53" s="98"/>
      <c r="AD53" s="104" t="str">
        <f t="shared" si="14"/>
        <v/>
      </c>
    </row>
    <row r="54" spans="1:30">
      <c r="A54" s="9" t="str">
        <f t="shared" si="9"/>
        <v/>
      </c>
      <c r="B54" s="60"/>
      <c r="C54" s="6"/>
      <c r="D54" s="6"/>
      <c r="E54" s="6"/>
      <c r="F54" s="11"/>
      <c r="G54" s="11"/>
      <c r="H54" s="11"/>
      <c r="I54" s="11"/>
      <c r="J54" s="11"/>
      <c r="K54" s="12" t="str">
        <f t="shared" si="10"/>
        <v/>
      </c>
      <c r="L54" s="11"/>
      <c r="M54" s="11"/>
      <c r="N54" s="11"/>
      <c r="O54" s="11"/>
      <c r="P54" s="12" t="str">
        <f t="shared" si="11"/>
        <v/>
      </c>
      <c r="Q54" s="12" t="str">
        <f t="shared" si="12"/>
        <v/>
      </c>
      <c r="R54" s="6"/>
      <c r="S54" s="80"/>
      <c r="T54" s="6"/>
      <c r="U54" s="6"/>
      <c r="V54" s="103"/>
      <c r="W54" s="6"/>
      <c r="X54" s="64"/>
      <c r="Y54" s="67" t="str">
        <f>IF(X54="","",IFERROR(INDEX(PERKARA!$B$5:$B$104,MATCH(X54,PERKARA!$A$5:$A$104,0)),"ID TIDAK TERDAFTAR"))</f>
        <v/>
      </c>
      <c r="Z54" s="67" t="str">
        <f t="shared" si="13"/>
        <v/>
      </c>
      <c r="AA54" s="98"/>
      <c r="AB54" s="105"/>
      <c r="AC54" s="98"/>
      <c r="AD54" s="104" t="str">
        <f t="shared" si="14"/>
        <v/>
      </c>
    </row>
    <row r="55" spans="1:30">
      <c r="A55" s="9" t="str">
        <f t="shared" si="9"/>
        <v/>
      </c>
      <c r="B55" s="60"/>
      <c r="C55" s="6"/>
      <c r="D55" s="6"/>
      <c r="E55" s="6"/>
      <c r="F55" s="11"/>
      <c r="G55" s="11"/>
      <c r="H55" s="11"/>
      <c r="I55" s="11"/>
      <c r="J55" s="11"/>
      <c r="K55" s="12" t="str">
        <f t="shared" si="10"/>
        <v/>
      </c>
      <c r="L55" s="11"/>
      <c r="M55" s="11"/>
      <c r="N55" s="11"/>
      <c r="O55" s="11"/>
      <c r="P55" s="12" t="str">
        <f t="shared" si="11"/>
        <v/>
      </c>
      <c r="Q55" s="12" t="str">
        <f t="shared" si="12"/>
        <v/>
      </c>
      <c r="R55" s="6"/>
      <c r="S55" s="80"/>
      <c r="T55" s="6"/>
      <c r="U55" s="6"/>
      <c r="V55" s="103"/>
      <c r="W55" s="6"/>
      <c r="X55" s="64"/>
      <c r="Y55" s="67" t="str">
        <f>IF(X55="","",IFERROR(INDEX(PERKARA!$B$5:$B$104,MATCH(X55,PERKARA!$A$5:$A$104,0)),"ID TIDAK TERDAFTAR"))</f>
        <v/>
      </c>
      <c r="Z55" s="67" t="str">
        <f t="shared" si="13"/>
        <v/>
      </c>
      <c r="AA55" s="98"/>
      <c r="AB55" s="105"/>
      <c r="AC55" s="98"/>
      <c r="AD55" s="104" t="str">
        <f t="shared" si="14"/>
        <v/>
      </c>
    </row>
    <row r="56" spans="1:30">
      <c r="A56" s="9" t="str">
        <f t="shared" si="9"/>
        <v/>
      </c>
      <c r="B56" s="60"/>
      <c r="C56" s="6"/>
      <c r="D56" s="6"/>
      <c r="E56" s="6"/>
      <c r="F56" s="11"/>
      <c r="G56" s="11"/>
      <c r="H56" s="11"/>
      <c r="I56" s="11"/>
      <c r="J56" s="11"/>
      <c r="K56" s="12" t="str">
        <f t="shared" si="10"/>
        <v/>
      </c>
      <c r="L56" s="11"/>
      <c r="M56" s="11"/>
      <c r="N56" s="11"/>
      <c r="O56" s="11"/>
      <c r="P56" s="12" t="str">
        <f t="shared" si="11"/>
        <v/>
      </c>
      <c r="Q56" s="12" t="str">
        <f t="shared" si="12"/>
        <v/>
      </c>
      <c r="R56" s="6"/>
      <c r="S56" s="80"/>
      <c r="T56" s="6"/>
      <c r="U56" s="6"/>
      <c r="V56" s="103"/>
      <c r="W56" s="6"/>
      <c r="X56" s="64"/>
      <c r="Y56" s="67" t="str">
        <f>IF(X56="","",IFERROR(INDEX(PERKARA!$B$5:$B$104,MATCH(X56,PERKARA!$A$5:$A$104,0)),"ID TIDAK TERDAFTAR"))</f>
        <v/>
      </c>
      <c r="Z56" s="67" t="str">
        <f t="shared" si="13"/>
        <v/>
      </c>
      <c r="AA56" s="98"/>
      <c r="AB56" s="105"/>
      <c r="AC56" s="98"/>
      <c r="AD56" s="104" t="str">
        <f t="shared" si="14"/>
        <v/>
      </c>
    </row>
    <row r="57" spans="1:30">
      <c r="A57" s="9" t="str">
        <f t="shared" si="9"/>
        <v/>
      </c>
      <c r="B57" s="60"/>
      <c r="C57" s="6"/>
      <c r="D57" s="6"/>
      <c r="E57" s="6"/>
      <c r="F57" s="11"/>
      <c r="G57" s="11"/>
      <c r="H57" s="11"/>
      <c r="I57" s="11"/>
      <c r="J57" s="11"/>
      <c r="K57" s="12" t="str">
        <f t="shared" si="10"/>
        <v/>
      </c>
      <c r="L57" s="11"/>
      <c r="M57" s="11"/>
      <c r="N57" s="11"/>
      <c r="O57" s="11"/>
      <c r="P57" s="12" t="str">
        <f t="shared" si="11"/>
        <v/>
      </c>
      <c r="Q57" s="12" t="str">
        <f t="shared" si="12"/>
        <v/>
      </c>
      <c r="R57" s="6"/>
      <c r="S57" s="80"/>
      <c r="T57" s="6"/>
      <c r="U57" s="6"/>
      <c r="V57" s="103"/>
      <c r="W57" s="6"/>
      <c r="X57" s="64"/>
      <c r="Y57" s="67" t="str">
        <f>IF(X57="","",IFERROR(INDEX(PERKARA!$B$5:$B$104,MATCH(X57,PERKARA!$A$5:$A$104,0)),"ID TIDAK TERDAFTAR"))</f>
        <v/>
      </c>
      <c r="Z57" s="67" t="str">
        <f t="shared" si="13"/>
        <v/>
      </c>
      <c r="AA57" s="98"/>
      <c r="AB57" s="105"/>
      <c r="AC57" s="98"/>
      <c r="AD57" s="104" t="str">
        <f t="shared" si="14"/>
        <v/>
      </c>
    </row>
    <row r="58" spans="1:30">
      <c r="A58" s="9" t="str">
        <f t="shared" si="9"/>
        <v/>
      </c>
      <c r="B58" s="60"/>
      <c r="C58" s="6"/>
      <c r="D58" s="6"/>
      <c r="E58" s="6"/>
      <c r="F58" s="11"/>
      <c r="G58" s="11"/>
      <c r="H58" s="11"/>
      <c r="I58" s="11"/>
      <c r="J58" s="11"/>
      <c r="K58" s="12" t="str">
        <f t="shared" si="10"/>
        <v/>
      </c>
      <c r="L58" s="11"/>
      <c r="M58" s="11"/>
      <c r="N58" s="11"/>
      <c r="O58" s="11"/>
      <c r="P58" s="12" t="str">
        <f t="shared" si="11"/>
        <v/>
      </c>
      <c r="Q58" s="12" t="str">
        <f t="shared" si="12"/>
        <v/>
      </c>
      <c r="R58" s="6"/>
      <c r="S58" s="80"/>
      <c r="T58" s="6"/>
      <c r="U58" s="6"/>
      <c r="V58" s="103"/>
      <c r="W58" s="6"/>
      <c r="X58" s="64"/>
      <c r="Y58" s="67" t="str">
        <f>IF(X58="","",IFERROR(INDEX(PERKARA!$B$5:$B$104,MATCH(X58,PERKARA!$A$5:$A$104,0)),"ID TIDAK TERDAFTAR"))</f>
        <v/>
      </c>
      <c r="Z58" s="67" t="str">
        <f t="shared" si="13"/>
        <v/>
      </c>
      <c r="AA58" s="98"/>
      <c r="AB58" s="105"/>
      <c r="AC58" s="98"/>
      <c r="AD58" s="104" t="str">
        <f t="shared" si="14"/>
        <v/>
      </c>
    </row>
    <row r="59" spans="1:30">
      <c r="A59" s="9" t="str">
        <f t="shared" si="9"/>
        <v/>
      </c>
      <c r="B59" s="60"/>
      <c r="C59" s="6"/>
      <c r="D59" s="6"/>
      <c r="E59" s="6"/>
      <c r="F59" s="11"/>
      <c r="G59" s="11"/>
      <c r="H59" s="11"/>
      <c r="I59" s="11"/>
      <c r="J59" s="11"/>
      <c r="K59" s="12" t="str">
        <f t="shared" si="10"/>
        <v/>
      </c>
      <c r="L59" s="11"/>
      <c r="M59" s="11"/>
      <c r="N59" s="11"/>
      <c r="O59" s="11"/>
      <c r="P59" s="12" t="str">
        <f t="shared" si="11"/>
        <v/>
      </c>
      <c r="Q59" s="12" t="str">
        <f t="shared" si="12"/>
        <v/>
      </c>
      <c r="R59" s="6"/>
      <c r="S59" s="80"/>
      <c r="T59" s="6"/>
      <c r="U59" s="6"/>
      <c r="V59" s="103"/>
      <c r="W59" s="6"/>
      <c r="X59" s="64"/>
      <c r="Y59" s="67" t="str">
        <f>IF(X59="","",IFERROR(INDEX(PERKARA!$B$5:$B$104,MATCH(X59,PERKARA!$A$5:$A$104,0)),"ID TIDAK TERDAFTAR"))</f>
        <v/>
      </c>
      <c r="Z59" s="67" t="str">
        <f t="shared" si="13"/>
        <v/>
      </c>
      <c r="AA59" s="98"/>
      <c r="AB59" s="105"/>
      <c r="AC59" s="98"/>
      <c r="AD59" s="104" t="str">
        <f t="shared" si="14"/>
        <v/>
      </c>
    </row>
    <row r="60" spans="1:30">
      <c r="A60" s="9" t="str">
        <f t="shared" si="9"/>
        <v/>
      </c>
      <c r="B60" s="60"/>
      <c r="C60" s="6"/>
      <c r="D60" s="6"/>
      <c r="E60" s="6"/>
      <c r="F60" s="11"/>
      <c r="G60" s="11"/>
      <c r="H60" s="11"/>
      <c r="I60" s="11"/>
      <c r="J60" s="11"/>
      <c r="K60" s="12" t="str">
        <f t="shared" si="10"/>
        <v/>
      </c>
      <c r="L60" s="11"/>
      <c r="M60" s="11"/>
      <c r="N60" s="11"/>
      <c r="O60" s="11"/>
      <c r="P60" s="12" t="str">
        <f t="shared" si="11"/>
        <v/>
      </c>
      <c r="Q60" s="12" t="str">
        <f t="shared" si="12"/>
        <v/>
      </c>
      <c r="R60" s="6"/>
      <c r="S60" s="80"/>
      <c r="T60" s="6"/>
      <c r="U60" s="6"/>
      <c r="V60" s="103"/>
      <c r="W60" s="6"/>
      <c r="X60" s="64"/>
      <c r="Y60" s="67" t="str">
        <f>IF(X60="","",IFERROR(INDEX(PERKARA!$B$5:$B$104,MATCH(X60,PERKARA!$A$5:$A$104,0)),"ID TIDAK TERDAFTAR"))</f>
        <v/>
      </c>
      <c r="Z60" s="67" t="str">
        <f t="shared" si="13"/>
        <v/>
      </c>
      <c r="AA60" s="98"/>
      <c r="AB60" s="105"/>
      <c r="AC60" s="98"/>
      <c r="AD60" s="104" t="str">
        <f t="shared" si="14"/>
        <v/>
      </c>
    </row>
    <row r="61" spans="1:30">
      <c r="A61" s="9" t="str">
        <f t="shared" si="9"/>
        <v/>
      </c>
      <c r="B61" s="60"/>
      <c r="C61" s="6"/>
      <c r="D61" s="6"/>
      <c r="E61" s="6"/>
      <c r="F61" s="11"/>
      <c r="G61" s="11"/>
      <c r="H61" s="11"/>
      <c r="I61" s="11"/>
      <c r="J61" s="11"/>
      <c r="K61" s="12" t="str">
        <f t="shared" si="10"/>
        <v/>
      </c>
      <c r="L61" s="11"/>
      <c r="M61" s="11"/>
      <c r="N61" s="11"/>
      <c r="O61" s="11"/>
      <c r="P61" s="12" t="str">
        <f t="shared" si="11"/>
        <v/>
      </c>
      <c r="Q61" s="12" t="str">
        <f t="shared" si="12"/>
        <v/>
      </c>
      <c r="R61" s="6"/>
      <c r="S61" s="80"/>
      <c r="T61" s="6"/>
      <c r="U61" s="6"/>
      <c r="V61" s="103"/>
      <c r="W61" s="6"/>
      <c r="X61" s="64"/>
      <c r="Y61" s="67" t="str">
        <f>IF(X61="","",IFERROR(INDEX(PERKARA!$B$5:$B$104,MATCH(X61,PERKARA!$A$5:$A$104,0)),"ID TIDAK TERDAFTAR"))</f>
        <v/>
      </c>
      <c r="Z61" s="67" t="str">
        <f t="shared" si="13"/>
        <v/>
      </c>
      <c r="AA61" s="98"/>
      <c r="AB61" s="105"/>
      <c r="AC61" s="98"/>
      <c r="AD61" s="104" t="str">
        <f t="shared" si="14"/>
        <v/>
      </c>
    </row>
    <row r="62" spans="1:30">
      <c r="A62" s="9" t="str">
        <f t="shared" si="9"/>
        <v/>
      </c>
      <c r="B62" s="60"/>
      <c r="C62" s="6"/>
      <c r="D62" s="6"/>
      <c r="E62" s="6"/>
      <c r="F62" s="11"/>
      <c r="G62" s="11"/>
      <c r="H62" s="11"/>
      <c r="I62" s="11"/>
      <c r="J62" s="11"/>
      <c r="K62" s="12" t="str">
        <f t="shared" si="10"/>
        <v/>
      </c>
      <c r="L62" s="11"/>
      <c r="M62" s="11"/>
      <c r="N62" s="11"/>
      <c r="O62" s="11"/>
      <c r="P62" s="12" t="str">
        <f t="shared" si="11"/>
        <v/>
      </c>
      <c r="Q62" s="12" t="str">
        <f t="shared" si="12"/>
        <v/>
      </c>
      <c r="R62" s="6"/>
      <c r="S62" s="80"/>
      <c r="T62" s="6"/>
      <c r="U62" s="6"/>
      <c r="V62" s="103"/>
      <c r="W62" s="6"/>
      <c r="X62" s="64"/>
      <c r="Y62" s="67" t="str">
        <f>IF(X62="","",IFERROR(INDEX(PERKARA!$B$5:$B$104,MATCH(X62,PERKARA!$A$5:$A$104,0)),"ID TIDAK TERDAFTAR"))</f>
        <v/>
      </c>
      <c r="Z62" s="67" t="str">
        <f t="shared" si="13"/>
        <v/>
      </c>
      <c r="AA62" s="98"/>
      <c r="AB62" s="105"/>
      <c r="AC62" s="98"/>
      <c r="AD62" s="104" t="str">
        <f t="shared" si="14"/>
        <v/>
      </c>
    </row>
    <row r="63" spans="1:30">
      <c r="A63" s="9" t="str">
        <f t="shared" si="9"/>
        <v/>
      </c>
      <c r="B63" s="60"/>
      <c r="C63" s="6"/>
      <c r="D63" s="6"/>
      <c r="E63" s="6"/>
      <c r="F63" s="11"/>
      <c r="G63" s="11"/>
      <c r="H63" s="11"/>
      <c r="I63" s="11"/>
      <c r="J63" s="11"/>
      <c r="K63" s="12" t="str">
        <f t="shared" si="10"/>
        <v/>
      </c>
      <c r="L63" s="11"/>
      <c r="M63" s="11"/>
      <c r="N63" s="11"/>
      <c r="O63" s="11"/>
      <c r="P63" s="12" t="str">
        <f t="shared" si="11"/>
        <v/>
      </c>
      <c r="Q63" s="12" t="str">
        <f t="shared" si="12"/>
        <v/>
      </c>
      <c r="R63" s="6"/>
      <c r="S63" s="80"/>
      <c r="T63" s="6"/>
      <c r="U63" s="6"/>
      <c r="V63" s="103"/>
      <c r="W63" s="6"/>
      <c r="X63" s="64"/>
      <c r="Y63" s="67" t="str">
        <f>IF(X63="","",IFERROR(INDEX(PERKARA!$B$5:$B$104,MATCH(X63,PERKARA!$A$5:$A$104,0)),"ID TIDAK TERDAFTAR"))</f>
        <v/>
      </c>
      <c r="Z63" s="67" t="str">
        <f t="shared" si="13"/>
        <v/>
      </c>
      <c r="AA63" s="98"/>
      <c r="AB63" s="105"/>
      <c r="AC63" s="98"/>
      <c r="AD63" s="104" t="str">
        <f t="shared" si="14"/>
        <v/>
      </c>
    </row>
    <row r="64" spans="1:30">
      <c r="A64" s="9" t="str">
        <f t="shared" si="9"/>
        <v/>
      </c>
      <c r="B64" s="60"/>
      <c r="C64" s="6"/>
      <c r="D64" s="6"/>
      <c r="E64" s="6"/>
      <c r="F64" s="11"/>
      <c r="G64" s="11"/>
      <c r="H64" s="11"/>
      <c r="I64" s="11"/>
      <c r="J64" s="11"/>
      <c r="K64" s="12" t="str">
        <f t="shared" si="10"/>
        <v/>
      </c>
      <c r="L64" s="11"/>
      <c r="M64" s="11"/>
      <c r="N64" s="11"/>
      <c r="O64" s="11"/>
      <c r="P64" s="12" t="str">
        <f t="shared" si="11"/>
        <v/>
      </c>
      <c r="Q64" s="12" t="str">
        <f t="shared" si="12"/>
        <v/>
      </c>
      <c r="R64" s="6"/>
      <c r="S64" s="80"/>
      <c r="T64" s="6"/>
      <c r="U64" s="6"/>
      <c r="V64" s="103"/>
      <c r="W64" s="6"/>
      <c r="X64" s="64"/>
      <c r="Y64" s="67" t="str">
        <f>IF(X64="","",IFERROR(INDEX(PERKARA!$B$5:$B$104,MATCH(X64,PERKARA!$A$5:$A$104,0)),"ID TIDAK TERDAFTAR"))</f>
        <v/>
      </c>
      <c r="Z64" s="67" t="str">
        <f t="shared" si="13"/>
        <v/>
      </c>
      <c r="AA64" s="98"/>
      <c r="AB64" s="105"/>
      <c r="AC64" s="98"/>
      <c r="AD64" s="104" t="str">
        <f t="shared" si="14"/>
        <v/>
      </c>
    </row>
    <row r="65" spans="1:30">
      <c r="A65" s="9" t="str">
        <f t="shared" si="9"/>
        <v/>
      </c>
      <c r="B65" s="60"/>
      <c r="C65" s="6"/>
      <c r="D65" s="6"/>
      <c r="E65" s="6"/>
      <c r="F65" s="11"/>
      <c r="G65" s="11"/>
      <c r="H65" s="11"/>
      <c r="I65" s="11"/>
      <c r="J65" s="11"/>
      <c r="K65" s="12" t="str">
        <f t="shared" si="10"/>
        <v/>
      </c>
      <c r="L65" s="11"/>
      <c r="M65" s="11"/>
      <c r="N65" s="11"/>
      <c r="O65" s="11"/>
      <c r="P65" s="12" t="str">
        <f t="shared" si="11"/>
        <v/>
      </c>
      <c r="Q65" s="12" t="str">
        <f t="shared" si="12"/>
        <v/>
      </c>
      <c r="R65" s="6"/>
      <c r="S65" s="80"/>
      <c r="T65" s="6"/>
      <c r="U65" s="6"/>
      <c r="V65" s="103"/>
      <c r="W65" s="6"/>
      <c r="X65" s="64"/>
      <c r="Y65" s="67" t="str">
        <f>IF(X65="","",IFERROR(INDEX(PERKARA!$B$5:$B$104,MATCH(X65,PERKARA!$A$5:$A$104,0)),"ID TIDAK TERDAFTAR"))</f>
        <v/>
      </c>
      <c r="Z65" s="67" t="str">
        <f t="shared" si="13"/>
        <v/>
      </c>
      <c r="AA65" s="98"/>
      <c r="AB65" s="105"/>
      <c r="AC65" s="98"/>
      <c r="AD65" s="104" t="str">
        <f t="shared" si="14"/>
        <v/>
      </c>
    </row>
    <row r="66" spans="1:30">
      <c r="A66" s="9" t="str">
        <f t="shared" si="9"/>
        <v/>
      </c>
      <c r="B66" s="60"/>
      <c r="C66" s="6"/>
      <c r="D66" s="6"/>
      <c r="E66" s="6"/>
      <c r="F66" s="11"/>
      <c r="G66" s="11"/>
      <c r="H66" s="11"/>
      <c r="I66" s="11"/>
      <c r="J66" s="11"/>
      <c r="K66" s="12" t="str">
        <f t="shared" si="10"/>
        <v/>
      </c>
      <c r="L66" s="11"/>
      <c r="M66" s="11"/>
      <c r="N66" s="11"/>
      <c r="O66" s="11"/>
      <c r="P66" s="12" t="str">
        <f t="shared" si="11"/>
        <v/>
      </c>
      <c r="Q66" s="12" t="str">
        <f t="shared" si="12"/>
        <v/>
      </c>
      <c r="R66" s="6"/>
      <c r="S66" s="80"/>
      <c r="T66" s="6"/>
      <c r="U66" s="6"/>
      <c r="V66" s="103"/>
      <c r="W66" s="6"/>
      <c r="X66" s="64"/>
      <c r="Y66" s="67" t="str">
        <f>IF(X66="","",IFERROR(INDEX(PERKARA!$B$5:$B$104,MATCH(X66,PERKARA!$A$5:$A$104,0)),"ID TIDAK TERDAFTAR"))</f>
        <v/>
      </c>
      <c r="Z66" s="67" t="str">
        <f t="shared" si="13"/>
        <v/>
      </c>
      <c r="AA66" s="98"/>
      <c r="AB66" s="105"/>
      <c r="AC66" s="98"/>
      <c r="AD66" s="104" t="str">
        <f t="shared" si="14"/>
        <v/>
      </c>
    </row>
    <row r="67" spans="1:30">
      <c r="A67" s="9" t="str">
        <f t="shared" si="9"/>
        <v/>
      </c>
      <c r="B67" s="60"/>
      <c r="C67" s="6"/>
      <c r="D67" s="6"/>
      <c r="E67" s="6"/>
      <c r="F67" s="11"/>
      <c r="G67" s="11"/>
      <c r="H67" s="11"/>
      <c r="I67" s="11"/>
      <c r="J67" s="11"/>
      <c r="K67" s="12" t="str">
        <f t="shared" si="10"/>
        <v/>
      </c>
      <c r="L67" s="11"/>
      <c r="M67" s="11"/>
      <c r="N67" s="11"/>
      <c r="O67" s="11"/>
      <c r="P67" s="12" t="str">
        <f t="shared" si="11"/>
        <v/>
      </c>
      <c r="Q67" s="12" t="str">
        <f t="shared" si="12"/>
        <v/>
      </c>
      <c r="R67" s="6"/>
      <c r="S67" s="80"/>
      <c r="T67" s="6"/>
      <c r="U67" s="6"/>
      <c r="V67" s="103"/>
      <c r="W67" s="6"/>
      <c r="X67" s="64"/>
      <c r="Y67" s="67" t="str">
        <f>IF(X67="","",IFERROR(INDEX(PERKARA!$B$5:$B$104,MATCH(X67,PERKARA!$A$5:$A$104,0)),"ID TIDAK TERDAFTAR"))</f>
        <v/>
      </c>
      <c r="Z67" s="67" t="str">
        <f t="shared" si="13"/>
        <v/>
      </c>
      <c r="AA67" s="98"/>
      <c r="AB67" s="105"/>
      <c r="AC67" s="98"/>
      <c r="AD67" s="104" t="str">
        <f t="shared" si="14"/>
        <v/>
      </c>
    </row>
    <row r="68" spans="1:30">
      <c r="A68" s="9" t="str">
        <f t="shared" si="9"/>
        <v/>
      </c>
      <c r="B68" s="60"/>
      <c r="C68" s="6"/>
      <c r="D68" s="6"/>
      <c r="E68" s="6"/>
      <c r="F68" s="11"/>
      <c r="G68" s="11"/>
      <c r="H68" s="11"/>
      <c r="I68" s="11"/>
      <c r="J68" s="11"/>
      <c r="K68" s="12" t="str">
        <f t="shared" si="10"/>
        <v/>
      </c>
      <c r="L68" s="11"/>
      <c r="M68" s="11"/>
      <c r="N68" s="11"/>
      <c r="O68" s="11"/>
      <c r="P68" s="12" t="str">
        <f t="shared" si="11"/>
        <v/>
      </c>
      <c r="Q68" s="12" t="str">
        <f t="shared" si="12"/>
        <v/>
      </c>
      <c r="R68" s="6"/>
      <c r="S68" s="80"/>
      <c r="T68" s="6"/>
      <c r="U68" s="6"/>
      <c r="V68" s="103"/>
      <c r="W68" s="6"/>
      <c r="X68" s="64"/>
      <c r="Y68" s="67" t="str">
        <f>IF(X68="","",IFERROR(INDEX(PERKARA!$B$5:$B$104,MATCH(X68,PERKARA!$A$5:$A$104,0)),"ID TIDAK TERDAFTAR"))</f>
        <v/>
      </c>
      <c r="Z68" s="67" t="str">
        <f t="shared" si="13"/>
        <v/>
      </c>
      <c r="AA68" s="98"/>
      <c r="AB68" s="105"/>
      <c r="AC68" s="98"/>
      <c r="AD68" s="104" t="str">
        <f t="shared" si="14"/>
        <v/>
      </c>
    </row>
    <row r="69" spans="1:30">
      <c r="A69" s="9" t="str">
        <f t="shared" ref="A69:A100" si="15">IF(B69="","",IFERROR("PAY-"&amp;TEXT(B69,"yyyymm")&amp;"-"&amp;TEXT(ROW()-4,"000"),"PERIODE HARUS TANGGAL"))</f>
        <v/>
      </c>
      <c r="B69" s="60"/>
      <c r="C69" s="6"/>
      <c r="D69" s="6"/>
      <c r="E69" s="6"/>
      <c r="F69" s="11"/>
      <c r="G69" s="11"/>
      <c r="H69" s="11"/>
      <c r="I69" s="11"/>
      <c r="J69" s="11"/>
      <c r="K69" s="12" t="str">
        <f t="shared" ref="K69:K100" si="16">IF(B69="","",SUM(F69:J69))</f>
        <v/>
      </c>
      <c r="L69" s="11"/>
      <c r="M69" s="11"/>
      <c r="N69" s="11"/>
      <c r="O69" s="11"/>
      <c r="P69" s="12" t="str">
        <f t="shared" ref="P69:P100" si="17">IF(B69="","",MAX(K69-SUM(L69:N69),0))</f>
        <v/>
      </c>
      <c r="Q69" s="12" t="str">
        <f t="shared" ref="Q69:Q100" si="18">IF(B69="","",K69+O69)</f>
        <v/>
      </c>
      <c r="R69" s="6"/>
      <c r="S69" s="80"/>
      <c r="T69" s="6"/>
      <c r="U69" s="6"/>
      <c r="V69" s="103"/>
      <c r="W69" s="6"/>
      <c r="X69" s="64"/>
      <c r="Y69" s="67" t="str">
        <f>IF(X69="","",IFERROR(INDEX(PERKARA!$B$5:$B$104,MATCH(X69,PERKARA!$A$5:$A$104,0)),"ID TIDAK TERDAFTAR"))</f>
        <v/>
      </c>
      <c r="Z69" s="67" t="str">
        <f t="shared" ref="Z69:Z100" si="19">IF(B69="","",IF(A69="PERIODE HARUS TANGGAL","PERIODE TIDAK VALID",IF(COUNTIF($A$5:$A$124,A69)&gt;1,"ID PAYROLL DUPLIKAT",IF(AND(X69&lt;&gt;"",Y69="ID TIDAK TERDAFTAR"),"PERKARA TIDAK VALID",IF(AND(R69="Dibayar",T69=""),"AKUN PEMBAYARAN BELUM DIISI",IF(AND(R69="Dibayar",S69=""),"TANGGAL PEMBAYARAN BELUM DIISI",IF(AND(R69="Dibayar",AD69&lt;&gt;"LENGKAP"),"DIBAYAR TANPA OTORISASI","OK")))))))</f>
        <v/>
      </c>
      <c r="AA69" s="98"/>
      <c r="AB69" s="105"/>
      <c r="AC69" s="98"/>
      <c r="AD69" s="104" t="str">
        <f t="shared" ref="AD69:AD100" si="20">IF(B69="","",IF(AA69="Ditolak","DITOLAK",IF(AND(AA69="Disetujui",V69&lt;&gt;""),"LENGKAP",IF(AA69="Disetujui","NAMA PENYETUJU BELUM DIISI","MENUNGGU PERSETUJUAN MANUAL"))))</f>
        <v/>
      </c>
    </row>
    <row r="70" spans="1:30">
      <c r="A70" s="9" t="str">
        <f t="shared" si="15"/>
        <v/>
      </c>
      <c r="B70" s="60"/>
      <c r="C70" s="6"/>
      <c r="D70" s="6"/>
      <c r="E70" s="6"/>
      <c r="F70" s="11"/>
      <c r="G70" s="11"/>
      <c r="H70" s="11"/>
      <c r="I70" s="11"/>
      <c r="J70" s="11"/>
      <c r="K70" s="12" t="str">
        <f t="shared" si="16"/>
        <v/>
      </c>
      <c r="L70" s="11"/>
      <c r="M70" s="11"/>
      <c r="N70" s="11"/>
      <c r="O70" s="11"/>
      <c r="P70" s="12" t="str">
        <f t="shared" si="17"/>
        <v/>
      </c>
      <c r="Q70" s="12" t="str">
        <f t="shared" si="18"/>
        <v/>
      </c>
      <c r="R70" s="6"/>
      <c r="S70" s="80"/>
      <c r="T70" s="6"/>
      <c r="U70" s="6"/>
      <c r="V70" s="103"/>
      <c r="W70" s="6"/>
      <c r="X70" s="64"/>
      <c r="Y70" s="67" t="str">
        <f>IF(X70="","",IFERROR(INDEX(PERKARA!$B$5:$B$104,MATCH(X70,PERKARA!$A$5:$A$104,0)),"ID TIDAK TERDAFTAR"))</f>
        <v/>
      </c>
      <c r="Z70" s="67" t="str">
        <f t="shared" si="19"/>
        <v/>
      </c>
      <c r="AA70" s="98"/>
      <c r="AB70" s="105"/>
      <c r="AC70" s="98"/>
      <c r="AD70" s="104" t="str">
        <f t="shared" si="20"/>
        <v/>
      </c>
    </row>
    <row r="71" spans="1:30">
      <c r="A71" s="9" t="str">
        <f t="shared" si="15"/>
        <v/>
      </c>
      <c r="B71" s="60"/>
      <c r="C71" s="6"/>
      <c r="D71" s="6"/>
      <c r="E71" s="6"/>
      <c r="F71" s="11"/>
      <c r="G71" s="11"/>
      <c r="H71" s="11"/>
      <c r="I71" s="11"/>
      <c r="J71" s="11"/>
      <c r="K71" s="12" t="str">
        <f t="shared" si="16"/>
        <v/>
      </c>
      <c r="L71" s="11"/>
      <c r="M71" s="11"/>
      <c r="N71" s="11"/>
      <c r="O71" s="11"/>
      <c r="P71" s="12" t="str">
        <f t="shared" si="17"/>
        <v/>
      </c>
      <c r="Q71" s="12" t="str">
        <f t="shared" si="18"/>
        <v/>
      </c>
      <c r="R71" s="6"/>
      <c r="S71" s="80"/>
      <c r="T71" s="6"/>
      <c r="U71" s="6"/>
      <c r="V71" s="103"/>
      <c r="W71" s="6"/>
      <c r="X71" s="64"/>
      <c r="Y71" s="67" t="str">
        <f>IF(X71="","",IFERROR(INDEX(PERKARA!$B$5:$B$104,MATCH(X71,PERKARA!$A$5:$A$104,0)),"ID TIDAK TERDAFTAR"))</f>
        <v/>
      </c>
      <c r="Z71" s="67" t="str">
        <f t="shared" si="19"/>
        <v/>
      </c>
      <c r="AA71" s="98"/>
      <c r="AB71" s="105"/>
      <c r="AC71" s="98"/>
      <c r="AD71" s="104" t="str">
        <f t="shared" si="20"/>
        <v/>
      </c>
    </row>
    <row r="72" spans="1:30">
      <c r="A72" s="9" t="str">
        <f t="shared" si="15"/>
        <v/>
      </c>
      <c r="B72" s="60"/>
      <c r="C72" s="6"/>
      <c r="D72" s="6"/>
      <c r="E72" s="6"/>
      <c r="F72" s="11"/>
      <c r="G72" s="11"/>
      <c r="H72" s="11"/>
      <c r="I72" s="11"/>
      <c r="J72" s="11"/>
      <c r="K72" s="12" t="str">
        <f t="shared" si="16"/>
        <v/>
      </c>
      <c r="L72" s="11"/>
      <c r="M72" s="11"/>
      <c r="N72" s="11"/>
      <c r="O72" s="11"/>
      <c r="P72" s="12" t="str">
        <f t="shared" si="17"/>
        <v/>
      </c>
      <c r="Q72" s="12" t="str">
        <f t="shared" si="18"/>
        <v/>
      </c>
      <c r="R72" s="6"/>
      <c r="S72" s="80"/>
      <c r="T72" s="6"/>
      <c r="U72" s="6"/>
      <c r="V72" s="103"/>
      <c r="W72" s="6"/>
      <c r="X72" s="64"/>
      <c r="Y72" s="67" t="str">
        <f>IF(X72="","",IFERROR(INDEX(PERKARA!$B$5:$B$104,MATCH(X72,PERKARA!$A$5:$A$104,0)),"ID TIDAK TERDAFTAR"))</f>
        <v/>
      </c>
      <c r="Z72" s="67" t="str">
        <f t="shared" si="19"/>
        <v/>
      </c>
      <c r="AA72" s="98"/>
      <c r="AB72" s="105"/>
      <c r="AC72" s="98"/>
      <c r="AD72" s="104" t="str">
        <f t="shared" si="20"/>
        <v/>
      </c>
    </row>
    <row r="73" spans="1:30">
      <c r="A73" s="9" t="str">
        <f t="shared" si="15"/>
        <v/>
      </c>
      <c r="B73" s="60"/>
      <c r="C73" s="6"/>
      <c r="D73" s="6"/>
      <c r="E73" s="6"/>
      <c r="F73" s="11"/>
      <c r="G73" s="11"/>
      <c r="H73" s="11"/>
      <c r="I73" s="11"/>
      <c r="J73" s="11"/>
      <c r="K73" s="12" t="str">
        <f t="shared" si="16"/>
        <v/>
      </c>
      <c r="L73" s="11"/>
      <c r="M73" s="11"/>
      <c r="N73" s="11"/>
      <c r="O73" s="11"/>
      <c r="P73" s="12" t="str">
        <f t="shared" si="17"/>
        <v/>
      </c>
      <c r="Q73" s="12" t="str">
        <f t="shared" si="18"/>
        <v/>
      </c>
      <c r="R73" s="6"/>
      <c r="S73" s="80"/>
      <c r="T73" s="6"/>
      <c r="U73" s="6"/>
      <c r="V73" s="103"/>
      <c r="W73" s="6"/>
      <c r="X73" s="64"/>
      <c r="Y73" s="67" t="str">
        <f>IF(X73="","",IFERROR(INDEX(PERKARA!$B$5:$B$104,MATCH(X73,PERKARA!$A$5:$A$104,0)),"ID TIDAK TERDAFTAR"))</f>
        <v/>
      </c>
      <c r="Z73" s="67" t="str">
        <f t="shared" si="19"/>
        <v/>
      </c>
      <c r="AA73" s="98"/>
      <c r="AB73" s="105"/>
      <c r="AC73" s="98"/>
      <c r="AD73" s="104" t="str">
        <f t="shared" si="20"/>
        <v/>
      </c>
    </row>
    <row r="74" spans="1:30">
      <c r="A74" s="9" t="str">
        <f t="shared" si="15"/>
        <v/>
      </c>
      <c r="B74" s="60"/>
      <c r="C74" s="6"/>
      <c r="D74" s="6"/>
      <c r="E74" s="6"/>
      <c r="F74" s="11"/>
      <c r="G74" s="11"/>
      <c r="H74" s="11"/>
      <c r="I74" s="11"/>
      <c r="J74" s="11"/>
      <c r="K74" s="12" t="str">
        <f t="shared" si="16"/>
        <v/>
      </c>
      <c r="L74" s="11"/>
      <c r="M74" s="11"/>
      <c r="N74" s="11"/>
      <c r="O74" s="11"/>
      <c r="P74" s="12" t="str">
        <f t="shared" si="17"/>
        <v/>
      </c>
      <c r="Q74" s="12" t="str">
        <f t="shared" si="18"/>
        <v/>
      </c>
      <c r="R74" s="6"/>
      <c r="S74" s="80"/>
      <c r="T74" s="6"/>
      <c r="U74" s="6"/>
      <c r="V74" s="103"/>
      <c r="W74" s="6"/>
      <c r="X74" s="64"/>
      <c r="Y74" s="67" t="str">
        <f>IF(X74="","",IFERROR(INDEX(PERKARA!$B$5:$B$104,MATCH(X74,PERKARA!$A$5:$A$104,0)),"ID TIDAK TERDAFTAR"))</f>
        <v/>
      </c>
      <c r="Z74" s="67" t="str">
        <f t="shared" si="19"/>
        <v/>
      </c>
      <c r="AA74" s="98"/>
      <c r="AB74" s="105"/>
      <c r="AC74" s="98"/>
      <c r="AD74" s="104" t="str">
        <f t="shared" si="20"/>
        <v/>
      </c>
    </row>
    <row r="75" spans="1:30">
      <c r="A75" s="9" t="str">
        <f t="shared" si="15"/>
        <v/>
      </c>
      <c r="B75" s="60"/>
      <c r="C75" s="6"/>
      <c r="D75" s="6"/>
      <c r="E75" s="6"/>
      <c r="F75" s="11"/>
      <c r="G75" s="11"/>
      <c r="H75" s="11"/>
      <c r="I75" s="11"/>
      <c r="J75" s="11"/>
      <c r="K75" s="12" t="str">
        <f t="shared" si="16"/>
        <v/>
      </c>
      <c r="L75" s="11"/>
      <c r="M75" s="11"/>
      <c r="N75" s="11"/>
      <c r="O75" s="11"/>
      <c r="P75" s="12" t="str">
        <f t="shared" si="17"/>
        <v/>
      </c>
      <c r="Q75" s="12" t="str">
        <f t="shared" si="18"/>
        <v/>
      </c>
      <c r="R75" s="6"/>
      <c r="S75" s="80"/>
      <c r="T75" s="6"/>
      <c r="U75" s="6"/>
      <c r="V75" s="103"/>
      <c r="W75" s="6"/>
      <c r="X75" s="64"/>
      <c r="Y75" s="67" t="str">
        <f>IF(X75="","",IFERROR(INDEX(PERKARA!$B$5:$B$104,MATCH(X75,PERKARA!$A$5:$A$104,0)),"ID TIDAK TERDAFTAR"))</f>
        <v/>
      </c>
      <c r="Z75" s="67" t="str">
        <f t="shared" si="19"/>
        <v/>
      </c>
      <c r="AA75" s="98"/>
      <c r="AB75" s="105"/>
      <c r="AC75" s="98"/>
      <c r="AD75" s="104" t="str">
        <f t="shared" si="20"/>
        <v/>
      </c>
    </row>
    <row r="76" spans="1:30">
      <c r="A76" s="9" t="str">
        <f t="shared" si="15"/>
        <v/>
      </c>
      <c r="B76" s="60"/>
      <c r="C76" s="6"/>
      <c r="D76" s="6"/>
      <c r="E76" s="6"/>
      <c r="F76" s="11"/>
      <c r="G76" s="11"/>
      <c r="H76" s="11"/>
      <c r="I76" s="11"/>
      <c r="J76" s="11"/>
      <c r="K76" s="12" t="str">
        <f t="shared" si="16"/>
        <v/>
      </c>
      <c r="L76" s="11"/>
      <c r="M76" s="11"/>
      <c r="N76" s="11"/>
      <c r="O76" s="11"/>
      <c r="P76" s="12" t="str">
        <f t="shared" si="17"/>
        <v/>
      </c>
      <c r="Q76" s="12" t="str">
        <f t="shared" si="18"/>
        <v/>
      </c>
      <c r="R76" s="6"/>
      <c r="S76" s="80"/>
      <c r="T76" s="6"/>
      <c r="U76" s="6"/>
      <c r="V76" s="103"/>
      <c r="W76" s="6"/>
      <c r="X76" s="64"/>
      <c r="Y76" s="67" t="str">
        <f>IF(X76="","",IFERROR(INDEX(PERKARA!$B$5:$B$104,MATCH(X76,PERKARA!$A$5:$A$104,0)),"ID TIDAK TERDAFTAR"))</f>
        <v/>
      </c>
      <c r="Z76" s="67" t="str">
        <f t="shared" si="19"/>
        <v/>
      </c>
      <c r="AA76" s="98"/>
      <c r="AB76" s="105"/>
      <c r="AC76" s="98"/>
      <c r="AD76" s="104" t="str">
        <f t="shared" si="20"/>
        <v/>
      </c>
    </row>
    <row r="77" spans="1:30">
      <c r="A77" s="9" t="str">
        <f t="shared" si="15"/>
        <v/>
      </c>
      <c r="B77" s="60"/>
      <c r="C77" s="6"/>
      <c r="D77" s="6"/>
      <c r="E77" s="6"/>
      <c r="F77" s="11"/>
      <c r="G77" s="11"/>
      <c r="H77" s="11"/>
      <c r="I77" s="11"/>
      <c r="J77" s="11"/>
      <c r="K77" s="12" t="str">
        <f t="shared" si="16"/>
        <v/>
      </c>
      <c r="L77" s="11"/>
      <c r="M77" s="11"/>
      <c r="N77" s="11"/>
      <c r="O77" s="11"/>
      <c r="P77" s="12" t="str">
        <f t="shared" si="17"/>
        <v/>
      </c>
      <c r="Q77" s="12" t="str">
        <f t="shared" si="18"/>
        <v/>
      </c>
      <c r="R77" s="6"/>
      <c r="S77" s="80"/>
      <c r="T77" s="6"/>
      <c r="U77" s="6"/>
      <c r="V77" s="103"/>
      <c r="W77" s="6"/>
      <c r="X77" s="64"/>
      <c r="Y77" s="67" t="str">
        <f>IF(X77="","",IFERROR(INDEX(PERKARA!$B$5:$B$104,MATCH(X77,PERKARA!$A$5:$A$104,0)),"ID TIDAK TERDAFTAR"))</f>
        <v/>
      </c>
      <c r="Z77" s="67" t="str">
        <f t="shared" si="19"/>
        <v/>
      </c>
      <c r="AA77" s="98"/>
      <c r="AB77" s="105"/>
      <c r="AC77" s="98"/>
      <c r="AD77" s="104" t="str">
        <f t="shared" si="20"/>
        <v/>
      </c>
    </row>
    <row r="78" spans="1:30">
      <c r="A78" s="9" t="str">
        <f t="shared" si="15"/>
        <v/>
      </c>
      <c r="B78" s="60"/>
      <c r="C78" s="6"/>
      <c r="D78" s="6"/>
      <c r="E78" s="6"/>
      <c r="F78" s="11"/>
      <c r="G78" s="11"/>
      <c r="H78" s="11"/>
      <c r="I78" s="11"/>
      <c r="J78" s="11"/>
      <c r="K78" s="12" t="str">
        <f t="shared" si="16"/>
        <v/>
      </c>
      <c r="L78" s="11"/>
      <c r="M78" s="11"/>
      <c r="N78" s="11"/>
      <c r="O78" s="11"/>
      <c r="P78" s="12" t="str">
        <f t="shared" si="17"/>
        <v/>
      </c>
      <c r="Q78" s="12" t="str">
        <f t="shared" si="18"/>
        <v/>
      </c>
      <c r="R78" s="6"/>
      <c r="S78" s="80"/>
      <c r="T78" s="6"/>
      <c r="U78" s="6"/>
      <c r="V78" s="103"/>
      <c r="W78" s="6"/>
      <c r="X78" s="64"/>
      <c r="Y78" s="67" t="str">
        <f>IF(X78="","",IFERROR(INDEX(PERKARA!$B$5:$B$104,MATCH(X78,PERKARA!$A$5:$A$104,0)),"ID TIDAK TERDAFTAR"))</f>
        <v/>
      </c>
      <c r="Z78" s="67" t="str">
        <f t="shared" si="19"/>
        <v/>
      </c>
      <c r="AA78" s="98"/>
      <c r="AB78" s="105"/>
      <c r="AC78" s="98"/>
      <c r="AD78" s="104" t="str">
        <f t="shared" si="20"/>
        <v/>
      </c>
    </row>
    <row r="79" spans="1:30">
      <c r="A79" s="9" t="str">
        <f t="shared" si="15"/>
        <v/>
      </c>
      <c r="B79" s="60"/>
      <c r="C79" s="6"/>
      <c r="D79" s="6"/>
      <c r="E79" s="6"/>
      <c r="F79" s="11"/>
      <c r="G79" s="11"/>
      <c r="H79" s="11"/>
      <c r="I79" s="11"/>
      <c r="J79" s="11"/>
      <c r="K79" s="12" t="str">
        <f t="shared" si="16"/>
        <v/>
      </c>
      <c r="L79" s="11"/>
      <c r="M79" s="11"/>
      <c r="N79" s="11"/>
      <c r="O79" s="11"/>
      <c r="P79" s="12" t="str">
        <f t="shared" si="17"/>
        <v/>
      </c>
      <c r="Q79" s="12" t="str">
        <f t="shared" si="18"/>
        <v/>
      </c>
      <c r="R79" s="6"/>
      <c r="S79" s="80"/>
      <c r="T79" s="6"/>
      <c r="U79" s="6"/>
      <c r="V79" s="103"/>
      <c r="W79" s="6"/>
      <c r="X79" s="64"/>
      <c r="Y79" s="67" t="str">
        <f>IF(X79="","",IFERROR(INDEX(PERKARA!$B$5:$B$104,MATCH(X79,PERKARA!$A$5:$A$104,0)),"ID TIDAK TERDAFTAR"))</f>
        <v/>
      </c>
      <c r="Z79" s="67" t="str">
        <f t="shared" si="19"/>
        <v/>
      </c>
      <c r="AA79" s="98"/>
      <c r="AB79" s="105"/>
      <c r="AC79" s="98"/>
      <c r="AD79" s="104" t="str">
        <f t="shared" si="20"/>
        <v/>
      </c>
    </row>
    <row r="80" spans="1:30">
      <c r="A80" s="9" t="str">
        <f t="shared" si="15"/>
        <v/>
      </c>
      <c r="B80" s="60"/>
      <c r="C80" s="6"/>
      <c r="D80" s="6"/>
      <c r="E80" s="6"/>
      <c r="F80" s="11"/>
      <c r="G80" s="11"/>
      <c r="H80" s="11"/>
      <c r="I80" s="11"/>
      <c r="J80" s="11"/>
      <c r="K80" s="12" t="str">
        <f t="shared" si="16"/>
        <v/>
      </c>
      <c r="L80" s="11"/>
      <c r="M80" s="11"/>
      <c r="N80" s="11"/>
      <c r="O80" s="11"/>
      <c r="P80" s="12" t="str">
        <f t="shared" si="17"/>
        <v/>
      </c>
      <c r="Q80" s="12" t="str">
        <f t="shared" si="18"/>
        <v/>
      </c>
      <c r="R80" s="6"/>
      <c r="S80" s="80"/>
      <c r="T80" s="6"/>
      <c r="U80" s="6"/>
      <c r="V80" s="103"/>
      <c r="W80" s="6"/>
      <c r="X80" s="64"/>
      <c r="Y80" s="67" t="str">
        <f>IF(X80="","",IFERROR(INDEX(PERKARA!$B$5:$B$104,MATCH(X80,PERKARA!$A$5:$A$104,0)),"ID TIDAK TERDAFTAR"))</f>
        <v/>
      </c>
      <c r="Z80" s="67" t="str">
        <f t="shared" si="19"/>
        <v/>
      </c>
      <c r="AA80" s="98"/>
      <c r="AB80" s="105"/>
      <c r="AC80" s="98"/>
      <c r="AD80" s="104" t="str">
        <f t="shared" si="20"/>
        <v/>
      </c>
    </row>
    <row r="81" spans="1:30">
      <c r="A81" s="9" t="str">
        <f t="shared" si="15"/>
        <v/>
      </c>
      <c r="B81" s="60"/>
      <c r="C81" s="6"/>
      <c r="D81" s="6"/>
      <c r="E81" s="6"/>
      <c r="F81" s="11"/>
      <c r="G81" s="11"/>
      <c r="H81" s="11"/>
      <c r="I81" s="11"/>
      <c r="J81" s="11"/>
      <c r="K81" s="12" t="str">
        <f t="shared" si="16"/>
        <v/>
      </c>
      <c r="L81" s="11"/>
      <c r="M81" s="11"/>
      <c r="N81" s="11"/>
      <c r="O81" s="11"/>
      <c r="P81" s="12" t="str">
        <f t="shared" si="17"/>
        <v/>
      </c>
      <c r="Q81" s="12" t="str">
        <f t="shared" si="18"/>
        <v/>
      </c>
      <c r="R81" s="6"/>
      <c r="S81" s="80"/>
      <c r="T81" s="6"/>
      <c r="U81" s="6"/>
      <c r="V81" s="103"/>
      <c r="W81" s="6"/>
      <c r="X81" s="64"/>
      <c r="Y81" s="67" t="str">
        <f>IF(X81="","",IFERROR(INDEX(PERKARA!$B$5:$B$104,MATCH(X81,PERKARA!$A$5:$A$104,0)),"ID TIDAK TERDAFTAR"))</f>
        <v/>
      </c>
      <c r="Z81" s="67" t="str">
        <f t="shared" si="19"/>
        <v/>
      </c>
      <c r="AA81" s="98"/>
      <c r="AB81" s="105"/>
      <c r="AC81" s="98"/>
      <c r="AD81" s="104" t="str">
        <f t="shared" si="20"/>
        <v/>
      </c>
    </row>
    <row r="82" spans="1:30">
      <c r="A82" s="9" t="str">
        <f t="shared" si="15"/>
        <v/>
      </c>
      <c r="B82" s="60"/>
      <c r="C82" s="6"/>
      <c r="D82" s="6"/>
      <c r="E82" s="6"/>
      <c r="F82" s="11"/>
      <c r="G82" s="11"/>
      <c r="H82" s="11"/>
      <c r="I82" s="11"/>
      <c r="J82" s="11"/>
      <c r="K82" s="12" t="str">
        <f t="shared" si="16"/>
        <v/>
      </c>
      <c r="L82" s="11"/>
      <c r="M82" s="11"/>
      <c r="N82" s="11"/>
      <c r="O82" s="11"/>
      <c r="P82" s="12" t="str">
        <f t="shared" si="17"/>
        <v/>
      </c>
      <c r="Q82" s="12" t="str">
        <f t="shared" si="18"/>
        <v/>
      </c>
      <c r="R82" s="6"/>
      <c r="S82" s="80"/>
      <c r="T82" s="6"/>
      <c r="U82" s="6"/>
      <c r="V82" s="103"/>
      <c r="W82" s="6"/>
      <c r="X82" s="64"/>
      <c r="Y82" s="67" t="str">
        <f>IF(X82="","",IFERROR(INDEX(PERKARA!$B$5:$B$104,MATCH(X82,PERKARA!$A$5:$A$104,0)),"ID TIDAK TERDAFTAR"))</f>
        <v/>
      </c>
      <c r="Z82" s="67" t="str">
        <f t="shared" si="19"/>
        <v/>
      </c>
      <c r="AA82" s="98"/>
      <c r="AB82" s="105"/>
      <c r="AC82" s="98"/>
      <c r="AD82" s="104" t="str">
        <f t="shared" si="20"/>
        <v/>
      </c>
    </row>
    <row r="83" spans="1:30">
      <c r="A83" s="9" t="str">
        <f t="shared" si="15"/>
        <v/>
      </c>
      <c r="B83" s="60"/>
      <c r="C83" s="6"/>
      <c r="D83" s="6"/>
      <c r="E83" s="6"/>
      <c r="F83" s="11"/>
      <c r="G83" s="11"/>
      <c r="H83" s="11"/>
      <c r="I83" s="11"/>
      <c r="J83" s="11"/>
      <c r="K83" s="12" t="str">
        <f t="shared" si="16"/>
        <v/>
      </c>
      <c r="L83" s="11"/>
      <c r="M83" s="11"/>
      <c r="N83" s="11"/>
      <c r="O83" s="11"/>
      <c r="P83" s="12" t="str">
        <f t="shared" si="17"/>
        <v/>
      </c>
      <c r="Q83" s="12" t="str">
        <f t="shared" si="18"/>
        <v/>
      </c>
      <c r="R83" s="6"/>
      <c r="S83" s="80"/>
      <c r="T83" s="6"/>
      <c r="U83" s="6"/>
      <c r="V83" s="103"/>
      <c r="W83" s="6"/>
      <c r="X83" s="64"/>
      <c r="Y83" s="67" t="str">
        <f>IF(X83="","",IFERROR(INDEX(PERKARA!$B$5:$B$104,MATCH(X83,PERKARA!$A$5:$A$104,0)),"ID TIDAK TERDAFTAR"))</f>
        <v/>
      </c>
      <c r="Z83" s="67" t="str">
        <f t="shared" si="19"/>
        <v/>
      </c>
      <c r="AA83" s="98"/>
      <c r="AB83" s="105"/>
      <c r="AC83" s="98"/>
      <c r="AD83" s="104" t="str">
        <f t="shared" si="20"/>
        <v/>
      </c>
    </row>
    <row r="84" spans="1:30">
      <c r="A84" s="9" t="str">
        <f t="shared" si="15"/>
        <v/>
      </c>
      <c r="B84" s="60"/>
      <c r="C84" s="6"/>
      <c r="D84" s="6"/>
      <c r="E84" s="6"/>
      <c r="F84" s="11"/>
      <c r="G84" s="11"/>
      <c r="H84" s="11"/>
      <c r="I84" s="11"/>
      <c r="J84" s="11"/>
      <c r="K84" s="12" t="str">
        <f t="shared" si="16"/>
        <v/>
      </c>
      <c r="L84" s="11"/>
      <c r="M84" s="11"/>
      <c r="N84" s="11"/>
      <c r="O84" s="11"/>
      <c r="P84" s="12" t="str">
        <f t="shared" si="17"/>
        <v/>
      </c>
      <c r="Q84" s="12" t="str">
        <f t="shared" si="18"/>
        <v/>
      </c>
      <c r="R84" s="6"/>
      <c r="S84" s="80"/>
      <c r="T84" s="6"/>
      <c r="U84" s="6"/>
      <c r="V84" s="103"/>
      <c r="W84" s="6"/>
      <c r="X84" s="64"/>
      <c r="Y84" s="67" t="str">
        <f>IF(X84="","",IFERROR(INDEX(PERKARA!$B$5:$B$104,MATCH(X84,PERKARA!$A$5:$A$104,0)),"ID TIDAK TERDAFTAR"))</f>
        <v/>
      </c>
      <c r="Z84" s="67" t="str">
        <f t="shared" si="19"/>
        <v/>
      </c>
      <c r="AA84" s="98"/>
      <c r="AB84" s="105"/>
      <c r="AC84" s="98"/>
      <c r="AD84" s="104" t="str">
        <f t="shared" si="20"/>
        <v/>
      </c>
    </row>
    <row r="85" spans="1:30">
      <c r="A85" s="9" t="str">
        <f t="shared" si="15"/>
        <v/>
      </c>
      <c r="B85" s="60"/>
      <c r="C85" s="6"/>
      <c r="D85" s="6"/>
      <c r="E85" s="6"/>
      <c r="F85" s="11"/>
      <c r="G85" s="11"/>
      <c r="H85" s="11"/>
      <c r="I85" s="11"/>
      <c r="J85" s="11"/>
      <c r="K85" s="12" t="str">
        <f t="shared" si="16"/>
        <v/>
      </c>
      <c r="L85" s="11"/>
      <c r="M85" s="11"/>
      <c r="N85" s="11"/>
      <c r="O85" s="11"/>
      <c r="P85" s="12" t="str">
        <f t="shared" si="17"/>
        <v/>
      </c>
      <c r="Q85" s="12" t="str">
        <f t="shared" si="18"/>
        <v/>
      </c>
      <c r="R85" s="6"/>
      <c r="S85" s="80"/>
      <c r="T85" s="6"/>
      <c r="U85" s="6"/>
      <c r="V85" s="103"/>
      <c r="W85" s="6"/>
      <c r="X85" s="64"/>
      <c r="Y85" s="67" t="str">
        <f>IF(X85="","",IFERROR(INDEX(PERKARA!$B$5:$B$104,MATCH(X85,PERKARA!$A$5:$A$104,0)),"ID TIDAK TERDAFTAR"))</f>
        <v/>
      </c>
      <c r="Z85" s="67" t="str">
        <f t="shared" si="19"/>
        <v/>
      </c>
      <c r="AA85" s="98"/>
      <c r="AB85" s="105"/>
      <c r="AC85" s="98"/>
      <c r="AD85" s="104" t="str">
        <f t="shared" si="20"/>
        <v/>
      </c>
    </row>
    <row r="86" spans="1:30">
      <c r="A86" s="9" t="str">
        <f t="shared" si="15"/>
        <v/>
      </c>
      <c r="B86" s="60"/>
      <c r="C86" s="6"/>
      <c r="D86" s="6"/>
      <c r="E86" s="6"/>
      <c r="F86" s="11"/>
      <c r="G86" s="11"/>
      <c r="H86" s="11"/>
      <c r="I86" s="11"/>
      <c r="J86" s="11"/>
      <c r="K86" s="12" t="str">
        <f t="shared" si="16"/>
        <v/>
      </c>
      <c r="L86" s="11"/>
      <c r="M86" s="11"/>
      <c r="N86" s="11"/>
      <c r="O86" s="11"/>
      <c r="P86" s="12" t="str">
        <f t="shared" si="17"/>
        <v/>
      </c>
      <c r="Q86" s="12" t="str">
        <f t="shared" si="18"/>
        <v/>
      </c>
      <c r="R86" s="6"/>
      <c r="S86" s="80"/>
      <c r="T86" s="6"/>
      <c r="U86" s="6"/>
      <c r="V86" s="103"/>
      <c r="W86" s="6"/>
      <c r="X86" s="64"/>
      <c r="Y86" s="67" t="str">
        <f>IF(X86="","",IFERROR(INDEX(PERKARA!$B$5:$B$104,MATCH(X86,PERKARA!$A$5:$A$104,0)),"ID TIDAK TERDAFTAR"))</f>
        <v/>
      </c>
      <c r="Z86" s="67" t="str">
        <f t="shared" si="19"/>
        <v/>
      </c>
      <c r="AA86" s="98"/>
      <c r="AB86" s="105"/>
      <c r="AC86" s="98"/>
      <c r="AD86" s="104" t="str">
        <f t="shared" si="20"/>
        <v/>
      </c>
    </row>
    <row r="87" spans="1:30">
      <c r="A87" s="9" t="str">
        <f t="shared" si="15"/>
        <v/>
      </c>
      <c r="B87" s="60"/>
      <c r="C87" s="6"/>
      <c r="D87" s="6"/>
      <c r="E87" s="6"/>
      <c r="F87" s="11"/>
      <c r="G87" s="11"/>
      <c r="H87" s="11"/>
      <c r="I87" s="11"/>
      <c r="J87" s="11"/>
      <c r="K87" s="12" t="str">
        <f t="shared" si="16"/>
        <v/>
      </c>
      <c r="L87" s="11"/>
      <c r="M87" s="11"/>
      <c r="N87" s="11"/>
      <c r="O87" s="11"/>
      <c r="P87" s="12" t="str">
        <f t="shared" si="17"/>
        <v/>
      </c>
      <c r="Q87" s="12" t="str">
        <f t="shared" si="18"/>
        <v/>
      </c>
      <c r="R87" s="6"/>
      <c r="S87" s="80"/>
      <c r="T87" s="6"/>
      <c r="U87" s="6"/>
      <c r="V87" s="103"/>
      <c r="W87" s="6"/>
      <c r="X87" s="64"/>
      <c r="Y87" s="67" t="str">
        <f>IF(X87="","",IFERROR(INDEX(PERKARA!$B$5:$B$104,MATCH(X87,PERKARA!$A$5:$A$104,0)),"ID TIDAK TERDAFTAR"))</f>
        <v/>
      </c>
      <c r="Z87" s="67" t="str">
        <f t="shared" si="19"/>
        <v/>
      </c>
      <c r="AA87" s="98"/>
      <c r="AB87" s="105"/>
      <c r="AC87" s="98"/>
      <c r="AD87" s="104" t="str">
        <f t="shared" si="20"/>
        <v/>
      </c>
    </row>
    <row r="88" spans="1:30">
      <c r="A88" s="9" t="str">
        <f t="shared" si="15"/>
        <v/>
      </c>
      <c r="B88" s="60"/>
      <c r="C88" s="6"/>
      <c r="D88" s="6"/>
      <c r="E88" s="6"/>
      <c r="F88" s="11"/>
      <c r="G88" s="11"/>
      <c r="H88" s="11"/>
      <c r="I88" s="11"/>
      <c r="J88" s="11"/>
      <c r="K88" s="12" t="str">
        <f t="shared" si="16"/>
        <v/>
      </c>
      <c r="L88" s="11"/>
      <c r="M88" s="11"/>
      <c r="N88" s="11"/>
      <c r="O88" s="11"/>
      <c r="P88" s="12" t="str">
        <f t="shared" si="17"/>
        <v/>
      </c>
      <c r="Q88" s="12" t="str">
        <f t="shared" si="18"/>
        <v/>
      </c>
      <c r="R88" s="6"/>
      <c r="S88" s="80"/>
      <c r="T88" s="6"/>
      <c r="U88" s="6"/>
      <c r="V88" s="103"/>
      <c r="W88" s="6"/>
      <c r="X88" s="64"/>
      <c r="Y88" s="67" t="str">
        <f>IF(X88="","",IFERROR(INDEX(PERKARA!$B$5:$B$104,MATCH(X88,PERKARA!$A$5:$A$104,0)),"ID TIDAK TERDAFTAR"))</f>
        <v/>
      </c>
      <c r="Z88" s="67" t="str">
        <f t="shared" si="19"/>
        <v/>
      </c>
      <c r="AA88" s="98"/>
      <c r="AB88" s="105"/>
      <c r="AC88" s="98"/>
      <c r="AD88" s="104" t="str">
        <f t="shared" si="20"/>
        <v/>
      </c>
    </row>
    <row r="89" spans="1:30">
      <c r="A89" s="9" t="str">
        <f t="shared" si="15"/>
        <v/>
      </c>
      <c r="B89" s="60"/>
      <c r="C89" s="6"/>
      <c r="D89" s="6"/>
      <c r="E89" s="6"/>
      <c r="F89" s="11"/>
      <c r="G89" s="11"/>
      <c r="H89" s="11"/>
      <c r="I89" s="11"/>
      <c r="J89" s="11"/>
      <c r="K89" s="12" t="str">
        <f t="shared" si="16"/>
        <v/>
      </c>
      <c r="L89" s="11"/>
      <c r="M89" s="11"/>
      <c r="N89" s="11"/>
      <c r="O89" s="11"/>
      <c r="P89" s="12" t="str">
        <f t="shared" si="17"/>
        <v/>
      </c>
      <c r="Q89" s="12" t="str">
        <f t="shared" si="18"/>
        <v/>
      </c>
      <c r="R89" s="6"/>
      <c r="S89" s="80"/>
      <c r="T89" s="6"/>
      <c r="U89" s="6"/>
      <c r="V89" s="103"/>
      <c r="W89" s="6"/>
      <c r="X89" s="64"/>
      <c r="Y89" s="67" t="str">
        <f>IF(X89="","",IFERROR(INDEX(PERKARA!$B$5:$B$104,MATCH(X89,PERKARA!$A$5:$A$104,0)),"ID TIDAK TERDAFTAR"))</f>
        <v/>
      </c>
      <c r="Z89" s="67" t="str">
        <f t="shared" si="19"/>
        <v/>
      </c>
      <c r="AA89" s="98"/>
      <c r="AB89" s="105"/>
      <c r="AC89" s="98"/>
      <c r="AD89" s="104" t="str">
        <f t="shared" si="20"/>
        <v/>
      </c>
    </row>
    <row r="90" spans="1:30">
      <c r="A90" s="9" t="str">
        <f t="shared" si="15"/>
        <v/>
      </c>
      <c r="B90" s="60"/>
      <c r="C90" s="6"/>
      <c r="D90" s="6"/>
      <c r="E90" s="6"/>
      <c r="F90" s="11"/>
      <c r="G90" s="11"/>
      <c r="H90" s="11"/>
      <c r="I90" s="11"/>
      <c r="J90" s="11"/>
      <c r="K90" s="12" t="str">
        <f t="shared" si="16"/>
        <v/>
      </c>
      <c r="L90" s="11"/>
      <c r="M90" s="11"/>
      <c r="N90" s="11"/>
      <c r="O90" s="11"/>
      <c r="P90" s="12" t="str">
        <f t="shared" si="17"/>
        <v/>
      </c>
      <c r="Q90" s="12" t="str">
        <f t="shared" si="18"/>
        <v/>
      </c>
      <c r="R90" s="6"/>
      <c r="S90" s="80"/>
      <c r="T90" s="6"/>
      <c r="U90" s="6"/>
      <c r="V90" s="103"/>
      <c r="W90" s="6"/>
      <c r="X90" s="64"/>
      <c r="Y90" s="67" t="str">
        <f>IF(X90="","",IFERROR(INDEX(PERKARA!$B$5:$B$104,MATCH(X90,PERKARA!$A$5:$A$104,0)),"ID TIDAK TERDAFTAR"))</f>
        <v/>
      </c>
      <c r="Z90" s="67" t="str">
        <f t="shared" si="19"/>
        <v/>
      </c>
      <c r="AA90" s="98"/>
      <c r="AB90" s="105"/>
      <c r="AC90" s="98"/>
      <c r="AD90" s="104" t="str">
        <f t="shared" si="20"/>
        <v/>
      </c>
    </row>
    <row r="91" spans="1:30">
      <c r="A91" s="9" t="str">
        <f t="shared" si="15"/>
        <v/>
      </c>
      <c r="B91" s="60"/>
      <c r="C91" s="6"/>
      <c r="D91" s="6"/>
      <c r="E91" s="6"/>
      <c r="F91" s="11"/>
      <c r="G91" s="11"/>
      <c r="H91" s="11"/>
      <c r="I91" s="11"/>
      <c r="J91" s="11"/>
      <c r="K91" s="12" t="str">
        <f t="shared" si="16"/>
        <v/>
      </c>
      <c r="L91" s="11"/>
      <c r="M91" s="11"/>
      <c r="N91" s="11"/>
      <c r="O91" s="11"/>
      <c r="P91" s="12" t="str">
        <f t="shared" si="17"/>
        <v/>
      </c>
      <c r="Q91" s="12" t="str">
        <f t="shared" si="18"/>
        <v/>
      </c>
      <c r="R91" s="6"/>
      <c r="S91" s="80"/>
      <c r="T91" s="6"/>
      <c r="U91" s="6"/>
      <c r="V91" s="103"/>
      <c r="W91" s="6"/>
      <c r="X91" s="64"/>
      <c r="Y91" s="67" t="str">
        <f>IF(X91="","",IFERROR(INDEX(PERKARA!$B$5:$B$104,MATCH(X91,PERKARA!$A$5:$A$104,0)),"ID TIDAK TERDAFTAR"))</f>
        <v/>
      </c>
      <c r="Z91" s="67" t="str">
        <f t="shared" si="19"/>
        <v/>
      </c>
      <c r="AA91" s="98"/>
      <c r="AB91" s="105"/>
      <c r="AC91" s="98"/>
      <c r="AD91" s="104" t="str">
        <f t="shared" si="20"/>
        <v/>
      </c>
    </row>
    <row r="92" spans="1:30">
      <c r="A92" s="9" t="str">
        <f t="shared" si="15"/>
        <v/>
      </c>
      <c r="B92" s="60"/>
      <c r="C92" s="6"/>
      <c r="D92" s="6"/>
      <c r="E92" s="6"/>
      <c r="F92" s="11"/>
      <c r="G92" s="11"/>
      <c r="H92" s="11"/>
      <c r="I92" s="11"/>
      <c r="J92" s="11"/>
      <c r="K92" s="12" t="str">
        <f t="shared" si="16"/>
        <v/>
      </c>
      <c r="L92" s="11"/>
      <c r="M92" s="11"/>
      <c r="N92" s="11"/>
      <c r="O92" s="11"/>
      <c r="P92" s="12" t="str">
        <f t="shared" si="17"/>
        <v/>
      </c>
      <c r="Q92" s="12" t="str">
        <f t="shared" si="18"/>
        <v/>
      </c>
      <c r="R92" s="6"/>
      <c r="S92" s="80"/>
      <c r="T92" s="6"/>
      <c r="U92" s="6"/>
      <c r="V92" s="103"/>
      <c r="W92" s="6"/>
      <c r="X92" s="64"/>
      <c r="Y92" s="67" t="str">
        <f>IF(X92="","",IFERROR(INDEX(PERKARA!$B$5:$B$104,MATCH(X92,PERKARA!$A$5:$A$104,0)),"ID TIDAK TERDAFTAR"))</f>
        <v/>
      </c>
      <c r="Z92" s="67" t="str">
        <f t="shared" si="19"/>
        <v/>
      </c>
      <c r="AA92" s="98"/>
      <c r="AB92" s="105"/>
      <c r="AC92" s="98"/>
      <c r="AD92" s="104" t="str">
        <f t="shared" si="20"/>
        <v/>
      </c>
    </row>
    <row r="93" spans="1:30">
      <c r="A93" s="9" t="str">
        <f t="shared" si="15"/>
        <v/>
      </c>
      <c r="B93" s="60"/>
      <c r="C93" s="6"/>
      <c r="D93" s="6"/>
      <c r="E93" s="6"/>
      <c r="F93" s="11"/>
      <c r="G93" s="11"/>
      <c r="H93" s="11"/>
      <c r="I93" s="11"/>
      <c r="J93" s="11"/>
      <c r="K93" s="12" t="str">
        <f t="shared" si="16"/>
        <v/>
      </c>
      <c r="L93" s="11"/>
      <c r="M93" s="11"/>
      <c r="N93" s="11"/>
      <c r="O93" s="11"/>
      <c r="P93" s="12" t="str">
        <f t="shared" si="17"/>
        <v/>
      </c>
      <c r="Q93" s="12" t="str">
        <f t="shared" si="18"/>
        <v/>
      </c>
      <c r="R93" s="6"/>
      <c r="S93" s="80"/>
      <c r="T93" s="6"/>
      <c r="U93" s="6"/>
      <c r="V93" s="103"/>
      <c r="W93" s="6"/>
      <c r="X93" s="64"/>
      <c r="Y93" s="67" t="str">
        <f>IF(X93="","",IFERROR(INDEX(PERKARA!$B$5:$B$104,MATCH(X93,PERKARA!$A$5:$A$104,0)),"ID TIDAK TERDAFTAR"))</f>
        <v/>
      </c>
      <c r="Z93" s="67" t="str">
        <f t="shared" si="19"/>
        <v/>
      </c>
      <c r="AA93" s="98"/>
      <c r="AB93" s="105"/>
      <c r="AC93" s="98"/>
      <c r="AD93" s="104" t="str">
        <f t="shared" si="20"/>
        <v/>
      </c>
    </row>
    <row r="94" spans="1:30">
      <c r="A94" s="9" t="str">
        <f t="shared" si="15"/>
        <v/>
      </c>
      <c r="B94" s="60"/>
      <c r="C94" s="6"/>
      <c r="D94" s="6"/>
      <c r="E94" s="6"/>
      <c r="F94" s="11"/>
      <c r="G94" s="11"/>
      <c r="H94" s="11"/>
      <c r="I94" s="11"/>
      <c r="J94" s="11"/>
      <c r="K94" s="12" t="str">
        <f t="shared" si="16"/>
        <v/>
      </c>
      <c r="L94" s="11"/>
      <c r="M94" s="11"/>
      <c r="N94" s="11"/>
      <c r="O94" s="11"/>
      <c r="P94" s="12" t="str">
        <f t="shared" si="17"/>
        <v/>
      </c>
      <c r="Q94" s="12" t="str">
        <f t="shared" si="18"/>
        <v/>
      </c>
      <c r="R94" s="6"/>
      <c r="S94" s="80"/>
      <c r="T94" s="6"/>
      <c r="U94" s="6"/>
      <c r="V94" s="103"/>
      <c r="W94" s="6"/>
      <c r="X94" s="64"/>
      <c r="Y94" s="67" t="str">
        <f>IF(X94="","",IFERROR(INDEX(PERKARA!$B$5:$B$104,MATCH(X94,PERKARA!$A$5:$A$104,0)),"ID TIDAK TERDAFTAR"))</f>
        <v/>
      </c>
      <c r="Z94" s="67" t="str">
        <f t="shared" si="19"/>
        <v/>
      </c>
      <c r="AA94" s="98"/>
      <c r="AB94" s="105"/>
      <c r="AC94" s="98"/>
      <c r="AD94" s="104" t="str">
        <f t="shared" si="20"/>
        <v/>
      </c>
    </row>
    <row r="95" spans="1:30">
      <c r="A95" s="9" t="str">
        <f t="shared" si="15"/>
        <v/>
      </c>
      <c r="B95" s="60"/>
      <c r="C95" s="6"/>
      <c r="D95" s="6"/>
      <c r="E95" s="6"/>
      <c r="F95" s="11"/>
      <c r="G95" s="11"/>
      <c r="H95" s="11"/>
      <c r="I95" s="11"/>
      <c r="J95" s="11"/>
      <c r="K95" s="12" t="str">
        <f t="shared" si="16"/>
        <v/>
      </c>
      <c r="L95" s="11"/>
      <c r="M95" s="11"/>
      <c r="N95" s="11"/>
      <c r="O95" s="11"/>
      <c r="P95" s="12" t="str">
        <f t="shared" si="17"/>
        <v/>
      </c>
      <c r="Q95" s="12" t="str">
        <f t="shared" si="18"/>
        <v/>
      </c>
      <c r="R95" s="6"/>
      <c r="S95" s="80"/>
      <c r="T95" s="6"/>
      <c r="U95" s="6"/>
      <c r="V95" s="103"/>
      <c r="W95" s="6"/>
      <c r="X95" s="64"/>
      <c r="Y95" s="67" t="str">
        <f>IF(X95="","",IFERROR(INDEX(PERKARA!$B$5:$B$104,MATCH(X95,PERKARA!$A$5:$A$104,0)),"ID TIDAK TERDAFTAR"))</f>
        <v/>
      </c>
      <c r="Z95" s="67" t="str">
        <f t="shared" si="19"/>
        <v/>
      </c>
      <c r="AA95" s="98"/>
      <c r="AB95" s="105"/>
      <c r="AC95" s="98"/>
      <c r="AD95" s="104" t="str">
        <f t="shared" si="20"/>
        <v/>
      </c>
    </row>
    <row r="96" spans="1:30">
      <c r="A96" s="9" t="str">
        <f t="shared" si="15"/>
        <v/>
      </c>
      <c r="B96" s="60"/>
      <c r="C96" s="6"/>
      <c r="D96" s="6"/>
      <c r="E96" s="6"/>
      <c r="F96" s="11"/>
      <c r="G96" s="11"/>
      <c r="H96" s="11"/>
      <c r="I96" s="11"/>
      <c r="J96" s="11"/>
      <c r="K96" s="12" t="str">
        <f t="shared" si="16"/>
        <v/>
      </c>
      <c r="L96" s="11"/>
      <c r="M96" s="11"/>
      <c r="N96" s="11"/>
      <c r="O96" s="11"/>
      <c r="P96" s="12" t="str">
        <f t="shared" si="17"/>
        <v/>
      </c>
      <c r="Q96" s="12" t="str">
        <f t="shared" si="18"/>
        <v/>
      </c>
      <c r="R96" s="6"/>
      <c r="S96" s="80"/>
      <c r="T96" s="6"/>
      <c r="U96" s="6"/>
      <c r="V96" s="103"/>
      <c r="W96" s="6"/>
      <c r="X96" s="64"/>
      <c r="Y96" s="67" t="str">
        <f>IF(X96="","",IFERROR(INDEX(PERKARA!$B$5:$B$104,MATCH(X96,PERKARA!$A$5:$A$104,0)),"ID TIDAK TERDAFTAR"))</f>
        <v/>
      </c>
      <c r="Z96" s="67" t="str">
        <f t="shared" si="19"/>
        <v/>
      </c>
      <c r="AA96" s="98"/>
      <c r="AB96" s="105"/>
      <c r="AC96" s="98"/>
      <c r="AD96" s="104" t="str">
        <f t="shared" si="20"/>
        <v/>
      </c>
    </row>
    <row r="97" spans="1:30">
      <c r="A97" s="9" t="str">
        <f t="shared" si="15"/>
        <v/>
      </c>
      <c r="B97" s="60"/>
      <c r="C97" s="6"/>
      <c r="D97" s="6"/>
      <c r="E97" s="6"/>
      <c r="F97" s="11"/>
      <c r="G97" s="11"/>
      <c r="H97" s="11"/>
      <c r="I97" s="11"/>
      <c r="J97" s="11"/>
      <c r="K97" s="12" t="str">
        <f t="shared" si="16"/>
        <v/>
      </c>
      <c r="L97" s="11"/>
      <c r="M97" s="11"/>
      <c r="N97" s="11"/>
      <c r="O97" s="11"/>
      <c r="P97" s="12" t="str">
        <f t="shared" si="17"/>
        <v/>
      </c>
      <c r="Q97" s="12" t="str">
        <f t="shared" si="18"/>
        <v/>
      </c>
      <c r="R97" s="6"/>
      <c r="S97" s="80"/>
      <c r="T97" s="6"/>
      <c r="U97" s="6"/>
      <c r="V97" s="103"/>
      <c r="W97" s="6"/>
      <c r="X97" s="64"/>
      <c r="Y97" s="67" t="str">
        <f>IF(X97="","",IFERROR(INDEX(PERKARA!$B$5:$B$104,MATCH(X97,PERKARA!$A$5:$A$104,0)),"ID TIDAK TERDAFTAR"))</f>
        <v/>
      </c>
      <c r="Z97" s="67" t="str">
        <f t="shared" si="19"/>
        <v/>
      </c>
      <c r="AA97" s="98"/>
      <c r="AB97" s="105"/>
      <c r="AC97" s="98"/>
      <c r="AD97" s="104" t="str">
        <f t="shared" si="20"/>
        <v/>
      </c>
    </row>
    <row r="98" spans="1:30">
      <c r="A98" s="9" t="str">
        <f t="shared" si="15"/>
        <v/>
      </c>
      <c r="B98" s="60"/>
      <c r="C98" s="6"/>
      <c r="D98" s="6"/>
      <c r="E98" s="6"/>
      <c r="F98" s="11"/>
      <c r="G98" s="11"/>
      <c r="H98" s="11"/>
      <c r="I98" s="11"/>
      <c r="J98" s="11"/>
      <c r="K98" s="12" t="str">
        <f t="shared" si="16"/>
        <v/>
      </c>
      <c r="L98" s="11"/>
      <c r="M98" s="11"/>
      <c r="N98" s="11"/>
      <c r="O98" s="11"/>
      <c r="P98" s="12" t="str">
        <f t="shared" si="17"/>
        <v/>
      </c>
      <c r="Q98" s="12" t="str">
        <f t="shared" si="18"/>
        <v/>
      </c>
      <c r="R98" s="6"/>
      <c r="S98" s="80"/>
      <c r="T98" s="6"/>
      <c r="U98" s="6"/>
      <c r="V98" s="103"/>
      <c r="W98" s="6"/>
      <c r="X98" s="64"/>
      <c r="Y98" s="67" t="str">
        <f>IF(X98="","",IFERROR(INDEX(PERKARA!$B$5:$B$104,MATCH(X98,PERKARA!$A$5:$A$104,0)),"ID TIDAK TERDAFTAR"))</f>
        <v/>
      </c>
      <c r="Z98" s="67" t="str">
        <f t="shared" si="19"/>
        <v/>
      </c>
      <c r="AA98" s="98"/>
      <c r="AB98" s="105"/>
      <c r="AC98" s="98"/>
      <c r="AD98" s="104" t="str">
        <f t="shared" si="20"/>
        <v/>
      </c>
    </row>
    <row r="99" spans="1:30">
      <c r="A99" s="9" t="str">
        <f t="shared" si="15"/>
        <v/>
      </c>
      <c r="B99" s="60"/>
      <c r="C99" s="6"/>
      <c r="D99" s="6"/>
      <c r="E99" s="6"/>
      <c r="F99" s="11"/>
      <c r="G99" s="11"/>
      <c r="H99" s="11"/>
      <c r="I99" s="11"/>
      <c r="J99" s="11"/>
      <c r="K99" s="12" t="str">
        <f t="shared" si="16"/>
        <v/>
      </c>
      <c r="L99" s="11"/>
      <c r="M99" s="11"/>
      <c r="N99" s="11"/>
      <c r="O99" s="11"/>
      <c r="P99" s="12" t="str">
        <f t="shared" si="17"/>
        <v/>
      </c>
      <c r="Q99" s="12" t="str">
        <f t="shared" si="18"/>
        <v/>
      </c>
      <c r="R99" s="6"/>
      <c r="S99" s="80"/>
      <c r="T99" s="6"/>
      <c r="U99" s="6"/>
      <c r="V99" s="103"/>
      <c r="W99" s="6"/>
      <c r="X99" s="64"/>
      <c r="Y99" s="67" t="str">
        <f>IF(X99="","",IFERROR(INDEX(PERKARA!$B$5:$B$104,MATCH(X99,PERKARA!$A$5:$A$104,0)),"ID TIDAK TERDAFTAR"))</f>
        <v/>
      </c>
      <c r="Z99" s="67" t="str">
        <f t="shared" si="19"/>
        <v/>
      </c>
      <c r="AA99" s="98"/>
      <c r="AB99" s="105"/>
      <c r="AC99" s="98"/>
      <c r="AD99" s="104" t="str">
        <f t="shared" si="20"/>
        <v/>
      </c>
    </row>
    <row r="100" spans="1:30">
      <c r="A100" s="9" t="str">
        <f t="shared" si="15"/>
        <v/>
      </c>
      <c r="B100" s="60"/>
      <c r="C100" s="6"/>
      <c r="D100" s="6"/>
      <c r="E100" s="6"/>
      <c r="F100" s="11"/>
      <c r="G100" s="11"/>
      <c r="H100" s="11"/>
      <c r="I100" s="11"/>
      <c r="J100" s="11"/>
      <c r="K100" s="12" t="str">
        <f t="shared" si="16"/>
        <v/>
      </c>
      <c r="L100" s="11"/>
      <c r="M100" s="11"/>
      <c r="N100" s="11"/>
      <c r="O100" s="11"/>
      <c r="P100" s="12" t="str">
        <f t="shared" si="17"/>
        <v/>
      </c>
      <c r="Q100" s="12" t="str">
        <f t="shared" si="18"/>
        <v/>
      </c>
      <c r="R100" s="6"/>
      <c r="S100" s="80"/>
      <c r="T100" s="6"/>
      <c r="U100" s="6"/>
      <c r="V100" s="103"/>
      <c r="W100" s="6"/>
      <c r="X100" s="64"/>
      <c r="Y100" s="67" t="str">
        <f>IF(X100="","",IFERROR(INDEX(PERKARA!$B$5:$B$104,MATCH(X100,PERKARA!$A$5:$A$104,0)),"ID TIDAK TERDAFTAR"))</f>
        <v/>
      </c>
      <c r="Z100" s="67" t="str">
        <f t="shared" si="19"/>
        <v/>
      </c>
      <c r="AA100" s="98"/>
      <c r="AB100" s="105"/>
      <c r="AC100" s="98"/>
      <c r="AD100" s="104" t="str">
        <f t="shared" si="20"/>
        <v/>
      </c>
    </row>
    <row r="101" spans="1:30">
      <c r="A101" s="9" t="str">
        <f t="shared" ref="A101:A124" si="21">IF(B101="","",IFERROR("PAY-"&amp;TEXT(B101,"yyyymm")&amp;"-"&amp;TEXT(ROW()-4,"000"),"PERIODE HARUS TANGGAL"))</f>
        <v/>
      </c>
      <c r="B101" s="60"/>
      <c r="C101" s="6"/>
      <c r="D101" s="6"/>
      <c r="E101" s="6"/>
      <c r="F101" s="11"/>
      <c r="G101" s="11"/>
      <c r="H101" s="11"/>
      <c r="I101" s="11"/>
      <c r="J101" s="11"/>
      <c r="K101" s="12" t="str">
        <f t="shared" ref="K101:K124" si="22">IF(B101="","",SUM(F101:J101))</f>
        <v/>
      </c>
      <c r="L101" s="11"/>
      <c r="M101" s="11"/>
      <c r="N101" s="11"/>
      <c r="O101" s="11"/>
      <c r="P101" s="12" t="str">
        <f t="shared" ref="P101:P124" si="23">IF(B101="","",MAX(K101-SUM(L101:N101),0))</f>
        <v/>
      </c>
      <c r="Q101" s="12" t="str">
        <f t="shared" ref="Q101:Q124" si="24">IF(B101="","",K101+O101)</f>
        <v/>
      </c>
      <c r="R101" s="6"/>
      <c r="S101" s="80"/>
      <c r="T101" s="6"/>
      <c r="U101" s="6"/>
      <c r="V101" s="103"/>
      <c r="W101" s="6"/>
      <c r="X101" s="64"/>
      <c r="Y101" s="67" t="str">
        <f>IF(X101="","",IFERROR(INDEX(PERKARA!$B$5:$B$104,MATCH(X101,PERKARA!$A$5:$A$104,0)),"ID TIDAK TERDAFTAR"))</f>
        <v/>
      </c>
      <c r="Z101" s="67" t="str">
        <f t="shared" ref="Z101:Z124" si="25">IF(B101="","",IF(A101="PERIODE HARUS TANGGAL","PERIODE TIDAK VALID",IF(COUNTIF($A$5:$A$124,A101)&gt;1,"ID PAYROLL DUPLIKAT",IF(AND(X101&lt;&gt;"",Y101="ID TIDAK TERDAFTAR"),"PERKARA TIDAK VALID",IF(AND(R101="Dibayar",T101=""),"AKUN PEMBAYARAN BELUM DIISI",IF(AND(R101="Dibayar",S101=""),"TANGGAL PEMBAYARAN BELUM DIISI",IF(AND(R101="Dibayar",AD101&lt;&gt;"LENGKAP"),"DIBAYAR TANPA OTORISASI","OK")))))))</f>
        <v/>
      </c>
      <c r="AA101" s="98"/>
      <c r="AB101" s="105"/>
      <c r="AC101" s="98"/>
      <c r="AD101" s="104" t="str">
        <f t="shared" ref="AD101:AD124" si="26">IF(B101="","",IF(AA101="Ditolak","DITOLAK",IF(AND(AA101="Disetujui",V101&lt;&gt;""),"LENGKAP",IF(AA101="Disetujui","NAMA PENYETUJU BELUM DIISI","MENUNGGU PERSETUJUAN MANUAL"))))</f>
        <v/>
      </c>
    </row>
    <row r="102" spans="1:30">
      <c r="A102" s="9" t="str">
        <f t="shared" si="21"/>
        <v/>
      </c>
      <c r="B102" s="60"/>
      <c r="C102" s="6"/>
      <c r="D102" s="6"/>
      <c r="E102" s="6"/>
      <c r="F102" s="11"/>
      <c r="G102" s="11"/>
      <c r="H102" s="11"/>
      <c r="I102" s="11"/>
      <c r="J102" s="11"/>
      <c r="K102" s="12" t="str">
        <f t="shared" si="22"/>
        <v/>
      </c>
      <c r="L102" s="11"/>
      <c r="M102" s="11"/>
      <c r="N102" s="11"/>
      <c r="O102" s="11"/>
      <c r="P102" s="12" t="str">
        <f t="shared" si="23"/>
        <v/>
      </c>
      <c r="Q102" s="12" t="str">
        <f t="shared" si="24"/>
        <v/>
      </c>
      <c r="R102" s="6"/>
      <c r="S102" s="80"/>
      <c r="T102" s="6"/>
      <c r="U102" s="6"/>
      <c r="V102" s="103"/>
      <c r="W102" s="6"/>
      <c r="X102" s="64"/>
      <c r="Y102" s="67" t="str">
        <f>IF(X102="","",IFERROR(INDEX(PERKARA!$B$5:$B$104,MATCH(X102,PERKARA!$A$5:$A$104,0)),"ID TIDAK TERDAFTAR"))</f>
        <v/>
      </c>
      <c r="Z102" s="67" t="str">
        <f t="shared" si="25"/>
        <v/>
      </c>
      <c r="AA102" s="98"/>
      <c r="AB102" s="105"/>
      <c r="AC102" s="98"/>
      <c r="AD102" s="104" t="str">
        <f t="shared" si="26"/>
        <v/>
      </c>
    </row>
    <row r="103" spans="1:30">
      <c r="A103" s="9" t="str">
        <f t="shared" si="21"/>
        <v/>
      </c>
      <c r="B103" s="60"/>
      <c r="C103" s="6"/>
      <c r="D103" s="6"/>
      <c r="E103" s="6"/>
      <c r="F103" s="11"/>
      <c r="G103" s="11"/>
      <c r="H103" s="11"/>
      <c r="I103" s="11"/>
      <c r="J103" s="11"/>
      <c r="K103" s="12" t="str">
        <f t="shared" si="22"/>
        <v/>
      </c>
      <c r="L103" s="11"/>
      <c r="M103" s="11"/>
      <c r="N103" s="11"/>
      <c r="O103" s="11"/>
      <c r="P103" s="12" t="str">
        <f t="shared" si="23"/>
        <v/>
      </c>
      <c r="Q103" s="12" t="str">
        <f t="shared" si="24"/>
        <v/>
      </c>
      <c r="R103" s="6"/>
      <c r="S103" s="80"/>
      <c r="T103" s="6"/>
      <c r="U103" s="6"/>
      <c r="V103" s="103"/>
      <c r="W103" s="6"/>
      <c r="X103" s="64"/>
      <c r="Y103" s="67" t="str">
        <f>IF(X103="","",IFERROR(INDEX(PERKARA!$B$5:$B$104,MATCH(X103,PERKARA!$A$5:$A$104,0)),"ID TIDAK TERDAFTAR"))</f>
        <v/>
      </c>
      <c r="Z103" s="67" t="str">
        <f t="shared" si="25"/>
        <v/>
      </c>
      <c r="AA103" s="98"/>
      <c r="AB103" s="105"/>
      <c r="AC103" s="98"/>
      <c r="AD103" s="104" t="str">
        <f t="shared" si="26"/>
        <v/>
      </c>
    </row>
    <row r="104" spans="1:30">
      <c r="A104" s="9" t="str">
        <f t="shared" si="21"/>
        <v/>
      </c>
      <c r="B104" s="60"/>
      <c r="C104" s="6"/>
      <c r="D104" s="6"/>
      <c r="E104" s="6"/>
      <c r="F104" s="11"/>
      <c r="G104" s="11"/>
      <c r="H104" s="11"/>
      <c r="I104" s="11"/>
      <c r="J104" s="11"/>
      <c r="K104" s="12" t="str">
        <f t="shared" si="22"/>
        <v/>
      </c>
      <c r="L104" s="11"/>
      <c r="M104" s="11"/>
      <c r="N104" s="11"/>
      <c r="O104" s="11"/>
      <c r="P104" s="12" t="str">
        <f t="shared" si="23"/>
        <v/>
      </c>
      <c r="Q104" s="12" t="str">
        <f t="shared" si="24"/>
        <v/>
      </c>
      <c r="R104" s="6"/>
      <c r="S104" s="80"/>
      <c r="T104" s="6"/>
      <c r="U104" s="6"/>
      <c r="V104" s="103"/>
      <c r="W104" s="6"/>
      <c r="X104" s="64"/>
      <c r="Y104" s="67" t="str">
        <f>IF(X104="","",IFERROR(INDEX(PERKARA!$B$5:$B$104,MATCH(X104,PERKARA!$A$5:$A$104,0)),"ID TIDAK TERDAFTAR"))</f>
        <v/>
      </c>
      <c r="Z104" s="67" t="str">
        <f t="shared" si="25"/>
        <v/>
      </c>
      <c r="AA104" s="98"/>
      <c r="AB104" s="105"/>
      <c r="AC104" s="98"/>
      <c r="AD104" s="104" t="str">
        <f t="shared" si="26"/>
        <v/>
      </c>
    </row>
    <row r="105" spans="1:30">
      <c r="A105" s="9" t="str">
        <f t="shared" si="21"/>
        <v/>
      </c>
      <c r="B105" s="60"/>
      <c r="C105" s="6"/>
      <c r="D105" s="6"/>
      <c r="E105" s="6"/>
      <c r="F105" s="11"/>
      <c r="G105" s="11"/>
      <c r="H105" s="11"/>
      <c r="I105" s="11"/>
      <c r="J105" s="11"/>
      <c r="K105" s="12" t="str">
        <f t="shared" si="22"/>
        <v/>
      </c>
      <c r="L105" s="11"/>
      <c r="M105" s="11"/>
      <c r="N105" s="11"/>
      <c r="O105" s="11"/>
      <c r="P105" s="12" t="str">
        <f t="shared" si="23"/>
        <v/>
      </c>
      <c r="Q105" s="12" t="str">
        <f t="shared" si="24"/>
        <v/>
      </c>
      <c r="R105" s="6"/>
      <c r="S105" s="80"/>
      <c r="T105" s="6"/>
      <c r="U105" s="6"/>
      <c r="V105" s="103"/>
      <c r="W105" s="6"/>
      <c r="X105" s="64"/>
      <c r="Y105" s="67" t="str">
        <f>IF(X105="","",IFERROR(INDEX(PERKARA!$B$5:$B$104,MATCH(X105,PERKARA!$A$5:$A$104,0)),"ID TIDAK TERDAFTAR"))</f>
        <v/>
      </c>
      <c r="Z105" s="67" t="str">
        <f t="shared" si="25"/>
        <v/>
      </c>
      <c r="AA105" s="98"/>
      <c r="AB105" s="105"/>
      <c r="AC105" s="98"/>
      <c r="AD105" s="104" t="str">
        <f t="shared" si="26"/>
        <v/>
      </c>
    </row>
    <row r="106" spans="1:30">
      <c r="A106" s="9" t="str">
        <f t="shared" si="21"/>
        <v/>
      </c>
      <c r="B106" s="60"/>
      <c r="C106" s="6"/>
      <c r="D106" s="6"/>
      <c r="E106" s="6"/>
      <c r="F106" s="11"/>
      <c r="G106" s="11"/>
      <c r="H106" s="11"/>
      <c r="I106" s="11"/>
      <c r="J106" s="11"/>
      <c r="K106" s="12" t="str">
        <f t="shared" si="22"/>
        <v/>
      </c>
      <c r="L106" s="11"/>
      <c r="M106" s="11"/>
      <c r="N106" s="11"/>
      <c r="O106" s="11"/>
      <c r="P106" s="12" t="str">
        <f t="shared" si="23"/>
        <v/>
      </c>
      <c r="Q106" s="12" t="str">
        <f t="shared" si="24"/>
        <v/>
      </c>
      <c r="R106" s="6"/>
      <c r="S106" s="80"/>
      <c r="T106" s="6"/>
      <c r="U106" s="6"/>
      <c r="V106" s="103"/>
      <c r="W106" s="6"/>
      <c r="X106" s="64"/>
      <c r="Y106" s="67" t="str">
        <f>IF(X106="","",IFERROR(INDEX(PERKARA!$B$5:$B$104,MATCH(X106,PERKARA!$A$5:$A$104,0)),"ID TIDAK TERDAFTAR"))</f>
        <v/>
      </c>
      <c r="Z106" s="67" t="str">
        <f t="shared" si="25"/>
        <v/>
      </c>
      <c r="AA106" s="98"/>
      <c r="AB106" s="105"/>
      <c r="AC106" s="98"/>
      <c r="AD106" s="104" t="str">
        <f t="shared" si="26"/>
        <v/>
      </c>
    </row>
    <row r="107" spans="1:30">
      <c r="A107" s="9" t="str">
        <f t="shared" si="21"/>
        <v/>
      </c>
      <c r="B107" s="60"/>
      <c r="C107" s="6"/>
      <c r="D107" s="6"/>
      <c r="E107" s="6"/>
      <c r="F107" s="11"/>
      <c r="G107" s="11"/>
      <c r="H107" s="11"/>
      <c r="I107" s="11"/>
      <c r="J107" s="11"/>
      <c r="K107" s="12" t="str">
        <f t="shared" si="22"/>
        <v/>
      </c>
      <c r="L107" s="11"/>
      <c r="M107" s="11"/>
      <c r="N107" s="11"/>
      <c r="O107" s="11"/>
      <c r="P107" s="12" t="str">
        <f t="shared" si="23"/>
        <v/>
      </c>
      <c r="Q107" s="12" t="str">
        <f t="shared" si="24"/>
        <v/>
      </c>
      <c r="R107" s="6"/>
      <c r="S107" s="80"/>
      <c r="T107" s="6"/>
      <c r="U107" s="6"/>
      <c r="V107" s="103"/>
      <c r="W107" s="6"/>
      <c r="X107" s="64"/>
      <c r="Y107" s="67" t="str">
        <f>IF(X107="","",IFERROR(INDEX(PERKARA!$B$5:$B$104,MATCH(X107,PERKARA!$A$5:$A$104,0)),"ID TIDAK TERDAFTAR"))</f>
        <v/>
      </c>
      <c r="Z107" s="67" t="str">
        <f t="shared" si="25"/>
        <v/>
      </c>
      <c r="AA107" s="98"/>
      <c r="AB107" s="105"/>
      <c r="AC107" s="98"/>
      <c r="AD107" s="104" t="str">
        <f t="shared" si="26"/>
        <v/>
      </c>
    </row>
    <row r="108" spans="1:30">
      <c r="A108" s="9" t="str">
        <f t="shared" si="21"/>
        <v/>
      </c>
      <c r="B108" s="60"/>
      <c r="C108" s="6"/>
      <c r="D108" s="6"/>
      <c r="E108" s="6"/>
      <c r="F108" s="11"/>
      <c r="G108" s="11"/>
      <c r="H108" s="11"/>
      <c r="I108" s="11"/>
      <c r="J108" s="11"/>
      <c r="K108" s="12" t="str">
        <f t="shared" si="22"/>
        <v/>
      </c>
      <c r="L108" s="11"/>
      <c r="M108" s="11"/>
      <c r="N108" s="11"/>
      <c r="O108" s="11"/>
      <c r="P108" s="12" t="str">
        <f t="shared" si="23"/>
        <v/>
      </c>
      <c r="Q108" s="12" t="str">
        <f t="shared" si="24"/>
        <v/>
      </c>
      <c r="R108" s="6"/>
      <c r="S108" s="80"/>
      <c r="T108" s="6"/>
      <c r="U108" s="6"/>
      <c r="V108" s="103"/>
      <c r="W108" s="6"/>
      <c r="X108" s="64"/>
      <c r="Y108" s="67" t="str">
        <f>IF(X108="","",IFERROR(INDEX(PERKARA!$B$5:$B$104,MATCH(X108,PERKARA!$A$5:$A$104,0)),"ID TIDAK TERDAFTAR"))</f>
        <v/>
      </c>
      <c r="Z108" s="67" t="str">
        <f t="shared" si="25"/>
        <v/>
      </c>
      <c r="AA108" s="98"/>
      <c r="AB108" s="105"/>
      <c r="AC108" s="98"/>
      <c r="AD108" s="104" t="str">
        <f t="shared" si="26"/>
        <v/>
      </c>
    </row>
    <row r="109" spans="1:30">
      <c r="A109" s="9" t="str">
        <f t="shared" si="21"/>
        <v/>
      </c>
      <c r="B109" s="60"/>
      <c r="C109" s="6"/>
      <c r="D109" s="6"/>
      <c r="E109" s="6"/>
      <c r="F109" s="11"/>
      <c r="G109" s="11"/>
      <c r="H109" s="11"/>
      <c r="I109" s="11"/>
      <c r="J109" s="11"/>
      <c r="K109" s="12" t="str">
        <f t="shared" si="22"/>
        <v/>
      </c>
      <c r="L109" s="11"/>
      <c r="M109" s="11"/>
      <c r="N109" s="11"/>
      <c r="O109" s="11"/>
      <c r="P109" s="12" t="str">
        <f t="shared" si="23"/>
        <v/>
      </c>
      <c r="Q109" s="12" t="str">
        <f t="shared" si="24"/>
        <v/>
      </c>
      <c r="R109" s="6"/>
      <c r="S109" s="80"/>
      <c r="T109" s="6"/>
      <c r="U109" s="6"/>
      <c r="V109" s="103"/>
      <c r="W109" s="6"/>
      <c r="X109" s="64"/>
      <c r="Y109" s="67" t="str">
        <f>IF(X109="","",IFERROR(INDEX(PERKARA!$B$5:$B$104,MATCH(X109,PERKARA!$A$5:$A$104,0)),"ID TIDAK TERDAFTAR"))</f>
        <v/>
      </c>
      <c r="Z109" s="67" t="str">
        <f t="shared" si="25"/>
        <v/>
      </c>
      <c r="AA109" s="98"/>
      <c r="AB109" s="105"/>
      <c r="AC109" s="98"/>
      <c r="AD109" s="104" t="str">
        <f t="shared" si="26"/>
        <v/>
      </c>
    </row>
    <row r="110" spans="1:30">
      <c r="A110" s="9" t="str">
        <f t="shared" si="21"/>
        <v/>
      </c>
      <c r="B110" s="60"/>
      <c r="C110" s="6"/>
      <c r="D110" s="6"/>
      <c r="E110" s="6"/>
      <c r="F110" s="11"/>
      <c r="G110" s="11"/>
      <c r="H110" s="11"/>
      <c r="I110" s="11"/>
      <c r="J110" s="11"/>
      <c r="K110" s="12" t="str">
        <f t="shared" si="22"/>
        <v/>
      </c>
      <c r="L110" s="11"/>
      <c r="M110" s="11"/>
      <c r="N110" s="11"/>
      <c r="O110" s="11"/>
      <c r="P110" s="12" t="str">
        <f t="shared" si="23"/>
        <v/>
      </c>
      <c r="Q110" s="12" t="str">
        <f t="shared" si="24"/>
        <v/>
      </c>
      <c r="R110" s="6"/>
      <c r="S110" s="80"/>
      <c r="T110" s="6"/>
      <c r="U110" s="6"/>
      <c r="V110" s="103"/>
      <c r="W110" s="6"/>
      <c r="X110" s="64"/>
      <c r="Y110" s="67" t="str">
        <f>IF(X110="","",IFERROR(INDEX(PERKARA!$B$5:$B$104,MATCH(X110,PERKARA!$A$5:$A$104,0)),"ID TIDAK TERDAFTAR"))</f>
        <v/>
      </c>
      <c r="Z110" s="67" t="str">
        <f t="shared" si="25"/>
        <v/>
      </c>
      <c r="AA110" s="98"/>
      <c r="AB110" s="105"/>
      <c r="AC110" s="98"/>
      <c r="AD110" s="104" t="str">
        <f t="shared" si="26"/>
        <v/>
      </c>
    </row>
    <row r="111" spans="1:30">
      <c r="A111" s="9" t="str">
        <f t="shared" si="21"/>
        <v/>
      </c>
      <c r="B111" s="60"/>
      <c r="C111" s="6"/>
      <c r="D111" s="6"/>
      <c r="E111" s="6"/>
      <c r="F111" s="11"/>
      <c r="G111" s="11"/>
      <c r="H111" s="11"/>
      <c r="I111" s="11"/>
      <c r="J111" s="11"/>
      <c r="K111" s="12" t="str">
        <f t="shared" si="22"/>
        <v/>
      </c>
      <c r="L111" s="11"/>
      <c r="M111" s="11"/>
      <c r="N111" s="11"/>
      <c r="O111" s="11"/>
      <c r="P111" s="12" t="str">
        <f t="shared" si="23"/>
        <v/>
      </c>
      <c r="Q111" s="12" t="str">
        <f t="shared" si="24"/>
        <v/>
      </c>
      <c r="R111" s="6"/>
      <c r="S111" s="80"/>
      <c r="T111" s="6"/>
      <c r="U111" s="6"/>
      <c r="V111" s="103"/>
      <c r="W111" s="6"/>
      <c r="X111" s="64"/>
      <c r="Y111" s="67" t="str">
        <f>IF(X111="","",IFERROR(INDEX(PERKARA!$B$5:$B$104,MATCH(X111,PERKARA!$A$5:$A$104,0)),"ID TIDAK TERDAFTAR"))</f>
        <v/>
      </c>
      <c r="Z111" s="67" t="str">
        <f t="shared" si="25"/>
        <v/>
      </c>
      <c r="AA111" s="98"/>
      <c r="AB111" s="105"/>
      <c r="AC111" s="98"/>
      <c r="AD111" s="104" t="str">
        <f t="shared" si="26"/>
        <v/>
      </c>
    </row>
    <row r="112" spans="1:30">
      <c r="A112" s="9" t="str">
        <f t="shared" si="21"/>
        <v/>
      </c>
      <c r="B112" s="60"/>
      <c r="C112" s="6"/>
      <c r="D112" s="6"/>
      <c r="E112" s="6"/>
      <c r="F112" s="11"/>
      <c r="G112" s="11"/>
      <c r="H112" s="11"/>
      <c r="I112" s="11"/>
      <c r="J112" s="11"/>
      <c r="K112" s="12" t="str">
        <f t="shared" si="22"/>
        <v/>
      </c>
      <c r="L112" s="11"/>
      <c r="M112" s="11"/>
      <c r="N112" s="11"/>
      <c r="O112" s="11"/>
      <c r="P112" s="12" t="str">
        <f t="shared" si="23"/>
        <v/>
      </c>
      <c r="Q112" s="12" t="str">
        <f t="shared" si="24"/>
        <v/>
      </c>
      <c r="R112" s="6"/>
      <c r="S112" s="80"/>
      <c r="T112" s="6"/>
      <c r="U112" s="6"/>
      <c r="V112" s="103"/>
      <c r="W112" s="6"/>
      <c r="X112" s="64"/>
      <c r="Y112" s="67" t="str">
        <f>IF(X112="","",IFERROR(INDEX(PERKARA!$B$5:$B$104,MATCH(X112,PERKARA!$A$5:$A$104,0)),"ID TIDAK TERDAFTAR"))</f>
        <v/>
      </c>
      <c r="Z112" s="67" t="str">
        <f t="shared" si="25"/>
        <v/>
      </c>
      <c r="AA112" s="98"/>
      <c r="AB112" s="105"/>
      <c r="AC112" s="98"/>
      <c r="AD112" s="104" t="str">
        <f t="shared" si="26"/>
        <v/>
      </c>
    </row>
    <row r="113" spans="1:30">
      <c r="A113" s="9" t="str">
        <f t="shared" si="21"/>
        <v/>
      </c>
      <c r="B113" s="60"/>
      <c r="C113" s="6"/>
      <c r="D113" s="6"/>
      <c r="E113" s="6"/>
      <c r="F113" s="11"/>
      <c r="G113" s="11"/>
      <c r="H113" s="11"/>
      <c r="I113" s="11"/>
      <c r="J113" s="11"/>
      <c r="K113" s="12" t="str">
        <f t="shared" si="22"/>
        <v/>
      </c>
      <c r="L113" s="11"/>
      <c r="M113" s="11"/>
      <c r="N113" s="11"/>
      <c r="O113" s="11"/>
      <c r="P113" s="12" t="str">
        <f t="shared" si="23"/>
        <v/>
      </c>
      <c r="Q113" s="12" t="str">
        <f t="shared" si="24"/>
        <v/>
      </c>
      <c r="R113" s="6"/>
      <c r="S113" s="80"/>
      <c r="T113" s="6"/>
      <c r="U113" s="6"/>
      <c r="V113" s="103"/>
      <c r="W113" s="6"/>
      <c r="X113" s="64"/>
      <c r="Y113" s="67" t="str">
        <f>IF(X113="","",IFERROR(INDEX(PERKARA!$B$5:$B$104,MATCH(X113,PERKARA!$A$5:$A$104,0)),"ID TIDAK TERDAFTAR"))</f>
        <v/>
      </c>
      <c r="Z113" s="67" t="str">
        <f t="shared" si="25"/>
        <v/>
      </c>
      <c r="AA113" s="98"/>
      <c r="AB113" s="105"/>
      <c r="AC113" s="98"/>
      <c r="AD113" s="104" t="str">
        <f t="shared" si="26"/>
        <v/>
      </c>
    </row>
    <row r="114" spans="1:30">
      <c r="A114" s="9" t="str">
        <f t="shared" si="21"/>
        <v/>
      </c>
      <c r="B114" s="60"/>
      <c r="C114" s="6"/>
      <c r="D114" s="6"/>
      <c r="E114" s="6"/>
      <c r="F114" s="11"/>
      <c r="G114" s="11"/>
      <c r="H114" s="11"/>
      <c r="I114" s="11"/>
      <c r="J114" s="11"/>
      <c r="K114" s="12" t="str">
        <f t="shared" si="22"/>
        <v/>
      </c>
      <c r="L114" s="11"/>
      <c r="M114" s="11"/>
      <c r="N114" s="11"/>
      <c r="O114" s="11"/>
      <c r="P114" s="12" t="str">
        <f t="shared" si="23"/>
        <v/>
      </c>
      <c r="Q114" s="12" t="str">
        <f t="shared" si="24"/>
        <v/>
      </c>
      <c r="R114" s="6"/>
      <c r="S114" s="80"/>
      <c r="T114" s="6"/>
      <c r="U114" s="6"/>
      <c r="V114" s="103"/>
      <c r="W114" s="6"/>
      <c r="X114" s="64"/>
      <c r="Y114" s="67" t="str">
        <f>IF(X114="","",IFERROR(INDEX(PERKARA!$B$5:$B$104,MATCH(X114,PERKARA!$A$5:$A$104,0)),"ID TIDAK TERDAFTAR"))</f>
        <v/>
      </c>
      <c r="Z114" s="67" t="str">
        <f t="shared" si="25"/>
        <v/>
      </c>
      <c r="AA114" s="98"/>
      <c r="AB114" s="105"/>
      <c r="AC114" s="98"/>
      <c r="AD114" s="104" t="str">
        <f t="shared" si="26"/>
        <v/>
      </c>
    </row>
    <row r="115" spans="1:30">
      <c r="A115" s="9" t="str">
        <f t="shared" si="21"/>
        <v/>
      </c>
      <c r="B115" s="60"/>
      <c r="C115" s="6"/>
      <c r="D115" s="6"/>
      <c r="E115" s="6"/>
      <c r="F115" s="11"/>
      <c r="G115" s="11"/>
      <c r="H115" s="11"/>
      <c r="I115" s="11"/>
      <c r="J115" s="11"/>
      <c r="K115" s="12" t="str">
        <f t="shared" si="22"/>
        <v/>
      </c>
      <c r="L115" s="11"/>
      <c r="M115" s="11"/>
      <c r="N115" s="11"/>
      <c r="O115" s="11"/>
      <c r="P115" s="12" t="str">
        <f t="shared" si="23"/>
        <v/>
      </c>
      <c r="Q115" s="12" t="str">
        <f t="shared" si="24"/>
        <v/>
      </c>
      <c r="R115" s="6"/>
      <c r="S115" s="80"/>
      <c r="T115" s="6"/>
      <c r="U115" s="6"/>
      <c r="V115" s="103"/>
      <c r="W115" s="6"/>
      <c r="X115" s="64"/>
      <c r="Y115" s="67" t="str">
        <f>IF(X115="","",IFERROR(INDEX(PERKARA!$B$5:$B$104,MATCH(X115,PERKARA!$A$5:$A$104,0)),"ID TIDAK TERDAFTAR"))</f>
        <v/>
      </c>
      <c r="Z115" s="67" t="str">
        <f t="shared" si="25"/>
        <v/>
      </c>
      <c r="AA115" s="98"/>
      <c r="AB115" s="105"/>
      <c r="AC115" s="98"/>
      <c r="AD115" s="104" t="str">
        <f t="shared" si="26"/>
        <v/>
      </c>
    </row>
    <row r="116" spans="1:30">
      <c r="A116" s="9" t="str">
        <f t="shared" si="21"/>
        <v/>
      </c>
      <c r="B116" s="60"/>
      <c r="C116" s="6"/>
      <c r="D116" s="6"/>
      <c r="E116" s="6"/>
      <c r="F116" s="11"/>
      <c r="G116" s="11"/>
      <c r="H116" s="11"/>
      <c r="I116" s="11"/>
      <c r="J116" s="11"/>
      <c r="K116" s="12" t="str">
        <f t="shared" si="22"/>
        <v/>
      </c>
      <c r="L116" s="11"/>
      <c r="M116" s="11"/>
      <c r="N116" s="11"/>
      <c r="O116" s="11"/>
      <c r="P116" s="12" t="str">
        <f t="shared" si="23"/>
        <v/>
      </c>
      <c r="Q116" s="12" t="str">
        <f t="shared" si="24"/>
        <v/>
      </c>
      <c r="R116" s="6"/>
      <c r="S116" s="80"/>
      <c r="T116" s="6"/>
      <c r="U116" s="6"/>
      <c r="V116" s="103"/>
      <c r="W116" s="6"/>
      <c r="X116" s="64"/>
      <c r="Y116" s="67" t="str">
        <f>IF(X116="","",IFERROR(INDEX(PERKARA!$B$5:$B$104,MATCH(X116,PERKARA!$A$5:$A$104,0)),"ID TIDAK TERDAFTAR"))</f>
        <v/>
      </c>
      <c r="Z116" s="67" t="str">
        <f t="shared" si="25"/>
        <v/>
      </c>
      <c r="AA116" s="98"/>
      <c r="AB116" s="105"/>
      <c r="AC116" s="98"/>
      <c r="AD116" s="104" t="str">
        <f t="shared" si="26"/>
        <v/>
      </c>
    </row>
    <row r="117" spans="1:30">
      <c r="A117" s="9" t="str">
        <f t="shared" si="21"/>
        <v/>
      </c>
      <c r="B117" s="60"/>
      <c r="C117" s="6"/>
      <c r="D117" s="6"/>
      <c r="E117" s="6"/>
      <c r="F117" s="11"/>
      <c r="G117" s="11"/>
      <c r="H117" s="11"/>
      <c r="I117" s="11"/>
      <c r="J117" s="11"/>
      <c r="K117" s="12" t="str">
        <f t="shared" si="22"/>
        <v/>
      </c>
      <c r="L117" s="11"/>
      <c r="M117" s="11"/>
      <c r="N117" s="11"/>
      <c r="O117" s="11"/>
      <c r="P117" s="12" t="str">
        <f t="shared" si="23"/>
        <v/>
      </c>
      <c r="Q117" s="12" t="str">
        <f t="shared" si="24"/>
        <v/>
      </c>
      <c r="R117" s="6"/>
      <c r="S117" s="80"/>
      <c r="T117" s="6"/>
      <c r="U117" s="6"/>
      <c r="V117" s="103"/>
      <c r="W117" s="6"/>
      <c r="X117" s="64"/>
      <c r="Y117" s="67" t="str">
        <f>IF(X117="","",IFERROR(INDEX(PERKARA!$B$5:$B$104,MATCH(X117,PERKARA!$A$5:$A$104,0)),"ID TIDAK TERDAFTAR"))</f>
        <v/>
      </c>
      <c r="Z117" s="67" t="str">
        <f t="shared" si="25"/>
        <v/>
      </c>
      <c r="AA117" s="98"/>
      <c r="AB117" s="105"/>
      <c r="AC117" s="98"/>
      <c r="AD117" s="104" t="str">
        <f t="shared" si="26"/>
        <v/>
      </c>
    </row>
    <row r="118" spans="1:30">
      <c r="A118" s="9" t="str">
        <f t="shared" si="21"/>
        <v/>
      </c>
      <c r="B118" s="60"/>
      <c r="C118" s="6"/>
      <c r="D118" s="6"/>
      <c r="E118" s="6"/>
      <c r="F118" s="11"/>
      <c r="G118" s="11"/>
      <c r="H118" s="11"/>
      <c r="I118" s="11"/>
      <c r="J118" s="11"/>
      <c r="K118" s="12" t="str">
        <f t="shared" si="22"/>
        <v/>
      </c>
      <c r="L118" s="11"/>
      <c r="M118" s="11"/>
      <c r="N118" s="11"/>
      <c r="O118" s="11"/>
      <c r="P118" s="12" t="str">
        <f t="shared" si="23"/>
        <v/>
      </c>
      <c r="Q118" s="12" t="str">
        <f t="shared" si="24"/>
        <v/>
      </c>
      <c r="R118" s="6"/>
      <c r="S118" s="80"/>
      <c r="T118" s="6"/>
      <c r="U118" s="6"/>
      <c r="V118" s="103"/>
      <c r="W118" s="6"/>
      <c r="X118" s="64"/>
      <c r="Y118" s="67" t="str">
        <f>IF(X118="","",IFERROR(INDEX(PERKARA!$B$5:$B$104,MATCH(X118,PERKARA!$A$5:$A$104,0)),"ID TIDAK TERDAFTAR"))</f>
        <v/>
      </c>
      <c r="Z118" s="67" t="str">
        <f t="shared" si="25"/>
        <v/>
      </c>
      <c r="AA118" s="98"/>
      <c r="AB118" s="105"/>
      <c r="AC118" s="98"/>
      <c r="AD118" s="104" t="str">
        <f t="shared" si="26"/>
        <v/>
      </c>
    </row>
    <row r="119" spans="1:30">
      <c r="A119" s="9" t="str">
        <f t="shared" si="21"/>
        <v/>
      </c>
      <c r="B119" s="60"/>
      <c r="C119" s="6"/>
      <c r="D119" s="6"/>
      <c r="E119" s="6"/>
      <c r="F119" s="11"/>
      <c r="G119" s="11"/>
      <c r="H119" s="11"/>
      <c r="I119" s="11"/>
      <c r="J119" s="11"/>
      <c r="K119" s="12" t="str">
        <f t="shared" si="22"/>
        <v/>
      </c>
      <c r="L119" s="11"/>
      <c r="M119" s="11"/>
      <c r="N119" s="11"/>
      <c r="O119" s="11"/>
      <c r="P119" s="12" t="str">
        <f t="shared" si="23"/>
        <v/>
      </c>
      <c r="Q119" s="12" t="str">
        <f t="shared" si="24"/>
        <v/>
      </c>
      <c r="R119" s="6"/>
      <c r="S119" s="80"/>
      <c r="T119" s="6"/>
      <c r="U119" s="6"/>
      <c r="V119" s="103"/>
      <c r="W119" s="6"/>
      <c r="X119" s="64"/>
      <c r="Y119" s="67" t="str">
        <f>IF(X119="","",IFERROR(INDEX(PERKARA!$B$5:$B$104,MATCH(X119,PERKARA!$A$5:$A$104,0)),"ID TIDAK TERDAFTAR"))</f>
        <v/>
      </c>
      <c r="Z119" s="67" t="str">
        <f t="shared" si="25"/>
        <v/>
      </c>
      <c r="AA119" s="98"/>
      <c r="AB119" s="105"/>
      <c r="AC119" s="98"/>
      <c r="AD119" s="104" t="str">
        <f t="shared" si="26"/>
        <v/>
      </c>
    </row>
    <row r="120" spans="1:30">
      <c r="A120" s="9" t="str">
        <f t="shared" si="21"/>
        <v/>
      </c>
      <c r="B120" s="60"/>
      <c r="C120" s="6"/>
      <c r="D120" s="6"/>
      <c r="E120" s="6"/>
      <c r="F120" s="11"/>
      <c r="G120" s="11"/>
      <c r="H120" s="11"/>
      <c r="I120" s="11"/>
      <c r="J120" s="11"/>
      <c r="K120" s="12" t="str">
        <f t="shared" si="22"/>
        <v/>
      </c>
      <c r="L120" s="11"/>
      <c r="M120" s="11"/>
      <c r="N120" s="11"/>
      <c r="O120" s="11"/>
      <c r="P120" s="12" t="str">
        <f t="shared" si="23"/>
        <v/>
      </c>
      <c r="Q120" s="12" t="str">
        <f t="shared" si="24"/>
        <v/>
      </c>
      <c r="R120" s="6"/>
      <c r="S120" s="80"/>
      <c r="T120" s="6"/>
      <c r="U120" s="6"/>
      <c r="V120" s="103"/>
      <c r="W120" s="6"/>
      <c r="X120" s="64"/>
      <c r="Y120" s="67" t="str">
        <f>IF(X120="","",IFERROR(INDEX(PERKARA!$B$5:$B$104,MATCH(X120,PERKARA!$A$5:$A$104,0)),"ID TIDAK TERDAFTAR"))</f>
        <v/>
      </c>
      <c r="Z120" s="67" t="str">
        <f t="shared" si="25"/>
        <v/>
      </c>
      <c r="AA120" s="98"/>
      <c r="AB120" s="105"/>
      <c r="AC120" s="98"/>
      <c r="AD120" s="104" t="str">
        <f t="shared" si="26"/>
        <v/>
      </c>
    </row>
    <row r="121" spans="1:30">
      <c r="A121" s="9" t="str">
        <f t="shared" si="21"/>
        <v/>
      </c>
      <c r="B121" s="60"/>
      <c r="C121" s="6"/>
      <c r="D121" s="6"/>
      <c r="E121" s="6"/>
      <c r="F121" s="11"/>
      <c r="G121" s="11"/>
      <c r="H121" s="11"/>
      <c r="I121" s="11"/>
      <c r="J121" s="11"/>
      <c r="K121" s="12" t="str">
        <f t="shared" si="22"/>
        <v/>
      </c>
      <c r="L121" s="11"/>
      <c r="M121" s="11"/>
      <c r="N121" s="11"/>
      <c r="O121" s="11"/>
      <c r="P121" s="12" t="str">
        <f t="shared" si="23"/>
        <v/>
      </c>
      <c r="Q121" s="12" t="str">
        <f t="shared" si="24"/>
        <v/>
      </c>
      <c r="R121" s="6"/>
      <c r="S121" s="80"/>
      <c r="T121" s="6"/>
      <c r="U121" s="6"/>
      <c r="V121" s="103"/>
      <c r="W121" s="6"/>
      <c r="X121" s="64"/>
      <c r="Y121" s="67" t="str">
        <f>IF(X121="","",IFERROR(INDEX(PERKARA!$B$5:$B$104,MATCH(X121,PERKARA!$A$5:$A$104,0)),"ID TIDAK TERDAFTAR"))</f>
        <v/>
      </c>
      <c r="Z121" s="67" t="str">
        <f t="shared" si="25"/>
        <v/>
      </c>
      <c r="AA121" s="98"/>
      <c r="AB121" s="105"/>
      <c r="AC121" s="98"/>
      <c r="AD121" s="104" t="str">
        <f t="shared" si="26"/>
        <v/>
      </c>
    </row>
    <row r="122" spans="1:30">
      <c r="A122" s="9" t="str">
        <f t="shared" si="21"/>
        <v/>
      </c>
      <c r="B122" s="60"/>
      <c r="C122" s="6"/>
      <c r="D122" s="6"/>
      <c r="E122" s="6"/>
      <c r="F122" s="11"/>
      <c r="G122" s="11"/>
      <c r="H122" s="11"/>
      <c r="I122" s="11"/>
      <c r="J122" s="11"/>
      <c r="K122" s="12" t="str">
        <f t="shared" si="22"/>
        <v/>
      </c>
      <c r="L122" s="11"/>
      <c r="M122" s="11"/>
      <c r="N122" s="11"/>
      <c r="O122" s="11"/>
      <c r="P122" s="12" t="str">
        <f t="shared" si="23"/>
        <v/>
      </c>
      <c r="Q122" s="12" t="str">
        <f t="shared" si="24"/>
        <v/>
      </c>
      <c r="R122" s="6"/>
      <c r="S122" s="80"/>
      <c r="T122" s="6"/>
      <c r="U122" s="6"/>
      <c r="V122" s="103"/>
      <c r="W122" s="6"/>
      <c r="X122" s="64"/>
      <c r="Y122" s="67" t="str">
        <f>IF(X122="","",IFERROR(INDEX(PERKARA!$B$5:$B$104,MATCH(X122,PERKARA!$A$5:$A$104,0)),"ID TIDAK TERDAFTAR"))</f>
        <v/>
      </c>
      <c r="Z122" s="67" t="str">
        <f t="shared" si="25"/>
        <v/>
      </c>
      <c r="AA122" s="98"/>
      <c r="AB122" s="105"/>
      <c r="AC122" s="98"/>
      <c r="AD122" s="104" t="str">
        <f t="shared" si="26"/>
        <v/>
      </c>
    </row>
    <row r="123" spans="1:30">
      <c r="A123" s="9" t="str">
        <f t="shared" si="21"/>
        <v/>
      </c>
      <c r="B123" s="60"/>
      <c r="C123" s="6"/>
      <c r="D123" s="6"/>
      <c r="E123" s="6"/>
      <c r="F123" s="11"/>
      <c r="G123" s="11"/>
      <c r="H123" s="11"/>
      <c r="I123" s="11"/>
      <c r="J123" s="11"/>
      <c r="K123" s="12" t="str">
        <f t="shared" si="22"/>
        <v/>
      </c>
      <c r="L123" s="11"/>
      <c r="M123" s="11"/>
      <c r="N123" s="11"/>
      <c r="O123" s="11"/>
      <c r="P123" s="12" t="str">
        <f t="shared" si="23"/>
        <v/>
      </c>
      <c r="Q123" s="12" t="str">
        <f t="shared" si="24"/>
        <v/>
      </c>
      <c r="R123" s="6"/>
      <c r="S123" s="80"/>
      <c r="T123" s="6"/>
      <c r="U123" s="6"/>
      <c r="V123" s="103"/>
      <c r="W123" s="6"/>
      <c r="X123" s="64"/>
      <c r="Y123" s="67" t="str">
        <f>IF(X123="","",IFERROR(INDEX(PERKARA!$B$5:$B$104,MATCH(X123,PERKARA!$A$5:$A$104,0)),"ID TIDAK TERDAFTAR"))</f>
        <v/>
      </c>
      <c r="Z123" s="67" t="str">
        <f t="shared" si="25"/>
        <v/>
      </c>
      <c r="AA123" s="98"/>
      <c r="AB123" s="105"/>
      <c r="AC123" s="98"/>
      <c r="AD123" s="104" t="str">
        <f t="shared" si="26"/>
        <v/>
      </c>
    </row>
    <row r="124" spans="1:30">
      <c r="A124" s="9" t="str">
        <f t="shared" si="21"/>
        <v/>
      </c>
      <c r="B124" s="60"/>
      <c r="C124" s="6"/>
      <c r="D124" s="6"/>
      <c r="E124" s="6"/>
      <c r="F124" s="11"/>
      <c r="G124" s="11"/>
      <c r="H124" s="11"/>
      <c r="I124" s="11"/>
      <c r="J124" s="11"/>
      <c r="K124" s="12" t="str">
        <f t="shared" si="22"/>
        <v/>
      </c>
      <c r="L124" s="11"/>
      <c r="M124" s="11"/>
      <c r="N124" s="11"/>
      <c r="O124" s="11"/>
      <c r="P124" s="12" t="str">
        <f t="shared" si="23"/>
        <v/>
      </c>
      <c r="Q124" s="12" t="str">
        <f t="shared" si="24"/>
        <v/>
      </c>
      <c r="R124" s="6"/>
      <c r="S124" s="80"/>
      <c r="T124" s="6"/>
      <c r="U124" s="6"/>
      <c r="V124" s="103"/>
      <c r="W124" s="6"/>
      <c r="X124" s="64"/>
      <c r="Y124" s="67" t="str">
        <f>IF(X124="","",IFERROR(INDEX(PERKARA!$B$5:$B$104,MATCH(X124,PERKARA!$A$5:$A$104,0)),"ID TIDAK TERDAFTAR"))</f>
        <v/>
      </c>
      <c r="Z124" s="67" t="str">
        <f t="shared" si="25"/>
        <v/>
      </c>
      <c r="AA124" s="98"/>
      <c r="AB124" s="105"/>
      <c r="AC124" s="98"/>
      <c r="AD124" s="104" t="str">
        <f t="shared" si="26"/>
        <v/>
      </c>
    </row>
  </sheetData>
  <mergeCells count="2">
    <mergeCell ref="A1:AD2"/>
    <mergeCell ref="A3:AD3"/>
  </mergeCells>
  <conditionalFormatting sqref="R5:R124">
    <cfRule type="containsText" dxfId="27" priority="1" operator="containsText" text="Lunas"/>
    <cfRule type="containsText" dxfId="26" priority="2" operator="containsText" text="Jatuh Tempo"/>
    <cfRule type="containsText" dxfId="25" priority="3"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xr:uid="{00000000-0002-0000-0500-000000000000}">
          <x14:formula1>
            <xm:f>MASTER!$S$5:$S$9</xm:f>
          </x14:formula1>
          <xm:sqref>E5:E124</xm:sqref>
        </x14:dataValidation>
        <x14:dataValidation type="list" xr:uid="{00000000-0002-0000-0500-000001000000}">
          <x14:formula1>
            <xm:f>MASTER!$U$5:$U$8</xm:f>
          </x14:formula1>
          <xm:sqref>R5:R124</xm:sqref>
        </x14:dataValidation>
        <x14:dataValidation type="list" xr:uid="{00000000-0002-0000-0500-000002000000}">
          <x14:formula1>
            <xm:f>MASTER!$G$5:$G$10</xm:f>
          </x14:formula1>
          <xm:sqref>T5:T124</xm:sqref>
        </x14:dataValidation>
        <x14:dataValidation type="list" xr:uid="{00000000-0002-0000-0500-000003000000}">
          <x14:formula1>
            <xm:f>PERKARA!$A$5:$A$104</xm:f>
          </x14:formula1>
          <xm:sqref>X5:X124</xm:sqref>
        </x14:dataValidation>
        <x14:dataValidation type="list" xr:uid="{00000000-0002-0000-0500-000004000000}">
          <x14:formula1>
            <xm:f>MASTER!$A$5:$A$7</xm:f>
          </x14:formula1>
          <xm:sqref>V5:V124</xm:sqref>
        </x14:dataValidation>
        <x14:dataValidation type="list" xr:uid="{00000000-0002-0000-0500-000005000000}">
          <x14:formula1>
            <xm:f>MASTER!$M$5:$M$8</xm:f>
          </x14:formula1>
          <xm:sqref>AA5:AA124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4"/>
  <sheetViews>
    <sheetView showGridLines="0" workbookViewId="0">
      <selection sqref="A1:W2"/>
    </sheetView>
  </sheetViews>
  <sheetFormatPr defaultRowHeight="13.8"/>
  <cols>
    <col min="1" max="1" width="21" customWidth="1"/>
    <col min="2" max="2" width="17" customWidth="1"/>
    <col min="3" max="3" width="18" customWidth="1"/>
    <col min="4" max="5" width="16" customWidth="1"/>
    <col min="6" max="6" width="20" customWidth="1"/>
    <col min="7" max="7" width="23" customWidth="1"/>
    <col min="8" max="11" width="20" customWidth="1"/>
    <col min="12" max="12" width="30" customWidth="1"/>
    <col min="13" max="13" width="21" customWidth="1"/>
    <col min="14" max="14" width="19" customWidth="1"/>
    <col min="15" max="15" width="21" customWidth="1"/>
    <col min="16" max="16" width="25" customWidth="1"/>
    <col min="17" max="17" width="27" customWidth="1"/>
    <col min="18" max="18" width="34" customWidth="1"/>
    <col min="20" max="23" width="21" customWidth="1"/>
  </cols>
  <sheetData>
    <row r="1" spans="1:23" ht="25.05" customHeight="1">
      <c r="A1" s="282" t="s">
        <v>136</v>
      </c>
      <c r="B1" s="282" t="s">
        <v>136</v>
      </c>
      <c r="C1" s="282" t="s">
        <v>136</v>
      </c>
      <c r="D1" s="282" t="s">
        <v>136</v>
      </c>
      <c r="E1" s="282" t="s">
        <v>136</v>
      </c>
      <c r="F1" s="282" t="s">
        <v>136</v>
      </c>
      <c r="G1" s="282" t="s">
        <v>136</v>
      </c>
      <c r="H1" s="282" t="s">
        <v>136</v>
      </c>
      <c r="I1" s="282" t="s">
        <v>136</v>
      </c>
      <c r="J1" s="282" t="s">
        <v>136</v>
      </c>
      <c r="K1" s="282" t="s">
        <v>136</v>
      </c>
      <c r="L1" s="282" t="s">
        <v>136</v>
      </c>
      <c r="M1" s="282" t="s">
        <v>136</v>
      </c>
      <c r="N1" s="282" t="s">
        <v>136</v>
      </c>
      <c r="O1" s="282" t="s">
        <v>136</v>
      </c>
      <c r="P1" s="282" t="s">
        <v>136</v>
      </c>
      <c r="Q1" s="282" t="s">
        <v>136</v>
      </c>
      <c r="R1" s="282" t="s">
        <v>136</v>
      </c>
      <c r="S1" s="283"/>
      <c r="T1" s="283"/>
      <c r="U1" s="283"/>
      <c r="V1" s="283"/>
      <c r="W1" s="283"/>
    </row>
    <row r="2" spans="1:23" ht="25.05" customHeight="1">
      <c r="A2" s="282" t="s">
        <v>136</v>
      </c>
      <c r="B2" s="282" t="s">
        <v>136</v>
      </c>
      <c r="C2" s="282" t="s">
        <v>136</v>
      </c>
      <c r="D2" s="282" t="s">
        <v>136</v>
      </c>
      <c r="E2" s="282" t="s">
        <v>136</v>
      </c>
      <c r="F2" s="282" t="s">
        <v>136</v>
      </c>
      <c r="G2" s="282" t="s">
        <v>136</v>
      </c>
      <c r="H2" s="282" t="s">
        <v>136</v>
      </c>
      <c r="I2" s="282" t="s">
        <v>136</v>
      </c>
      <c r="J2" s="282" t="s">
        <v>136</v>
      </c>
      <c r="K2" s="282" t="s">
        <v>136</v>
      </c>
      <c r="L2" s="282" t="s">
        <v>136</v>
      </c>
      <c r="M2" s="282" t="s">
        <v>136</v>
      </c>
      <c r="N2" s="282" t="s">
        <v>136</v>
      </c>
      <c r="O2" s="282" t="s">
        <v>136</v>
      </c>
      <c r="P2" s="282" t="s">
        <v>136</v>
      </c>
      <c r="Q2" s="282" t="s">
        <v>136</v>
      </c>
      <c r="R2" s="282" t="s">
        <v>136</v>
      </c>
      <c r="S2" s="283"/>
      <c r="T2" s="283"/>
      <c r="U2" s="283"/>
      <c r="V2" s="283"/>
      <c r="W2" s="283"/>
    </row>
    <row r="3" spans="1:23" ht="30" customHeight="1">
      <c r="A3" s="284" t="s">
        <v>596</v>
      </c>
      <c r="B3" s="284" t="s">
        <v>137</v>
      </c>
      <c r="C3" s="284" t="s">
        <v>137</v>
      </c>
      <c r="D3" s="284" t="s">
        <v>137</v>
      </c>
      <c r="E3" s="284" t="s">
        <v>137</v>
      </c>
      <c r="F3" s="284" t="s">
        <v>137</v>
      </c>
      <c r="G3" s="284" t="s">
        <v>137</v>
      </c>
      <c r="H3" s="284" t="s">
        <v>137</v>
      </c>
      <c r="I3" s="284" t="s">
        <v>137</v>
      </c>
      <c r="J3" s="284" t="s">
        <v>137</v>
      </c>
      <c r="K3" s="284" t="s">
        <v>137</v>
      </c>
      <c r="L3" s="284" t="s">
        <v>137</v>
      </c>
      <c r="M3" s="284" t="s">
        <v>137</v>
      </c>
      <c r="N3" s="284" t="s">
        <v>137</v>
      </c>
      <c r="O3" s="284" t="s">
        <v>137</v>
      </c>
      <c r="P3" s="284" t="s">
        <v>137</v>
      </c>
      <c r="Q3" s="284" t="s">
        <v>137</v>
      </c>
      <c r="R3" s="284" t="s">
        <v>137</v>
      </c>
      <c r="S3" s="285"/>
      <c r="T3" s="285"/>
      <c r="U3" s="285"/>
      <c r="V3" s="285"/>
      <c r="W3" s="285"/>
    </row>
    <row r="4" spans="1:23" ht="34.950000000000003" customHeight="1">
      <c r="A4" s="7" t="s">
        <v>138</v>
      </c>
      <c r="B4" s="7" t="s">
        <v>139</v>
      </c>
      <c r="C4" s="7" t="s">
        <v>140</v>
      </c>
      <c r="D4" s="7" t="s">
        <v>141</v>
      </c>
      <c r="E4" s="7" t="s">
        <v>142</v>
      </c>
      <c r="F4" s="7" t="s">
        <v>62</v>
      </c>
      <c r="G4" s="7" t="s">
        <v>100</v>
      </c>
      <c r="H4" s="7" t="s">
        <v>143</v>
      </c>
      <c r="I4" s="7" t="s">
        <v>144</v>
      </c>
      <c r="J4" s="7" t="s">
        <v>145</v>
      </c>
      <c r="K4" s="7" t="s">
        <v>146</v>
      </c>
      <c r="L4" s="7" t="s">
        <v>147</v>
      </c>
      <c r="M4" s="100" t="s">
        <v>589</v>
      </c>
      <c r="N4" s="7" t="s">
        <v>148</v>
      </c>
      <c r="O4" s="7" t="s">
        <v>135</v>
      </c>
      <c r="P4" s="7" t="s">
        <v>149</v>
      </c>
      <c r="Q4" s="7" t="s">
        <v>150</v>
      </c>
      <c r="R4" s="7" t="s">
        <v>79</v>
      </c>
      <c r="S4" s="66" t="s">
        <v>581</v>
      </c>
      <c r="T4" s="101" t="s">
        <v>587</v>
      </c>
      <c r="U4" s="101" t="s">
        <v>590</v>
      </c>
      <c r="V4" s="101" t="s">
        <v>591</v>
      </c>
      <c r="W4" s="101" t="s">
        <v>585</v>
      </c>
    </row>
    <row r="5" spans="1:23">
      <c r="A5" s="6" t="str">
        <f t="shared" ref="A5:A36" si="0">IF(B5="","",IFERROR("RMB-"&amp;TEXT(B5,"yyyymmdd")&amp;"-"&amp;TEXT(ROW()-4,"000"),"TANGGAL TIDAK VALID"))</f>
        <v/>
      </c>
      <c r="B5" s="80"/>
      <c r="C5" s="6"/>
      <c r="D5" s="80"/>
      <c r="E5" s="80"/>
      <c r="F5" s="46" t="str">
        <f>IF(A5="","",IFERROR(INDEX(PENGELUARAN!$D$5:$D$204,MATCH(A5,PENGELUARAN!$N$5:$N$204,0)),""))</f>
        <v/>
      </c>
      <c r="G5" s="47" t="str">
        <f>IF(F5="","",IFERROR(INDEX(PERKARA!$B$5:$B$104,MATCH(F5,PERKARA!$A$5:$A$104,0)),"ID TIDAK TERDAFTAR"))</f>
        <v/>
      </c>
      <c r="H5" s="73" t="str">
        <f>IF(A5="","",SUMIFS(PENGELUARAN!$K$5:$K$204,PENGELUARAN!$N$5:$N$204,A5))</f>
        <v/>
      </c>
      <c r="I5" s="73" t="str">
        <f>IF(A5="","",IF(AND(T5="Disetujui",M5&lt;&gt;""),SUMIFS(PENGELUARAN!$R$5:$R$204,PENGELUARAN!$N$5:$N$204,A5,PENGELUARAN!$AC$5:$AC$204,"LENGKAP"),0))</f>
        <v/>
      </c>
      <c r="J5" s="73" t="str">
        <f>IF(A5="","",SUMIFS(PENGELUARAN!$S$5:$S$204,PENGELUARAN!$N$5:$N$204,A5))</f>
        <v/>
      </c>
      <c r="K5" s="73" t="str">
        <f t="shared" ref="K5:K36" si="1">IF(A5="","",MAX(I5-J5,0))</f>
        <v/>
      </c>
      <c r="L5" s="9" t="str">
        <f t="shared" ref="L5:L36" si="2">IF(A5="","",IF(T5="Ditolak","Ditolak",IF(H5=0,"Belum Ada Transaksi",IF(OR(T5&lt;&gt;"Disetujui",M5=""),"Menunggu Persetujuan",IF(I5=0,"Menunggu Otorisasi Rincian",IF(J5=0,"Disetujui - Belum Dibayar",IF(K5=0,"Lunas","Dibayar Sebagian")))))))</f>
        <v/>
      </c>
      <c r="M5" s="103"/>
      <c r="N5" s="80"/>
      <c r="O5" s="6"/>
      <c r="P5" s="6"/>
      <c r="Q5" s="6"/>
      <c r="R5" s="6"/>
      <c r="S5" s="67" t="str">
        <f t="shared" ref="S5:S36" si="3">IF(B5="","",IF(COUNTIF($A$5:$A$124,A5)&gt;1,"ID KLAIM DUPLIKAT",IF(AND(F5&lt;&gt;"",G5="ID TIDAK TERDAFTAR"),"PERKARA TIDAK VALID",IF(AND(J5&gt;0,O5=""),"AKUN PEMBAYARAN BELUM DIISI",IF(AND(J5&gt;0,N5=""),"TANGGAL PEMBAYARAN BELUM DIISI",IF(AND(J5&gt;0,W5&lt;&gt;"LENGKAP"),"DIBAYAR TANPA OTORISASI",IF(J5&gt;I5,"PEMBAYARAN MELEBIHI PERSETUJUAN","OK")))))))</f>
        <v/>
      </c>
      <c r="T5" s="98"/>
      <c r="U5" s="105"/>
      <c r="V5" s="98"/>
      <c r="W5" s="104" t="str">
        <f t="shared" ref="W5:W36" si="4">IF(B5="","",IF(T5="Ditolak","DITOLAK",IF(AND(T5="Disetujui",M5&lt;&gt;""),"LENGKAP",IF(T5="Disetujui","NAMA PENYETUJU BELUM DIISI","MENUNGGU PERSETUJUAN MANUAL"))))</f>
        <v/>
      </c>
    </row>
    <row r="6" spans="1:23">
      <c r="A6" s="6" t="str">
        <f t="shared" si="0"/>
        <v/>
      </c>
      <c r="B6" s="80"/>
      <c r="C6" s="6"/>
      <c r="D6" s="80"/>
      <c r="E6" s="80"/>
      <c r="F6" s="46" t="str">
        <f>IF(A6="","",IFERROR(INDEX(PENGELUARAN!$D$5:$D$204,MATCH(A6,PENGELUARAN!$N$5:$N$204,0)),""))</f>
        <v/>
      </c>
      <c r="G6" s="47" t="str">
        <f>IF(F6="","",IFERROR(INDEX(PERKARA!$B$5:$B$104,MATCH(F6,PERKARA!$A$5:$A$104,0)),"ID TIDAK TERDAFTAR"))</f>
        <v/>
      </c>
      <c r="H6" s="73" t="str">
        <f>IF(A6="","",SUMIFS(PENGELUARAN!$K$5:$K$204,PENGELUARAN!$N$5:$N$204,A6))</f>
        <v/>
      </c>
      <c r="I6" s="73" t="str">
        <f>IF(A6="","",IF(AND(T6="Disetujui",M6&lt;&gt;""),SUMIFS(PENGELUARAN!$R$5:$R$204,PENGELUARAN!$N$5:$N$204,A6,PENGELUARAN!$AC$5:$AC$204,"LENGKAP"),0))</f>
        <v/>
      </c>
      <c r="J6" s="73" t="str">
        <f>IF(A6="","",SUMIFS(PENGELUARAN!$S$5:$S$204,PENGELUARAN!$N$5:$N$204,A6))</f>
        <v/>
      </c>
      <c r="K6" s="73" t="str">
        <f t="shared" si="1"/>
        <v/>
      </c>
      <c r="L6" s="9" t="str">
        <f t="shared" si="2"/>
        <v/>
      </c>
      <c r="M6" s="103"/>
      <c r="N6" s="80"/>
      <c r="O6" s="6"/>
      <c r="P6" s="6"/>
      <c r="Q6" s="6"/>
      <c r="R6" s="6"/>
      <c r="S6" s="67" t="str">
        <f t="shared" si="3"/>
        <v/>
      </c>
      <c r="T6" s="98"/>
      <c r="U6" s="105"/>
      <c r="V6" s="98"/>
      <c r="W6" s="104" t="str">
        <f t="shared" si="4"/>
        <v/>
      </c>
    </row>
    <row r="7" spans="1:23">
      <c r="A7" s="6" t="str">
        <f t="shared" si="0"/>
        <v/>
      </c>
      <c r="B7" s="80"/>
      <c r="C7" s="6"/>
      <c r="D7" s="80"/>
      <c r="E7" s="80"/>
      <c r="F7" s="46" t="str">
        <f>IF(A7="","",IFERROR(INDEX(PENGELUARAN!$D$5:$D$204,MATCH(A7,PENGELUARAN!$N$5:$N$204,0)),""))</f>
        <v/>
      </c>
      <c r="G7" s="47" t="str">
        <f>IF(F7="","",IFERROR(INDEX(PERKARA!$B$5:$B$104,MATCH(F7,PERKARA!$A$5:$A$104,0)),"ID TIDAK TERDAFTAR"))</f>
        <v/>
      </c>
      <c r="H7" s="73" t="str">
        <f>IF(A7="","",SUMIFS(PENGELUARAN!$K$5:$K$204,PENGELUARAN!$N$5:$N$204,A7))</f>
        <v/>
      </c>
      <c r="I7" s="73" t="str">
        <f>IF(A7="","",IF(AND(T7="Disetujui",M7&lt;&gt;""),SUMIFS(PENGELUARAN!$R$5:$R$204,PENGELUARAN!$N$5:$N$204,A7,PENGELUARAN!$AC$5:$AC$204,"LENGKAP"),0))</f>
        <v/>
      </c>
      <c r="J7" s="73" t="str">
        <f>IF(A7="","",SUMIFS(PENGELUARAN!$S$5:$S$204,PENGELUARAN!$N$5:$N$204,A7))</f>
        <v/>
      </c>
      <c r="K7" s="73" t="str">
        <f t="shared" si="1"/>
        <v/>
      </c>
      <c r="L7" s="9" t="str">
        <f t="shared" si="2"/>
        <v/>
      </c>
      <c r="M7" s="103"/>
      <c r="N7" s="80"/>
      <c r="O7" s="6"/>
      <c r="P7" s="6"/>
      <c r="Q7" s="6"/>
      <c r="R7" s="6"/>
      <c r="S7" s="67" t="str">
        <f t="shared" si="3"/>
        <v/>
      </c>
      <c r="T7" s="98"/>
      <c r="U7" s="105"/>
      <c r="V7" s="98"/>
      <c r="W7" s="104" t="str">
        <f t="shared" si="4"/>
        <v/>
      </c>
    </row>
    <row r="8" spans="1:23">
      <c r="A8" s="6" t="str">
        <f t="shared" si="0"/>
        <v/>
      </c>
      <c r="B8" s="80"/>
      <c r="C8" s="6"/>
      <c r="D8" s="80"/>
      <c r="E8" s="80"/>
      <c r="F8" s="46" t="str">
        <f>IF(A8="","",IFERROR(INDEX(PENGELUARAN!$D$5:$D$204,MATCH(A8,PENGELUARAN!$N$5:$N$204,0)),""))</f>
        <v/>
      </c>
      <c r="G8" s="47" t="str">
        <f>IF(F8="","",IFERROR(INDEX(PERKARA!$B$5:$B$104,MATCH(F8,PERKARA!$A$5:$A$104,0)),"ID TIDAK TERDAFTAR"))</f>
        <v/>
      </c>
      <c r="H8" s="73" t="str">
        <f>IF(A8="","",SUMIFS(PENGELUARAN!$K$5:$K$204,PENGELUARAN!$N$5:$N$204,A8))</f>
        <v/>
      </c>
      <c r="I8" s="73" t="str">
        <f>IF(A8="","",IF(AND(T8="Disetujui",M8&lt;&gt;""),SUMIFS(PENGELUARAN!$R$5:$R$204,PENGELUARAN!$N$5:$N$204,A8,PENGELUARAN!$AC$5:$AC$204,"LENGKAP"),0))</f>
        <v/>
      </c>
      <c r="J8" s="73" t="str">
        <f>IF(A8="","",SUMIFS(PENGELUARAN!$S$5:$S$204,PENGELUARAN!$N$5:$N$204,A8))</f>
        <v/>
      </c>
      <c r="K8" s="73" t="str">
        <f t="shared" si="1"/>
        <v/>
      </c>
      <c r="L8" s="9" t="str">
        <f t="shared" si="2"/>
        <v/>
      </c>
      <c r="M8" s="103"/>
      <c r="N8" s="80"/>
      <c r="O8" s="6"/>
      <c r="P8" s="6"/>
      <c r="Q8" s="6"/>
      <c r="R8" s="6"/>
      <c r="S8" s="67" t="str">
        <f t="shared" si="3"/>
        <v/>
      </c>
      <c r="T8" s="98"/>
      <c r="U8" s="105"/>
      <c r="V8" s="98"/>
      <c r="W8" s="104" t="str">
        <f t="shared" si="4"/>
        <v/>
      </c>
    </row>
    <row r="9" spans="1:23">
      <c r="A9" s="6" t="str">
        <f t="shared" si="0"/>
        <v/>
      </c>
      <c r="B9" s="80"/>
      <c r="C9" s="6"/>
      <c r="D9" s="80"/>
      <c r="E9" s="80"/>
      <c r="F9" s="46" t="str">
        <f>IF(A9="","",IFERROR(INDEX(PENGELUARAN!$D$5:$D$204,MATCH(A9,PENGELUARAN!$N$5:$N$204,0)),""))</f>
        <v/>
      </c>
      <c r="G9" s="47" t="str">
        <f>IF(F9="","",IFERROR(INDEX(PERKARA!$B$5:$B$104,MATCH(F9,PERKARA!$A$5:$A$104,0)),"ID TIDAK TERDAFTAR"))</f>
        <v/>
      </c>
      <c r="H9" s="73" t="str">
        <f>IF(A9="","",SUMIFS(PENGELUARAN!$K$5:$K$204,PENGELUARAN!$N$5:$N$204,A9))</f>
        <v/>
      </c>
      <c r="I9" s="73" t="str">
        <f>IF(A9="","",IF(AND(T9="Disetujui",M9&lt;&gt;""),SUMIFS(PENGELUARAN!$R$5:$R$204,PENGELUARAN!$N$5:$N$204,A9,PENGELUARAN!$AC$5:$AC$204,"LENGKAP"),0))</f>
        <v/>
      </c>
      <c r="J9" s="73" t="str">
        <f>IF(A9="","",SUMIFS(PENGELUARAN!$S$5:$S$204,PENGELUARAN!$N$5:$N$204,A9))</f>
        <v/>
      </c>
      <c r="K9" s="73" t="str">
        <f t="shared" si="1"/>
        <v/>
      </c>
      <c r="L9" s="9" t="str">
        <f t="shared" si="2"/>
        <v/>
      </c>
      <c r="M9" s="103"/>
      <c r="N9" s="80"/>
      <c r="O9" s="6"/>
      <c r="P9" s="6"/>
      <c r="Q9" s="6"/>
      <c r="R9" s="6"/>
      <c r="S9" s="67" t="str">
        <f t="shared" si="3"/>
        <v/>
      </c>
      <c r="T9" s="98"/>
      <c r="U9" s="105"/>
      <c r="V9" s="98"/>
      <c r="W9" s="104" t="str">
        <f t="shared" si="4"/>
        <v/>
      </c>
    </row>
    <row r="10" spans="1:23">
      <c r="A10" s="6" t="str">
        <f t="shared" si="0"/>
        <v/>
      </c>
      <c r="B10" s="80"/>
      <c r="C10" s="6"/>
      <c r="D10" s="80"/>
      <c r="E10" s="80"/>
      <c r="F10" s="46" t="str">
        <f>IF(A10="","",IFERROR(INDEX(PENGELUARAN!$D$5:$D$204,MATCH(A10,PENGELUARAN!$N$5:$N$204,0)),""))</f>
        <v/>
      </c>
      <c r="G10" s="47" t="str">
        <f>IF(F10="","",IFERROR(INDEX(PERKARA!$B$5:$B$104,MATCH(F10,PERKARA!$A$5:$A$104,0)),"ID TIDAK TERDAFTAR"))</f>
        <v/>
      </c>
      <c r="H10" s="73" t="str">
        <f>IF(A10="","",SUMIFS(PENGELUARAN!$K$5:$K$204,PENGELUARAN!$N$5:$N$204,A10))</f>
        <v/>
      </c>
      <c r="I10" s="73" t="str">
        <f>IF(A10="","",IF(AND(T10="Disetujui",M10&lt;&gt;""),SUMIFS(PENGELUARAN!$R$5:$R$204,PENGELUARAN!$N$5:$N$204,A10,PENGELUARAN!$AC$5:$AC$204,"LENGKAP"),0))</f>
        <v/>
      </c>
      <c r="J10" s="73" t="str">
        <f>IF(A10="","",SUMIFS(PENGELUARAN!$S$5:$S$204,PENGELUARAN!$N$5:$N$204,A10))</f>
        <v/>
      </c>
      <c r="K10" s="73" t="str">
        <f t="shared" si="1"/>
        <v/>
      </c>
      <c r="L10" s="9" t="str">
        <f t="shared" si="2"/>
        <v/>
      </c>
      <c r="M10" s="103"/>
      <c r="N10" s="80"/>
      <c r="O10" s="6"/>
      <c r="P10" s="6"/>
      <c r="Q10" s="6"/>
      <c r="R10" s="6"/>
      <c r="S10" s="67" t="str">
        <f t="shared" si="3"/>
        <v/>
      </c>
      <c r="T10" s="98"/>
      <c r="U10" s="105"/>
      <c r="V10" s="98"/>
      <c r="W10" s="104" t="str">
        <f t="shared" si="4"/>
        <v/>
      </c>
    </row>
    <row r="11" spans="1:23">
      <c r="A11" s="6" t="str">
        <f t="shared" si="0"/>
        <v/>
      </c>
      <c r="B11" s="80"/>
      <c r="C11" s="6"/>
      <c r="D11" s="80"/>
      <c r="E11" s="80"/>
      <c r="F11" s="46" t="str">
        <f>IF(A11="","",IFERROR(INDEX(PENGELUARAN!$D$5:$D$204,MATCH(A11,PENGELUARAN!$N$5:$N$204,0)),""))</f>
        <v/>
      </c>
      <c r="G11" s="47" t="str">
        <f>IF(F11="","",IFERROR(INDEX(PERKARA!$B$5:$B$104,MATCH(F11,PERKARA!$A$5:$A$104,0)),"ID TIDAK TERDAFTAR"))</f>
        <v/>
      </c>
      <c r="H11" s="73" t="str">
        <f>IF(A11="","",SUMIFS(PENGELUARAN!$K$5:$K$204,PENGELUARAN!$N$5:$N$204,A11))</f>
        <v/>
      </c>
      <c r="I11" s="73" t="str">
        <f>IF(A11="","",IF(AND(T11="Disetujui",M11&lt;&gt;""),SUMIFS(PENGELUARAN!$R$5:$R$204,PENGELUARAN!$N$5:$N$204,A11,PENGELUARAN!$AC$5:$AC$204,"LENGKAP"),0))</f>
        <v/>
      </c>
      <c r="J11" s="73" t="str">
        <f>IF(A11="","",SUMIFS(PENGELUARAN!$S$5:$S$204,PENGELUARAN!$N$5:$N$204,A11))</f>
        <v/>
      </c>
      <c r="K11" s="73" t="str">
        <f t="shared" si="1"/>
        <v/>
      </c>
      <c r="L11" s="9" t="str">
        <f t="shared" si="2"/>
        <v/>
      </c>
      <c r="M11" s="103"/>
      <c r="N11" s="80"/>
      <c r="O11" s="6"/>
      <c r="P11" s="6"/>
      <c r="Q11" s="6"/>
      <c r="R11" s="6"/>
      <c r="S11" s="67" t="str">
        <f t="shared" si="3"/>
        <v/>
      </c>
      <c r="T11" s="98"/>
      <c r="U11" s="105"/>
      <c r="V11" s="98"/>
      <c r="W11" s="104" t="str">
        <f t="shared" si="4"/>
        <v/>
      </c>
    </row>
    <row r="12" spans="1:23">
      <c r="A12" s="6" t="str">
        <f t="shared" si="0"/>
        <v/>
      </c>
      <c r="B12" s="80"/>
      <c r="C12" s="6"/>
      <c r="D12" s="80"/>
      <c r="E12" s="80"/>
      <c r="F12" s="46" t="str">
        <f>IF(A12="","",IFERROR(INDEX(PENGELUARAN!$D$5:$D$204,MATCH(A12,PENGELUARAN!$N$5:$N$204,0)),""))</f>
        <v/>
      </c>
      <c r="G12" s="47" t="str">
        <f>IF(F12="","",IFERROR(INDEX(PERKARA!$B$5:$B$104,MATCH(F12,PERKARA!$A$5:$A$104,0)),"ID TIDAK TERDAFTAR"))</f>
        <v/>
      </c>
      <c r="H12" s="73" t="str">
        <f>IF(A12="","",SUMIFS(PENGELUARAN!$K$5:$K$204,PENGELUARAN!$N$5:$N$204,A12))</f>
        <v/>
      </c>
      <c r="I12" s="73" t="str">
        <f>IF(A12="","",IF(AND(T12="Disetujui",M12&lt;&gt;""),SUMIFS(PENGELUARAN!$R$5:$R$204,PENGELUARAN!$N$5:$N$204,A12,PENGELUARAN!$AC$5:$AC$204,"LENGKAP"),0))</f>
        <v/>
      </c>
      <c r="J12" s="73" t="str">
        <f>IF(A12="","",SUMIFS(PENGELUARAN!$S$5:$S$204,PENGELUARAN!$N$5:$N$204,A12))</f>
        <v/>
      </c>
      <c r="K12" s="73" t="str">
        <f t="shared" si="1"/>
        <v/>
      </c>
      <c r="L12" s="9" t="str">
        <f t="shared" si="2"/>
        <v/>
      </c>
      <c r="M12" s="103"/>
      <c r="N12" s="80"/>
      <c r="O12" s="6"/>
      <c r="P12" s="6"/>
      <c r="Q12" s="6"/>
      <c r="R12" s="6"/>
      <c r="S12" s="67" t="str">
        <f t="shared" si="3"/>
        <v/>
      </c>
      <c r="T12" s="98"/>
      <c r="U12" s="105"/>
      <c r="V12" s="98"/>
      <c r="W12" s="104" t="str">
        <f t="shared" si="4"/>
        <v/>
      </c>
    </row>
    <row r="13" spans="1:23">
      <c r="A13" s="6" t="str">
        <f t="shared" si="0"/>
        <v/>
      </c>
      <c r="B13" s="80"/>
      <c r="C13" s="6"/>
      <c r="D13" s="80"/>
      <c r="E13" s="80"/>
      <c r="F13" s="46" t="str">
        <f>IF(A13="","",IFERROR(INDEX(PENGELUARAN!$D$5:$D$204,MATCH(A13,PENGELUARAN!$N$5:$N$204,0)),""))</f>
        <v/>
      </c>
      <c r="G13" s="47" t="str">
        <f>IF(F13="","",IFERROR(INDEX(PERKARA!$B$5:$B$104,MATCH(F13,PERKARA!$A$5:$A$104,0)),"ID TIDAK TERDAFTAR"))</f>
        <v/>
      </c>
      <c r="H13" s="73" t="str">
        <f>IF(A13="","",SUMIFS(PENGELUARAN!$K$5:$K$204,PENGELUARAN!$N$5:$N$204,A13))</f>
        <v/>
      </c>
      <c r="I13" s="73" t="str">
        <f>IF(A13="","",IF(AND(T13="Disetujui",M13&lt;&gt;""),SUMIFS(PENGELUARAN!$R$5:$R$204,PENGELUARAN!$N$5:$N$204,A13,PENGELUARAN!$AC$5:$AC$204,"LENGKAP"),0))</f>
        <v/>
      </c>
      <c r="J13" s="73" t="str">
        <f>IF(A13="","",SUMIFS(PENGELUARAN!$S$5:$S$204,PENGELUARAN!$N$5:$N$204,A13))</f>
        <v/>
      </c>
      <c r="K13" s="73" t="str">
        <f t="shared" si="1"/>
        <v/>
      </c>
      <c r="L13" s="9" t="str">
        <f t="shared" si="2"/>
        <v/>
      </c>
      <c r="M13" s="103"/>
      <c r="N13" s="80"/>
      <c r="O13" s="6"/>
      <c r="P13" s="6"/>
      <c r="Q13" s="6"/>
      <c r="R13" s="6"/>
      <c r="S13" s="67" t="str">
        <f t="shared" si="3"/>
        <v/>
      </c>
      <c r="T13" s="98"/>
      <c r="U13" s="105"/>
      <c r="V13" s="98"/>
      <c r="W13" s="104" t="str">
        <f t="shared" si="4"/>
        <v/>
      </c>
    </row>
    <row r="14" spans="1:23">
      <c r="A14" s="6" t="str">
        <f t="shared" si="0"/>
        <v/>
      </c>
      <c r="B14" s="80"/>
      <c r="C14" s="6"/>
      <c r="D14" s="80"/>
      <c r="E14" s="80"/>
      <c r="F14" s="46" t="str">
        <f>IF(A14="","",IFERROR(INDEX(PENGELUARAN!$D$5:$D$204,MATCH(A14,PENGELUARAN!$N$5:$N$204,0)),""))</f>
        <v/>
      </c>
      <c r="G14" s="47" t="str">
        <f>IF(F14="","",IFERROR(INDEX(PERKARA!$B$5:$B$104,MATCH(F14,PERKARA!$A$5:$A$104,0)),"ID TIDAK TERDAFTAR"))</f>
        <v/>
      </c>
      <c r="H14" s="73" t="str">
        <f>IF(A14="","",SUMIFS(PENGELUARAN!$K$5:$K$204,PENGELUARAN!$N$5:$N$204,A14))</f>
        <v/>
      </c>
      <c r="I14" s="73" t="str">
        <f>IF(A14="","",IF(AND(T14="Disetujui",M14&lt;&gt;""),SUMIFS(PENGELUARAN!$R$5:$R$204,PENGELUARAN!$N$5:$N$204,A14,PENGELUARAN!$AC$5:$AC$204,"LENGKAP"),0))</f>
        <v/>
      </c>
      <c r="J14" s="73" t="str">
        <f>IF(A14="","",SUMIFS(PENGELUARAN!$S$5:$S$204,PENGELUARAN!$N$5:$N$204,A14))</f>
        <v/>
      </c>
      <c r="K14" s="73" t="str">
        <f t="shared" si="1"/>
        <v/>
      </c>
      <c r="L14" s="9" t="str">
        <f t="shared" si="2"/>
        <v/>
      </c>
      <c r="M14" s="103"/>
      <c r="N14" s="80"/>
      <c r="O14" s="6"/>
      <c r="P14" s="6"/>
      <c r="Q14" s="6"/>
      <c r="R14" s="6"/>
      <c r="S14" s="67" t="str">
        <f t="shared" si="3"/>
        <v/>
      </c>
      <c r="T14" s="98"/>
      <c r="U14" s="105"/>
      <c r="V14" s="98"/>
      <c r="W14" s="104" t="str">
        <f t="shared" si="4"/>
        <v/>
      </c>
    </row>
    <row r="15" spans="1:23">
      <c r="A15" s="6" t="str">
        <f t="shared" si="0"/>
        <v/>
      </c>
      <c r="B15" s="80"/>
      <c r="C15" s="6"/>
      <c r="D15" s="80"/>
      <c r="E15" s="80"/>
      <c r="F15" s="46" t="str">
        <f>IF(A15="","",IFERROR(INDEX(PENGELUARAN!$D$5:$D$204,MATCH(A15,PENGELUARAN!$N$5:$N$204,0)),""))</f>
        <v/>
      </c>
      <c r="G15" s="47" t="str">
        <f>IF(F15="","",IFERROR(INDEX(PERKARA!$B$5:$B$104,MATCH(F15,PERKARA!$A$5:$A$104,0)),"ID TIDAK TERDAFTAR"))</f>
        <v/>
      </c>
      <c r="H15" s="73" t="str">
        <f>IF(A15="","",SUMIFS(PENGELUARAN!$K$5:$K$204,PENGELUARAN!$N$5:$N$204,A15))</f>
        <v/>
      </c>
      <c r="I15" s="73" t="str">
        <f>IF(A15="","",IF(AND(T15="Disetujui",M15&lt;&gt;""),SUMIFS(PENGELUARAN!$R$5:$R$204,PENGELUARAN!$N$5:$N$204,A15,PENGELUARAN!$AC$5:$AC$204,"LENGKAP"),0))</f>
        <v/>
      </c>
      <c r="J15" s="73" t="str">
        <f>IF(A15="","",SUMIFS(PENGELUARAN!$S$5:$S$204,PENGELUARAN!$N$5:$N$204,A15))</f>
        <v/>
      </c>
      <c r="K15" s="73" t="str">
        <f t="shared" si="1"/>
        <v/>
      </c>
      <c r="L15" s="9" t="str">
        <f t="shared" si="2"/>
        <v/>
      </c>
      <c r="M15" s="103"/>
      <c r="N15" s="80"/>
      <c r="O15" s="6"/>
      <c r="P15" s="6"/>
      <c r="Q15" s="6"/>
      <c r="R15" s="6"/>
      <c r="S15" s="67" t="str">
        <f t="shared" si="3"/>
        <v/>
      </c>
      <c r="T15" s="98"/>
      <c r="U15" s="105"/>
      <c r="V15" s="98"/>
      <c r="W15" s="104" t="str">
        <f t="shared" si="4"/>
        <v/>
      </c>
    </row>
    <row r="16" spans="1:23">
      <c r="A16" s="6" t="str">
        <f t="shared" si="0"/>
        <v/>
      </c>
      <c r="B16" s="80"/>
      <c r="C16" s="6"/>
      <c r="D16" s="80"/>
      <c r="E16" s="80"/>
      <c r="F16" s="46" t="str">
        <f>IF(A16="","",IFERROR(INDEX(PENGELUARAN!$D$5:$D$204,MATCH(A16,PENGELUARAN!$N$5:$N$204,0)),""))</f>
        <v/>
      </c>
      <c r="G16" s="47" t="str">
        <f>IF(F16="","",IFERROR(INDEX(PERKARA!$B$5:$B$104,MATCH(F16,PERKARA!$A$5:$A$104,0)),"ID TIDAK TERDAFTAR"))</f>
        <v/>
      </c>
      <c r="H16" s="73" t="str">
        <f>IF(A16="","",SUMIFS(PENGELUARAN!$K$5:$K$204,PENGELUARAN!$N$5:$N$204,A16))</f>
        <v/>
      </c>
      <c r="I16" s="73" t="str">
        <f>IF(A16="","",IF(AND(T16="Disetujui",M16&lt;&gt;""),SUMIFS(PENGELUARAN!$R$5:$R$204,PENGELUARAN!$N$5:$N$204,A16,PENGELUARAN!$AC$5:$AC$204,"LENGKAP"),0))</f>
        <v/>
      </c>
      <c r="J16" s="73" t="str">
        <f>IF(A16="","",SUMIFS(PENGELUARAN!$S$5:$S$204,PENGELUARAN!$N$5:$N$204,A16))</f>
        <v/>
      </c>
      <c r="K16" s="73" t="str">
        <f t="shared" si="1"/>
        <v/>
      </c>
      <c r="L16" s="9" t="str">
        <f t="shared" si="2"/>
        <v/>
      </c>
      <c r="M16" s="103"/>
      <c r="N16" s="80"/>
      <c r="O16" s="6"/>
      <c r="P16" s="6"/>
      <c r="Q16" s="6"/>
      <c r="R16" s="6"/>
      <c r="S16" s="67" t="str">
        <f t="shared" si="3"/>
        <v/>
      </c>
      <c r="T16" s="98"/>
      <c r="U16" s="105"/>
      <c r="V16" s="98"/>
      <c r="W16" s="104" t="str">
        <f t="shared" si="4"/>
        <v/>
      </c>
    </row>
    <row r="17" spans="1:23">
      <c r="A17" s="6" t="str">
        <f t="shared" si="0"/>
        <v/>
      </c>
      <c r="B17" s="80"/>
      <c r="C17" s="6"/>
      <c r="D17" s="80"/>
      <c r="E17" s="80"/>
      <c r="F17" s="46" t="str">
        <f>IF(A17="","",IFERROR(INDEX(PENGELUARAN!$D$5:$D$204,MATCH(A17,PENGELUARAN!$N$5:$N$204,0)),""))</f>
        <v/>
      </c>
      <c r="G17" s="47" t="str">
        <f>IF(F17="","",IFERROR(INDEX(PERKARA!$B$5:$B$104,MATCH(F17,PERKARA!$A$5:$A$104,0)),"ID TIDAK TERDAFTAR"))</f>
        <v/>
      </c>
      <c r="H17" s="73" t="str">
        <f>IF(A17="","",SUMIFS(PENGELUARAN!$K$5:$K$204,PENGELUARAN!$N$5:$N$204,A17))</f>
        <v/>
      </c>
      <c r="I17" s="73" t="str">
        <f>IF(A17="","",IF(AND(T17="Disetujui",M17&lt;&gt;""),SUMIFS(PENGELUARAN!$R$5:$R$204,PENGELUARAN!$N$5:$N$204,A17,PENGELUARAN!$AC$5:$AC$204,"LENGKAP"),0))</f>
        <v/>
      </c>
      <c r="J17" s="73" t="str">
        <f>IF(A17="","",SUMIFS(PENGELUARAN!$S$5:$S$204,PENGELUARAN!$N$5:$N$204,A17))</f>
        <v/>
      </c>
      <c r="K17" s="73" t="str">
        <f t="shared" si="1"/>
        <v/>
      </c>
      <c r="L17" s="9" t="str">
        <f t="shared" si="2"/>
        <v/>
      </c>
      <c r="M17" s="103"/>
      <c r="N17" s="80"/>
      <c r="O17" s="6"/>
      <c r="P17" s="6"/>
      <c r="Q17" s="6"/>
      <c r="R17" s="6"/>
      <c r="S17" s="67" t="str">
        <f t="shared" si="3"/>
        <v/>
      </c>
      <c r="T17" s="98"/>
      <c r="U17" s="105"/>
      <c r="V17" s="98"/>
      <c r="W17" s="104" t="str">
        <f t="shared" si="4"/>
        <v/>
      </c>
    </row>
    <row r="18" spans="1:23">
      <c r="A18" s="6" t="str">
        <f t="shared" si="0"/>
        <v/>
      </c>
      <c r="B18" s="80"/>
      <c r="C18" s="6"/>
      <c r="D18" s="80"/>
      <c r="E18" s="80"/>
      <c r="F18" s="46" t="str">
        <f>IF(A18="","",IFERROR(INDEX(PENGELUARAN!$D$5:$D$204,MATCH(A18,PENGELUARAN!$N$5:$N$204,0)),""))</f>
        <v/>
      </c>
      <c r="G18" s="47" t="str">
        <f>IF(F18="","",IFERROR(INDEX(PERKARA!$B$5:$B$104,MATCH(F18,PERKARA!$A$5:$A$104,0)),"ID TIDAK TERDAFTAR"))</f>
        <v/>
      </c>
      <c r="H18" s="73" t="str">
        <f>IF(A18="","",SUMIFS(PENGELUARAN!$K$5:$K$204,PENGELUARAN!$N$5:$N$204,A18))</f>
        <v/>
      </c>
      <c r="I18" s="73" t="str">
        <f>IF(A18="","",IF(AND(T18="Disetujui",M18&lt;&gt;""),SUMIFS(PENGELUARAN!$R$5:$R$204,PENGELUARAN!$N$5:$N$204,A18,PENGELUARAN!$AC$5:$AC$204,"LENGKAP"),0))</f>
        <v/>
      </c>
      <c r="J18" s="73" t="str">
        <f>IF(A18="","",SUMIFS(PENGELUARAN!$S$5:$S$204,PENGELUARAN!$N$5:$N$204,A18))</f>
        <v/>
      </c>
      <c r="K18" s="73" t="str">
        <f t="shared" si="1"/>
        <v/>
      </c>
      <c r="L18" s="9" t="str">
        <f t="shared" si="2"/>
        <v/>
      </c>
      <c r="M18" s="103"/>
      <c r="N18" s="80"/>
      <c r="O18" s="6"/>
      <c r="P18" s="6"/>
      <c r="Q18" s="6"/>
      <c r="R18" s="6"/>
      <c r="S18" s="67" t="str">
        <f t="shared" si="3"/>
        <v/>
      </c>
      <c r="T18" s="98"/>
      <c r="U18" s="105"/>
      <c r="V18" s="98"/>
      <c r="W18" s="104" t="str">
        <f t="shared" si="4"/>
        <v/>
      </c>
    </row>
    <row r="19" spans="1:23">
      <c r="A19" s="6" t="str">
        <f t="shared" si="0"/>
        <v/>
      </c>
      <c r="B19" s="80"/>
      <c r="C19" s="6"/>
      <c r="D19" s="80"/>
      <c r="E19" s="80"/>
      <c r="F19" s="46" t="str">
        <f>IF(A19="","",IFERROR(INDEX(PENGELUARAN!$D$5:$D$204,MATCH(A19,PENGELUARAN!$N$5:$N$204,0)),""))</f>
        <v/>
      </c>
      <c r="G19" s="47" t="str">
        <f>IF(F19="","",IFERROR(INDEX(PERKARA!$B$5:$B$104,MATCH(F19,PERKARA!$A$5:$A$104,0)),"ID TIDAK TERDAFTAR"))</f>
        <v/>
      </c>
      <c r="H19" s="73" t="str">
        <f>IF(A19="","",SUMIFS(PENGELUARAN!$K$5:$K$204,PENGELUARAN!$N$5:$N$204,A19))</f>
        <v/>
      </c>
      <c r="I19" s="73" t="str">
        <f>IF(A19="","",IF(AND(T19="Disetujui",M19&lt;&gt;""),SUMIFS(PENGELUARAN!$R$5:$R$204,PENGELUARAN!$N$5:$N$204,A19,PENGELUARAN!$AC$5:$AC$204,"LENGKAP"),0))</f>
        <v/>
      </c>
      <c r="J19" s="73" t="str">
        <f>IF(A19="","",SUMIFS(PENGELUARAN!$S$5:$S$204,PENGELUARAN!$N$5:$N$204,A19))</f>
        <v/>
      </c>
      <c r="K19" s="73" t="str">
        <f t="shared" si="1"/>
        <v/>
      </c>
      <c r="L19" s="9" t="str">
        <f t="shared" si="2"/>
        <v/>
      </c>
      <c r="M19" s="103"/>
      <c r="N19" s="80"/>
      <c r="O19" s="6"/>
      <c r="P19" s="6"/>
      <c r="Q19" s="6"/>
      <c r="R19" s="6"/>
      <c r="S19" s="67" t="str">
        <f t="shared" si="3"/>
        <v/>
      </c>
      <c r="T19" s="98"/>
      <c r="U19" s="105"/>
      <c r="V19" s="98"/>
      <c r="W19" s="104" t="str">
        <f t="shared" si="4"/>
        <v/>
      </c>
    </row>
    <row r="20" spans="1:23">
      <c r="A20" s="6" t="str">
        <f t="shared" si="0"/>
        <v/>
      </c>
      <c r="B20" s="80"/>
      <c r="C20" s="6"/>
      <c r="D20" s="80"/>
      <c r="E20" s="80"/>
      <c r="F20" s="46" t="str">
        <f>IF(A20="","",IFERROR(INDEX(PENGELUARAN!$D$5:$D$204,MATCH(A20,PENGELUARAN!$N$5:$N$204,0)),""))</f>
        <v/>
      </c>
      <c r="G20" s="47" t="str">
        <f>IF(F20="","",IFERROR(INDEX(PERKARA!$B$5:$B$104,MATCH(F20,PERKARA!$A$5:$A$104,0)),"ID TIDAK TERDAFTAR"))</f>
        <v/>
      </c>
      <c r="H20" s="73" t="str">
        <f>IF(A20="","",SUMIFS(PENGELUARAN!$K$5:$K$204,PENGELUARAN!$N$5:$N$204,A20))</f>
        <v/>
      </c>
      <c r="I20" s="73" t="str">
        <f>IF(A20="","",IF(AND(T20="Disetujui",M20&lt;&gt;""),SUMIFS(PENGELUARAN!$R$5:$R$204,PENGELUARAN!$N$5:$N$204,A20,PENGELUARAN!$AC$5:$AC$204,"LENGKAP"),0))</f>
        <v/>
      </c>
      <c r="J20" s="73" t="str">
        <f>IF(A20="","",SUMIFS(PENGELUARAN!$S$5:$S$204,PENGELUARAN!$N$5:$N$204,A20))</f>
        <v/>
      </c>
      <c r="K20" s="73" t="str">
        <f t="shared" si="1"/>
        <v/>
      </c>
      <c r="L20" s="9" t="str">
        <f t="shared" si="2"/>
        <v/>
      </c>
      <c r="M20" s="103"/>
      <c r="N20" s="80"/>
      <c r="O20" s="6"/>
      <c r="P20" s="6"/>
      <c r="Q20" s="6"/>
      <c r="R20" s="6"/>
      <c r="S20" s="67" t="str">
        <f t="shared" si="3"/>
        <v/>
      </c>
      <c r="T20" s="98"/>
      <c r="U20" s="105"/>
      <c r="V20" s="98"/>
      <c r="W20" s="104" t="str">
        <f t="shared" si="4"/>
        <v/>
      </c>
    </row>
    <row r="21" spans="1:23">
      <c r="A21" s="6" t="str">
        <f t="shared" si="0"/>
        <v/>
      </c>
      <c r="B21" s="80"/>
      <c r="C21" s="6"/>
      <c r="D21" s="80"/>
      <c r="E21" s="80"/>
      <c r="F21" s="46" t="str">
        <f>IF(A21="","",IFERROR(INDEX(PENGELUARAN!$D$5:$D$204,MATCH(A21,PENGELUARAN!$N$5:$N$204,0)),""))</f>
        <v/>
      </c>
      <c r="G21" s="47" t="str">
        <f>IF(F21="","",IFERROR(INDEX(PERKARA!$B$5:$B$104,MATCH(F21,PERKARA!$A$5:$A$104,0)),"ID TIDAK TERDAFTAR"))</f>
        <v/>
      </c>
      <c r="H21" s="73" t="str">
        <f>IF(A21="","",SUMIFS(PENGELUARAN!$K$5:$K$204,PENGELUARAN!$N$5:$N$204,A21))</f>
        <v/>
      </c>
      <c r="I21" s="73" t="str">
        <f>IF(A21="","",IF(AND(T21="Disetujui",M21&lt;&gt;""),SUMIFS(PENGELUARAN!$R$5:$R$204,PENGELUARAN!$N$5:$N$204,A21,PENGELUARAN!$AC$5:$AC$204,"LENGKAP"),0))</f>
        <v/>
      </c>
      <c r="J21" s="73" t="str">
        <f>IF(A21="","",SUMIFS(PENGELUARAN!$S$5:$S$204,PENGELUARAN!$N$5:$N$204,A21))</f>
        <v/>
      </c>
      <c r="K21" s="73" t="str">
        <f t="shared" si="1"/>
        <v/>
      </c>
      <c r="L21" s="9" t="str">
        <f t="shared" si="2"/>
        <v/>
      </c>
      <c r="M21" s="103"/>
      <c r="N21" s="80"/>
      <c r="O21" s="6"/>
      <c r="P21" s="6"/>
      <c r="Q21" s="6"/>
      <c r="R21" s="6"/>
      <c r="S21" s="67" t="str">
        <f t="shared" si="3"/>
        <v/>
      </c>
      <c r="T21" s="98"/>
      <c r="U21" s="105"/>
      <c r="V21" s="98"/>
      <c r="W21" s="104" t="str">
        <f t="shared" si="4"/>
        <v/>
      </c>
    </row>
    <row r="22" spans="1:23">
      <c r="A22" s="6" t="str">
        <f t="shared" si="0"/>
        <v/>
      </c>
      <c r="B22" s="80"/>
      <c r="C22" s="6"/>
      <c r="D22" s="80"/>
      <c r="E22" s="80"/>
      <c r="F22" s="46" t="str">
        <f>IF(A22="","",IFERROR(INDEX(PENGELUARAN!$D$5:$D$204,MATCH(A22,PENGELUARAN!$N$5:$N$204,0)),""))</f>
        <v/>
      </c>
      <c r="G22" s="47" t="str">
        <f>IF(F22="","",IFERROR(INDEX(PERKARA!$B$5:$B$104,MATCH(F22,PERKARA!$A$5:$A$104,0)),"ID TIDAK TERDAFTAR"))</f>
        <v/>
      </c>
      <c r="H22" s="73" t="str">
        <f>IF(A22="","",SUMIFS(PENGELUARAN!$K$5:$K$204,PENGELUARAN!$N$5:$N$204,A22))</f>
        <v/>
      </c>
      <c r="I22" s="73" t="str">
        <f>IF(A22="","",IF(AND(T22="Disetujui",M22&lt;&gt;""),SUMIFS(PENGELUARAN!$R$5:$R$204,PENGELUARAN!$N$5:$N$204,A22,PENGELUARAN!$AC$5:$AC$204,"LENGKAP"),0))</f>
        <v/>
      </c>
      <c r="J22" s="73" t="str">
        <f>IF(A22="","",SUMIFS(PENGELUARAN!$S$5:$S$204,PENGELUARAN!$N$5:$N$204,A22))</f>
        <v/>
      </c>
      <c r="K22" s="73" t="str">
        <f t="shared" si="1"/>
        <v/>
      </c>
      <c r="L22" s="9" t="str">
        <f t="shared" si="2"/>
        <v/>
      </c>
      <c r="M22" s="103"/>
      <c r="N22" s="80"/>
      <c r="O22" s="6"/>
      <c r="P22" s="6"/>
      <c r="Q22" s="6"/>
      <c r="R22" s="6"/>
      <c r="S22" s="67" t="str">
        <f t="shared" si="3"/>
        <v/>
      </c>
      <c r="T22" s="98"/>
      <c r="U22" s="105"/>
      <c r="V22" s="98"/>
      <c r="W22" s="104" t="str">
        <f t="shared" si="4"/>
        <v/>
      </c>
    </row>
    <row r="23" spans="1:23">
      <c r="A23" s="6" t="str">
        <f t="shared" si="0"/>
        <v/>
      </c>
      <c r="B23" s="80"/>
      <c r="C23" s="6"/>
      <c r="D23" s="80"/>
      <c r="E23" s="80"/>
      <c r="F23" s="46" t="str">
        <f>IF(A23="","",IFERROR(INDEX(PENGELUARAN!$D$5:$D$204,MATCH(A23,PENGELUARAN!$N$5:$N$204,0)),""))</f>
        <v/>
      </c>
      <c r="G23" s="47" t="str">
        <f>IF(F23="","",IFERROR(INDEX(PERKARA!$B$5:$B$104,MATCH(F23,PERKARA!$A$5:$A$104,0)),"ID TIDAK TERDAFTAR"))</f>
        <v/>
      </c>
      <c r="H23" s="73" t="str">
        <f>IF(A23="","",SUMIFS(PENGELUARAN!$K$5:$K$204,PENGELUARAN!$N$5:$N$204,A23))</f>
        <v/>
      </c>
      <c r="I23" s="73" t="str">
        <f>IF(A23="","",IF(AND(T23="Disetujui",M23&lt;&gt;""),SUMIFS(PENGELUARAN!$R$5:$R$204,PENGELUARAN!$N$5:$N$204,A23,PENGELUARAN!$AC$5:$AC$204,"LENGKAP"),0))</f>
        <v/>
      </c>
      <c r="J23" s="73" t="str">
        <f>IF(A23="","",SUMIFS(PENGELUARAN!$S$5:$S$204,PENGELUARAN!$N$5:$N$204,A23))</f>
        <v/>
      </c>
      <c r="K23" s="73" t="str">
        <f t="shared" si="1"/>
        <v/>
      </c>
      <c r="L23" s="9" t="str">
        <f t="shared" si="2"/>
        <v/>
      </c>
      <c r="M23" s="103"/>
      <c r="N23" s="80"/>
      <c r="O23" s="6"/>
      <c r="P23" s="6"/>
      <c r="Q23" s="6"/>
      <c r="R23" s="6"/>
      <c r="S23" s="67" t="str">
        <f t="shared" si="3"/>
        <v/>
      </c>
      <c r="T23" s="98"/>
      <c r="U23" s="105"/>
      <c r="V23" s="98"/>
      <c r="W23" s="104" t="str">
        <f t="shared" si="4"/>
        <v/>
      </c>
    </row>
    <row r="24" spans="1:23">
      <c r="A24" s="6" t="str">
        <f t="shared" si="0"/>
        <v/>
      </c>
      <c r="B24" s="80"/>
      <c r="C24" s="6"/>
      <c r="D24" s="80"/>
      <c r="E24" s="80"/>
      <c r="F24" s="46" t="str">
        <f>IF(A24="","",IFERROR(INDEX(PENGELUARAN!$D$5:$D$204,MATCH(A24,PENGELUARAN!$N$5:$N$204,0)),""))</f>
        <v/>
      </c>
      <c r="G24" s="47" t="str">
        <f>IF(F24="","",IFERROR(INDEX(PERKARA!$B$5:$B$104,MATCH(F24,PERKARA!$A$5:$A$104,0)),"ID TIDAK TERDAFTAR"))</f>
        <v/>
      </c>
      <c r="H24" s="73" t="str">
        <f>IF(A24="","",SUMIFS(PENGELUARAN!$K$5:$K$204,PENGELUARAN!$N$5:$N$204,A24))</f>
        <v/>
      </c>
      <c r="I24" s="73" t="str">
        <f>IF(A24="","",IF(AND(T24="Disetujui",M24&lt;&gt;""),SUMIFS(PENGELUARAN!$R$5:$R$204,PENGELUARAN!$N$5:$N$204,A24,PENGELUARAN!$AC$5:$AC$204,"LENGKAP"),0))</f>
        <v/>
      </c>
      <c r="J24" s="73" t="str">
        <f>IF(A24="","",SUMIFS(PENGELUARAN!$S$5:$S$204,PENGELUARAN!$N$5:$N$204,A24))</f>
        <v/>
      </c>
      <c r="K24" s="73" t="str">
        <f t="shared" si="1"/>
        <v/>
      </c>
      <c r="L24" s="9" t="str">
        <f t="shared" si="2"/>
        <v/>
      </c>
      <c r="M24" s="103"/>
      <c r="N24" s="80"/>
      <c r="O24" s="6"/>
      <c r="P24" s="6"/>
      <c r="Q24" s="6"/>
      <c r="R24" s="6"/>
      <c r="S24" s="67" t="str">
        <f t="shared" si="3"/>
        <v/>
      </c>
      <c r="T24" s="98"/>
      <c r="U24" s="105"/>
      <c r="V24" s="98"/>
      <c r="W24" s="104" t="str">
        <f t="shared" si="4"/>
        <v/>
      </c>
    </row>
    <row r="25" spans="1:23">
      <c r="A25" s="6" t="str">
        <f t="shared" si="0"/>
        <v/>
      </c>
      <c r="B25" s="80"/>
      <c r="C25" s="6"/>
      <c r="D25" s="80"/>
      <c r="E25" s="80"/>
      <c r="F25" s="46" t="str">
        <f>IF(A25="","",IFERROR(INDEX(PENGELUARAN!$D$5:$D$204,MATCH(A25,PENGELUARAN!$N$5:$N$204,0)),""))</f>
        <v/>
      </c>
      <c r="G25" s="47" t="str">
        <f>IF(F25="","",IFERROR(INDEX(PERKARA!$B$5:$B$104,MATCH(F25,PERKARA!$A$5:$A$104,0)),"ID TIDAK TERDAFTAR"))</f>
        <v/>
      </c>
      <c r="H25" s="73" t="str">
        <f>IF(A25="","",SUMIFS(PENGELUARAN!$K$5:$K$204,PENGELUARAN!$N$5:$N$204,A25))</f>
        <v/>
      </c>
      <c r="I25" s="73" t="str">
        <f>IF(A25="","",IF(AND(T25="Disetujui",M25&lt;&gt;""),SUMIFS(PENGELUARAN!$R$5:$R$204,PENGELUARAN!$N$5:$N$204,A25,PENGELUARAN!$AC$5:$AC$204,"LENGKAP"),0))</f>
        <v/>
      </c>
      <c r="J25" s="73" t="str">
        <f>IF(A25="","",SUMIFS(PENGELUARAN!$S$5:$S$204,PENGELUARAN!$N$5:$N$204,A25))</f>
        <v/>
      </c>
      <c r="K25" s="73" t="str">
        <f t="shared" si="1"/>
        <v/>
      </c>
      <c r="L25" s="9" t="str">
        <f t="shared" si="2"/>
        <v/>
      </c>
      <c r="M25" s="103"/>
      <c r="N25" s="80"/>
      <c r="O25" s="6"/>
      <c r="P25" s="6"/>
      <c r="Q25" s="6"/>
      <c r="R25" s="6"/>
      <c r="S25" s="67" t="str">
        <f t="shared" si="3"/>
        <v/>
      </c>
      <c r="T25" s="98"/>
      <c r="U25" s="105"/>
      <c r="V25" s="98"/>
      <c r="W25" s="104" t="str">
        <f t="shared" si="4"/>
        <v/>
      </c>
    </row>
    <row r="26" spans="1:23">
      <c r="A26" s="6" t="str">
        <f t="shared" si="0"/>
        <v/>
      </c>
      <c r="B26" s="80"/>
      <c r="C26" s="6"/>
      <c r="D26" s="80"/>
      <c r="E26" s="80"/>
      <c r="F26" s="46" t="str">
        <f>IF(A26="","",IFERROR(INDEX(PENGELUARAN!$D$5:$D$204,MATCH(A26,PENGELUARAN!$N$5:$N$204,0)),""))</f>
        <v/>
      </c>
      <c r="G26" s="47" t="str">
        <f>IF(F26="","",IFERROR(INDEX(PERKARA!$B$5:$B$104,MATCH(F26,PERKARA!$A$5:$A$104,0)),"ID TIDAK TERDAFTAR"))</f>
        <v/>
      </c>
      <c r="H26" s="73" t="str">
        <f>IF(A26="","",SUMIFS(PENGELUARAN!$K$5:$K$204,PENGELUARAN!$N$5:$N$204,A26))</f>
        <v/>
      </c>
      <c r="I26" s="73" t="str">
        <f>IF(A26="","",IF(AND(T26="Disetujui",M26&lt;&gt;""),SUMIFS(PENGELUARAN!$R$5:$R$204,PENGELUARAN!$N$5:$N$204,A26,PENGELUARAN!$AC$5:$AC$204,"LENGKAP"),0))</f>
        <v/>
      </c>
      <c r="J26" s="73" t="str">
        <f>IF(A26="","",SUMIFS(PENGELUARAN!$S$5:$S$204,PENGELUARAN!$N$5:$N$204,A26))</f>
        <v/>
      </c>
      <c r="K26" s="73" t="str">
        <f t="shared" si="1"/>
        <v/>
      </c>
      <c r="L26" s="9" t="str">
        <f t="shared" si="2"/>
        <v/>
      </c>
      <c r="M26" s="103"/>
      <c r="N26" s="80"/>
      <c r="O26" s="6"/>
      <c r="P26" s="6"/>
      <c r="Q26" s="6"/>
      <c r="R26" s="6"/>
      <c r="S26" s="67" t="str">
        <f t="shared" si="3"/>
        <v/>
      </c>
      <c r="T26" s="98"/>
      <c r="U26" s="105"/>
      <c r="V26" s="98"/>
      <c r="W26" s="104" t="str">
        <f t="shared" si="4"/>
        <v/>
      </c>
    </row>
    <row r="27" spans="1:23">
      <c r="A27" s="6" t="str">
        <f t="shared" si="0"/>
        <v/>
      </c>
      <c r="B27" s="80"/>
      <c r="C27" s="6"/>
      <c r="D27" s="80"/>
      <c r="E27" s="80"/>
      <c r="F27" s="46" t="str">
        <f>IF(A27="","",IFERROR(INDEX(PENGELUARAN!$D$5:$D$204,MATCH(A27,PENGELUARAN!$N$5:$N$204,0)),""))</f>
        <v/>
      </c>
      <c r="G27" s="47" t="str">
        <f>IF(F27="","",IFERROR(INDEX(PERKARA!$B$5:$B$104,MATCH(F27,PERKARA!$A$5:$A$104,0)),"ID TIDAK TERDAFTAR"))</f>
        <v/>
      </c>
      <c r="H27" s="73" t="str">
        <f>IF(A27="","",SUMIFS(PENGELUARAN!$K$5:$K$204,PENGELUARAN!$N$5:$N$204,A27))</f>
        <v/>
      </c>
      <c r="I27" s="73" t="str">
        <f>IF(A27="","",IF(AND(T27="Disetujui",M27&lt;&gt;""),SUMIFS(PENGELUARAN!$R$5:$R$204,PENGELUARAN!$N$5:$N$204,A27,PENGELUARAN!$AC$5:$AC$204,"LENGKAP"),0))</f>
        <v/>
      </c>
      <c r="J27" s="73" t="str">
        <f>IF(A27="","",SUMIFS(PENGELUARAN!$S$5:$S$204,PENGELUARAN!$N$5:$N$204,A27))</f>
        <v/>
      </c>
      <c r="K27" s="73" t="str">
        <f t="shared" si="1"/>
        <v/>
      </c>
      <c r="L27" s="9" t="str">
        <f t="shared" si="2"/>
        <v/>
      </c>
      <c r="M27" s="103"/>
      <c r="N27" s="80"/>
      <c r="O27" s="6"/>
      <c r="P27" s="6"/>
      <c r="Q27" s="6"/>
      <c r="R27" s="6"/>
      <c r="S27" s="67" t="str">
        <f t="shared" si="3"/>
        <v/>
      </c>
      <c r="T27" s="98"/>
      <c r="U27" s="105"/>
      <c r="V27" s="98"/>
      <c r="W27" s="104" t="str">
        <f t="shared" si="4"/>
        <v/>
      </c>
    </row>
    <row r="28" spans="1:23">
      <c r="A28" s="6" t="str">
        <f t="shared" si="0"/>
        <v/>
      </c>
      <c r="B28" s="80"/>
      <c r="C28" s="6"/>
      <c r="D28" s="80"/>
      <c r="E28" s="80"/>
      <c r="F28" s="46" t="str">
        <f>IF(A28="","",IFERROR(INDEX(PENGELUARAN!$D$5:$D$204,MATCH(A28,PENGELUARAN!$N$5:$N$204,0)),""))</f>
        <v/>
      </c>
      <c r="G28" s="47" t="str">
        <f>IF(F28="","",IFERROR(INDEX(PERKARA!$B$5:$B$104,MATCH(F28,PERKARA!$A$5:$A$104,0)),"ID TIDAK TERDAFTAR"))</f>
        <v/>
      </c>
      <c r="H28" s="73" t="str">
        <f>IF(A28="","",SUMIFS(PENGELUARAN!$K$5:$K$204,PENGELUARAN!$N$5:$N$204,A28))</f>
        <v/>
      </c>
      <c r="I28" s="73" t="str">
        <f>IF(A28="","",IF(AND(T28="Disetujui",M28&lt;&gt;""),SUMIFS(PENGELUARAN!$R$5:$R$204,PENGELUARAN!$N$5:$N$204,A28,PENGELUARAN!$AC$5:$AC$204,"LENGKAP"),0))</f>
        <v/>
      </c>
      <c r="J28" s="73" t="str">
        <f>IF(A28="","",SUMIFS(PENGELUARAN!$S$5:$S$204,PENGELUARAN!$N$5:$N$204,A28))</f>
        <v/>
      </c>
      <c r="K28" s="73" t="str">
        <f t="shared" si="1"/>
        <v/>
      </c>
      <c r="L28" s="9" t="str">
        <f t="shared" si="2"/>
        <v/>
      </c>
      <c r="M28" s="103"/>
      <c r="N28" s="80"/>
      <c r="O28" s="6"/>
      <c r="P28" s="6"/>
      <c r="Q28" s="6"/>
      <c r="R28" s="6"/>
      <c r="S28" s="67" t="str">
        <f t="shared" si="3"/>
        <v/>
      </c>
      <c r="T28" s="98"/>
      <c r="U28" s="105"/>
      <c r="V28" s="98"/>
      <c r="W28" s="104" t="str">
        <f t="shared" si="4"/>
        <v/>
      </c>
    </row>
    <row r="29" spans="1:23">
      <c r="A29" s="6" t="str">
        <f t="shared" si="0"/>
        <v/>
      </c>
      <c r="B29" s="80"/>
      <c r="C29" s="6"/>
      <c r="D29" s="80"/>
      <c r="E29" s="80"/>
      <c r="F29" s="46" t="str">
        <f>IF(A29="","",IFERROR(INDEX(PENGELUARAN!$D$5:$D$204,MATCH(A29,PENGELUARAN!$N$5:$N$204,0)),""))</f>
        <v/>
      </c>
      <c r="G29" s="47" t="str">
        <f>IF(F29="","",IFERROR(INDEX(PERKARA!$B$5:$B$104,MATCH(F29,PERKARA!$A$5:$A$104,0)),"ID TIDAK TERDAFTAR"))</f>
        <v/>
      </c>
      <c r="H29" s="73" t="str">
        <f>IF(A29="","",SUMIFS(PENGELUARAN!$K$5:$K$204,PENGELUARAN!$N$5:$N$204,A29))</f>
        <v/>
      </c>
      <c r="I29" s="73" t="str">
        <f>IF(A29="","",IF(AND(T29="Disetujui",M29&lt;&gt;""),SUMIFS(PENGELUARAN!$R$5:$R$204,PENGELUARAN!$N$5:$N$204,A29,PENGELUARAN!$AC$5:$AC$204,"LENGKAP"),0))</f>
        <v/>
      </c>
      <c r="J29" s="73" t="str">
        <f>IF(A29="","",SUMIFS(PENGELUARAN!$S$5:$S$204,PENGELUARAN!$N$5:$N$204,A29))</f>
        <v/>
      </c>
      <c r="K29" s="73" t="str">
        <f t="shared" si="1"/>
        <v/>
      </c>
      <c r="L29" s="9" t="str">
        <f t="shared" si="2"/>
        <v/>
      </c>
      <c r="M29" s="103"/>
      <c r="N29" s="80"/>
      <c r="O29" s="6"/>
      <c r="P29" s="6"/>
      <c r="Q29" s="6"/>
      <c r="R29" s="6"/>
      <c r="S29" s="67" t="str">
        <f t="shared" si="3"/>
        <v/>
      </c>
      <c r="T29" s="98"/>
      <c r="U29" s="105"/>
      <c r="V29" s="98"/>
      <c r="W29" s="104" t="str">
        <f t="shared" si="4"/>
        <v/>
      </c>
    </row>
    <row r="30" spans="1:23">
      <c r="A30" s="6" t="str">
        <f t="shared" si="0"/>
        <v/>
      </c>
      <c r="B30" s="80"/>
      <c r="C30" s="6"/>
      <c r="D30" s="80"/>
      <c r="E30" s="80"/>
      <c r="F30" s="46" t="str">
        <f>IF(A30="","",IFERROR(INDEX(PENGELUARAN!$D$5:$D$204,MATCH(A30,PENGELUARAN!$N$5:$N$204,0)),""))</f>
        <v/>
      </c>
      <c r="G30" s="47" t="str">
        <f>IF(F30="","",IFERROR(INDEX(PERKARA!$B$5:$B$104,MATCH(F30,PERKARA!$A$5:$A$104,0)),"ID TIDAK TERDAFTAR"))</f>
        <v/>
      </c>
      <c r="H30" s="73" t="str">
        <f>IF(A30="","",SUMIFS(PENGELUARAN!$K$5:$K$204,PENGELUARAN!$N$5:$N$204,A30))</f>
        <v/>
      </c>
      <c r="I30" s="73" t="str">
        <f>IF(A30="","",IF(AND(T30="Disetujui",M30&lt;&gt;""),SUMIFS(PENGELUARAN!$R$5:$R$204,PENGELUARAN!$N$5:$N$204,A30,PENGELUARAN!$AC$5:$AC$204,"LENGKAP"),0))</f>
        <v/>
      </c>
      <c r="J30" s="73" t="str">
        <f>IF(A30="","",SUMIFS(PENGELUARAN!$S$5:$S$204,PENGELUARAN!$N$5:$N$204,A30))</f>
        <v/>
      </c>
      <c r="K30" s="73" t="str">
        <f t="shared" si="1"/>
        <v/>
      </c>
      <c r="L30" s="9" t="str">
        <f t="shared" si="2"/>
        <v/>
      </c>
      <c r="M30" s="103"/>
      <c r="N30" s="80"/>
      <c r="O30" s="6"/>
      <c r="P30" s="6"/>
      <c r="Q30" s="6"/>
      <c r="R30" s="6"/>
      <c r="S30" s="67" t="str">
        <f t="shared" si="3"/>
        <v/>
      </c>
      <c r="T30" s="98"/>
      <c r="U30" s="105"/>
      <c r="V30" s="98"/>
      <c r="W30" s="104" t="str">
        <f t="shared" si="4"/>
        <v/>
      </c>
    </row>
    <row r="31" spans="1:23">
      <c r="A31" s="6" t="str">
        <f t="shared" si="0"/>
        <v/>
      </c>
      <c r="B31" s="80"/>
      <c r="C31" s="6"/>
      <c r="D31" s="80"/>
      <c r="E31" s="80"/>
      <c r="F31" s="46" t="str">
        <f>IF(A31="","",IFERROR(INDEX(PENGELUARAN!$D$5:$D$204,MATCH(A31,PENGELUARAN!$N$5:$N$204,0)),""))</f>
        <v/>
      </c>
      <c r="G31" s="47" t="str">
        <f>IF(F31="","",IFERROR(INDEX(PERKARA!$B$5:$B$104,MATCH(F31,PERKARA!$A$5:$A$104,0)),"ID TIDAK TERDAFTAR"))</f>
        <v/>
      </c>
      <c r="H31" s="73" t="str">
        <f>IF(A31="","",SUMIFS(PENGELUARAN!$K$5:$K$204,PENGELUARAN!$N$5:$N$204,A31))</f>
        <v/>
      </c>
      <c r="I31" s="73" t="str">
        <f>IF(A31="","",IF(AND(T31="Disetujui",M31&lt;&gt;""),SUMIFS(PENGELUARAN!$R$5:$R$204,PENGELUARAN!$N$5:$N$204,A31,PENGELUARAN!$AC$5:$AC$204,"LENGKAP"),0))</f>
        <v/>
      </c>
      <c r="J31" s="73" t="str">
        <f>IF(A31="","",SUMIFS(PENGELUARAN!$S$5:$S$204,PENGELUARAN!$N$5:$N$204,A31))</f>
        <v/>
      </c>
      <c r="K31" s="73" t="str">
        <f t="shared" si="1"/>
        <v/>
      </c>
      <c r="L31" s="9" t="str">
        <f t="shared" si="2"/>
        <v/>
      </c>
      <c r="M31" s="103"/>
      <c r="N31" s="80"/>
      <c r="O31" s="6"/>
      <c r="P31" s="6"/>
      <c r="Q31" s="6"/>
      <c r="R31" s="6"/>
      <c r="S31" s="67" t="str">
        <f t="shared" si="3"/>
        <v/>
      </c>
      <c r="T31" s="98"/>
      <c r="U31" s="105"/>
      <c r="V31" s="98"/>
      <c r="W31" s="104" t="str">
        <f t="shared" si="4"/>
        <v/>
      </c>
    </row>
    <row r="32" spans="1:23">
      <c r="A32" s="6" t="str">
        <f t="shared" si="0"/>
        <v/>
      </c>
      <c r="B32" s="80"/>
      <c r="C32" s="6"/>
      <c r="D32" s="80"/>
      <c r="E32" s="80"/>
      <c r="F32" s="46" t="str">
        <f>IF(A32="","",IFERROR(INDEX(PENGELUARAN!$D$5:$D$204,MATCH(A32,PENGELUARAN!$N$5:$N$204,0)),""))</f>
        <v/>
      </c>
      <c r="G32" s="47" t="str">
        <f>IF(F32="","",IFERROR(INDEX(PERKARA!$B$5:$B$104,MATCH(F32,PERKARA!$A$5:$A$104,0)),"ID TIDAK TERDAFTAR"))</f>
        <v/>
      </c>
      <c r="H32" s="73" t="str">
        <f>IF(A32="","",SUMIFS(PENGELUARAN!$K$5:$K$204,PENGELUARAN!$N$5:$N$204,A32))</f>
        <v/>
      </c>
      <c r="I32" s="73" t="str">
        <f>IF(A32="","",IF(AND(T32="Disetujui",M32&lt;&gt;""),SUMIFS(PENGELUARAN!$R$5:$R$204,PENGELUARAN!$N$5:$N$204,A32,PENGELUARAN!$AC$5:$AC$204,"LENGKAP"),0))</f>
        <v/>
      </c>
      <c r="J32" s="73" t="str">
        <f>IF(A32="","",SUMIFS(PENGELUARAN!$S$5:$S$204,PENGELUARAN!$N$5:$N$204,A32))</f>
        <v/>
      </c>
      <c r="K32" s="73" t="str">
        <f t="shared" si="1"/>
        <v/>
      </c>
      <c r="L32" s="9" t="str">
        <f t="shared" si="2"/>
        <v/>
      </c>
      <c r="M32" s="103"/>
      <c r="N32" s="80"/>
      <c r="O32" s="6"/>
      <c r="P32" s="6"/>
      <c r="Q32" s="6"/>
      <c r="R32" s="6"/>
      <c r="S32" s="67" t="str">
        <f t="shared" si="3"/>
        <v/>
      </c>
      <c r="T32" s="98"/>
      <c r="U32" s="105"/>
      <c r="V32" s="98"/>
      <c r="W32" s="104" t="str">
        <f t="shared" si="4"/>
        <v/>
      </c>
    </row>
    <row r="33" spans="1:23">
      <c r="A33" s="6" t="str">
        <f t="shared" si="0"/>
        <v/>
      </c>
      <c r="B33" s="80"/>
      <c r="C33" s="6"/>
      <c r="D33" s="80"/>
      <c r="E33" s="80"/>
      <c r="F33" s="46" t="str">
        <f>IF(A33="","",IFERROR(INDEX(PENGELUARAN!$D$5:$D$204,MATCH(A33,PENGELUARAN!$N$5:$N$204,0)),""))</f>
        <v/>
      </c>
      <c r="G33" s="47" t="str">
        <f>IF(F33="","",IFERROR(INDEX(PERKARA!$B$5:$B$104,MATCH(F33,PERKARA!$A$5:$A$104,0)),"ID TIDAK TERDAFTAR"))</f>
        <v/>
      </c>
      <c r="H33" s="73" t="str">
        <f>IF(A33="","",SUMIFS(PENGELUARAN!$K$5:$K$204,PENGELUARAN!$N$5:$N$204,A33))</f>
        <v/>
      </c>
      <c r="I33" s="73" t="str">
        <f>IF(A33="","",IF(AND(T33="Disetujui",M33&lt;&gt;""),SUMIFS(PENGELUARAN!$R$5:$R$204,PENGELUARAN!$N$5:$N$204,A33,PENGELUARAN!$AC$5:$AC$204,"LENGKAP"),0))</f>
        <v/>
      </c>
      <c r="J33" s="73" t="str">
        <f>IF(A33="","",SUMIFS(PENGELUARAN!$S$5:$S$204,PENGELUARAN!$N$5:$N$204,A33))</f>
        <v/>
      </c>
      <c r="K33" s="73" t="str">
        <f t="shared" si="1"/>
        <v/>
      </c>
      <c r="L33" s="9" t="str">
        <f t="shared" si="2"/>
        <v/>
      </c>
      <c r="M33" s="103"/>
      <c r="N33" s="80"/>
      <c r="O33" s="6"/>
      <c r="P33" s="6"/>
      <c r="Q33" s="6"/>
      <c r="R33" s="6"/>
      <c r="S33" s="67" t="str">
        <f t="shared" si="3"/>
        <v/>
      </c>
      <c r="T33" s="98"/>
      <c r="U33" s="105"/>
      <c r="V33" s="98"/>
      <c r="W33" s="104" t="str">
        <f t="shared" si="4"/>
        <v/>
      </c>
    </row>
    <row r="34" spans="1:23">
      <c r="A34" s="6" t="str">
        <f t="shared" si="0"/>
        <v/>
      </c>
      <c r="B34" s="80"/>
      <c r="C34" s="6"/>
      <c r="D34" s="80"/>
      <c r="E34" s="80"/>
      <c r="F34" s="46" t="str">
        <f>IF(A34="","",IFERROR(INDEX(PENGELUARAN!$D$5:$D$204,MATCH(A34,PENGELUARAN!$N$5:$N$204,0)),""))</f>
        <v/>
      </c>
      <c r="G34" s="47" t="str">
        <f>IF(F34="","",IFERROR(INDEX(PERKARA!$B$5:$B$104,MATCH(F34,PERKARA!$A$5:$A$104,0)),"ID TIDAK TERDAFTAR"))</f>
        <v/>
      </c>
      <c r="H34" s="73" t="str">
        <f>IF(A34="","",SUMIFS(PENGELUARAN!$K$5:$K$204,PENGELUARAN!$N$5:$N$204,A34))</f>
        <v/>
      </c>
      <c r="I34" s="73" t="str">
        <f>IF(A34="","",IF(AND(T34="Disetujui",M34&lt;&gt;""),SUMIFS(PENGELUARAN!$R$5:$R$204,PENGELUARAN!$N$5:$N$204,A34,PENGELUARAN!$AC$5:$AC$204,"LENGKAP"),0))</f>
        <v/>
      </c>
      <c r="J34" s="73" t="str">
        <f>IF(A34="","",SUMIFS(PENGELUARAN!$S$5:$S$204,PENGELUARAN!$N$5:$N$204,A34))</f>
        <v/>
      </c>
      <c r="K34" s="73" t="str">
        <f t="shared" si="1"/>
        <v/>
      </c>
      <c r="L34" s="9" t="str">
        <f t="shared" si="2"/>
        <v/>
      </c>
      <c r="M34" s="103"/>
      <c r="N34" s="80"/>
      <c r="O34" s="6"/>
      <c r="P34" s="6"/>
      <c r="Q34" s="6"/>
      <c r="R34" s="6"/>
      <c r="S34" s="67" t="str">
        <f t="shared" si="3"/>
        <v/>
      </c>
      <c r="T34" s="98"/>
      <c r="U34" s="105"/>
      <c r="V34" s="98"/>
      <c r="W34" s="104" t="str">
        <f t="shared" si="4"/>
        <v/>
      </c>
    </row>
    <row r="35" spans="1:23">
      <c r="A35" s="6" t="str">
        <f t="shared" si="0"/>
        <v/>
      </c>
      <c r="B35" s="80"/>
      <c r="C35" s="6"/>
      <c r="D35" s="80"/>
      <c r="E35" s="80"/>
      <c r="F35" s="46" t="str">
        <f>IF(A35="","",IFERROR(INDEX(PENGELUARAN!$D$5:$D$204,MATCH(A35,PENGELUARAN!$N$5:$N$204,0)),""))</f>
        <v/>
      </c>
      <c r="G35" s="47" t="str">
        <f>IF(F35="","",IFERROR(INDEX(PERKARA!$B$5:$B$104,MATCH(F35,PERKARA!$A$5:$A$104,0)),"ID TIDAK TERDAFTAR"))</f>
        <v/>
      </c>
      <c r="H35" s="73" t="str">
        <f>IF(A35="","",SUMIFS(PENGELUARAN!$K$5:$K$204,PENGELUARAN!$N$5:$N$204,A35))</f>
        <v/>
      </c>
      <c r="I35" s="73" t="str">
        <f>IF(A35="","",IF(AND(T35="Disetujui",M35&lt;&gt;""),SUMIFS(PENGELUARAN!$R$5:$R$204,PENGELUARAN!$N$5:$N$204,A35,PENGELUARAN!$AC$5:$AC$204,"LENGKAP"),0))</f>
        <v/>
      </c>
      <c r="J35" s="73" t="str">
        <f>IF(A35="","",SUMIFS(PENGELUARAN!$S$5:$S$204,PENGELUARAN!$N$5:$N$204,A35))</f>
        <v/>
      </c>
      <c r="K35" s="73" t="str">
        <f t="shared" si="1"/>
        <v/>
      </c>
      <c r="L35" s="9" t="str">
        <f t="shared" si="2"/>
        <v/>
      </c>
      <c r="M35" s="103"/>
      <c r="N35" s="80"/>
      <c r="O35" s="6"/>
      <c r="P35" s="6"/>
      <c r="Q35" s="6"/>
      <c r="R35" s="6"/>
      <c r="S35" s="67" t="str">
        <f t="shared" si="3"/>
        <v/>
      </c>
      <c r="T35" s="98"/>
      <c r="U35" s="105"/>
      <c r="V35" s="98"/>
      <c r="W35" s="104" t="str">
        <f t="shared" si="4"/>
        <v/>
      </c>
    </row>
    <row r="36" spans="1:23">
      <c r="A36" s="6" t="str">
        <f t="shared" si="0"/>
        <v/>
      </c>
      <c r="B36" s="80"/>
      <c r="C36" s="6"/>
      <c r="D36" s="80"/>
      <c r="E36" s="80"/>
      <c r="F36" s="46" t="str">
        <f>IF(A36="","",IFERROR(INDEX(PENGELUARAN!$D$5:$D$204,MATCH(A36,PENGELUARAN!$N$5:$N$204,0)),""))</f>
        <v/>
      </c>
      <c r="G36" s="47" t="str">
        <f>IF(F36="","",IFERROR(INDEX(PERKARA!$B$5:$B$104,MATCH(F36,PERKARA!$A$5:$A$104,0)),"ID TIDAK TERDAFTAR"))</f>
        <v/>
      </c>
      <c r="H36" s="73" t="str">
        <f>IF(A36="","",SUMIFS(PENGELUARAN!$K$5:$K$204,PENGELUARAN!$N$5:$N$204,A36))</f>
        <v/>
      </c>
      <c r="I36" s="73" t="str">
        <f>IF(A36="","",IF(AND(T36="Disetujui",M36&lt;&gt;""),SUMIFS(PENGELUARAN!$R$5:$R$204,PENGELUARAN!$N$5:$N$204,A36,PENGELUARAN!$AC$5:$AC$204,"LENGKAP"),0))</f>
        <v/>
      </c>
      <c r="J36" s="73" t="str">
        <f>IF(A36="","",SUMIFS(PENGELUARAN!$S$5:$S$204,PENGELUARAN!$N$5:$N$204,A36))</f>
        <v/>
      </c>
      <c r="K36" s="73" t="str">
        <f t="shared" si="1"/>
        <v/>
      </c>
      <c r="L36" s="9" t="str">
        <f t="shared" si="2"/>
        <v/>
      </c>
      <c r="M36" s="103"/>
      <c r="N36" s="80"/>
      <c r="O36" s="6"/>
      <c r="P36" s="6"/>
      <c r="Q36" s="6"/>
      <c r="R36" s="6"/>
      <c r="S36" s="67" t="str">
        <f t="shared" si="3"/>
        <v/>
      </c>
      <c r="T36" s="98"/>
      <c r="U36" s="105"/>
      <c r="V36" s="98"/>
      <c r="W36" s="104" t="str">
        <f t="shared" si="4"/>
        <v/>
      </c>
    </row>
    <row r="37" spans="1:23">
      <c r="A37" s="6" t="str">
        <f t="shared" ref="A37:A68" si="5">IF(B37="","",IFERROR("RMB-"&amp;TEXT(B37,"yyyymmdd")&amp;"-"&amp;TEXT(ROW()-4,"000"),"TANGGAL TIDAK VALID"))</f>
        <v/>
      </c>
      <c r="B37" s="80"/>
      <c r="C37" s="6"/>
      <c r="D37" s="80"/>
      <c r="E37" s="80"/>
      <c r="F37" s="46" t="str">
        <f>IF(A37="","",IFERROR(INDEX(PENGELUARAN!$D$5:$D$204,MATCH(A37,PENGELUARAN!$N$5:$N$204,0)),""))</f>
        <v/>
      </c>
      <c r="G37" s="47" t="str">
        <f>IF(F37="","",IFERROR(INDEX(PERKARA!$B$5:$B$104,MATCH(F37,PERKARA!$A$5:$A$104,0)),"ID TIDAK TERDAFTAR"))</f>
        <v/>
      </c>
      <c r="H37" s="73" t="str">
        <f>IF(A37="","",SUMIFS(PENGELUARAN!$K$5:$K$204,PENGELUARAN!$N$5:$N$204,A37))</f>
        <v/>
      </c>
      <c r="I37" s="73" t="str">
        <f>IF(A37="","",IF(AND(T37="Disetujui",M37&lt;&gt;""),SUMIFS(PENGELUARAN!$R$5:$R$204,PENGELUARAN!$N$5:$N$204,A37,PENGELUARAN!$AC$5:$AC$204,"LENGKAP"),0))</f>
        <v/>
      </c>
      <c r="J37" s="73" t="str">
        <f>IF(A37="","",SUMIFS(PENGELUARAN!$S$5:$S$204,PENGELUARAN!$N$5:$N$204,A37))</f>
        <v/>
      </c>
      <c r="K37" s="73" t="str">
        <f t="shared" ref="K37:K68" si="6">IF(A37="","",MAX(I37-J37,0))</f>
        <v/>
      </c>
      <c r="L37" s="9" t="str">
        <f t="shared" ref="L37:L68" si="7">IF(A37="","",IF(T37="Ditolak","Ditolak",IF(H37=0,"Belum Ada Transaksi",IF(OR(T37&lt;&gt;"Disetujui",M37=""),"Menunggu Persetujuan",IF(I37=0,"Menunggu Otorisasi Rincian",IF(J37=0,"Disetujui - Belum Dibayar",IF(K37=0,"Lunas","Dibayar Sebagian")))))))</f>
        <v/>
      </c>
      <c r="M37" s="103"/>
      <c r="N37" s="80"/>
      <c r="O37" s="6"/>
      <c r="P37" s="6"/>
      <c r="Q37" s="6"/>
      <c r="R37" s="6"/>
      <c r="S37" s="67" t="str">
        <f t="shared" ref="S37:S68" si="8">IF(B37="","",IF(COUNTIF($A$5:$A$124,A37)&gt;1,"ID KLAIM DUPLIKAT",IF(AND(F37&lt;&gt;"",G37="ID TIDAK TERDAFTAR"),"PERKARA TIDAK VALID",IF(AND(J37&gt;0,O37=""),"AKUN PEMBAYARAN BELUM DIISI",IF(AND(J37&gt;0,N37=""),"TANGGAL PEMBAYARAN BELUM DIISI",IF(AND(J37&gt;0,W37&lt;&gt;"LENGKAP"),"DIBAYAR TANPA OTORISASI",IF(J37&gt;I37,"PEMBAYARAN MELEBIHI PERSETUJUAN","OK")))))))</f>
        <v/>
      </c>
      <c r="T37" s="98"/>
      <c r="U37" s="105"/>
      <c r="V37" s="98"/>
      <c r="W37" s="104" t="str">
        <f t="shared" ref="W37:W68" si="9">IF(B37="","",IF(T37="Ditolak","DITOLAK",IF(AND(T37="Disetujui",M37&lt;&gt;""),"LENGKAP",IF(T37="Disetujui","NAMA PENYETUJU BELUM DIISI","MENUNGGU PERSETUJUAN MANUAL"))))</f>
        <v/>
      </c>
    </row>
    <row r="38" spans="1:23">
      <c r="A38" s="6" t="str">
        <f t="shared" si="5"/>
        <v/>
      </c>
      <c r="B38" s="80"/>
      <c r="C38" s="6"/>
      <c r="D38" s="80"/>
      <c r="E38" s="80"/>
      <c r="F38" s="46" t="str">
        <f>IF(A38="","",IFERROR(INDEX(PENGELUARAN!$D$5:$D$204,MATCH(A38,PENGELUARAN!$N$5:$N$204,0)),""))</f>
        <v/>
      </c>
      <c r="G38" s="47" t="str">
        <f>IF(F38="","",IFERROR(INDEX(PERKARA!$B$5:$B$104,MATCH(F38,PERKARA!$A$5:$A$104,0)),"ID TIDAK TERDAFTAR"))</f>
        <v/>
      </c>
      <c r="H38" s="73" t="str">
        <f>IF(A38="","",SUMIFS(PENGELUARAN!$K$5:$K$204,PENGELUARAN!$N$5:$N$204,A38))</f>
        <v/>
      </c>
      <c r="I38" s="73" t="str">
        <f>IF(A38="","",IF(AND(T38="Disetujui",M38&lt;&gt;""),SUMIFS(PENGELUARAN!$R$5:$R$204,PENGELUARAN!$N$5:$N$204,A38,PENGELUARAN!$AC$5:$AC$204,"LENGKAP"),0))</f>
        <v/>
      </c>
      <c r="J38" s="73" t="str">
        <f>IF(A38="","",SUMIFS(PENGELUARAN!$S$5:$S$204,PENGELUARAN!$N$5:$N$204,A38))</f>
        <v/>
      </c>
      <c r="K38" s="73" t="str">
        <f t="shared" si="6"/>
        <v/>
      </c>
      <c r="L38" s="9" t="str">
        <f t="shared" si="7"/>
        <v/>
      </c>
      <c r="M38" s="103"/>
      <c r="N38" s="80"/>
      <c r="O38" s="6"/>
      <c r="P38" s="6"/>
      <c r="Q38" s="6"/>
      <c r="R38" s="6"/>
      <c r="S38" s="67" t="str">
        <f t="shared" si="8"/>
        <v/>
      </c>
      <c r="T38" s="98"/>
      <c r="U38" s="105"/>
      <c r="V38" s="98"/>
      <c r="W38" s="104" t="str">
        <f t="shared" si="9"/>
        <v/>
      </c>
    </row>
    <row r="39" spans="1:23">
      <c r="A39" s="6" t="str">
        <f t="shared" si="5"/>
        <v/>
      </c>
      <c r="B39" s="80"/>
      <c r="C39" s="6"/>
      <c r="D39" s="80"/>
      <c r="E39" s="80"/>
      <c r="F39" s="46" t="str">
        <f>IF(A39="","",IFERROR(INDEX(PENGELUARAN!$D$5:$D$204,MATCH(A39,PENGELUARAN!$N$5:$N$204,0)),""))</f>
        <v/>
      </c>
      <c r="G39" s="47" t="str">
        <f>IF(F39="","",IFERROR(INDEX(PERKARA!$B$5:$B$104,MATCH(F39,PERKARA!$A$5:$A$104,0)),"ID TIDAK TERDAFTAR"))</f>
        <v/>
      </c>
      <c r="H39" s="73" t="str">
        <f>IF(A39="","",SUMIFS(PENGELUARAN!$K$5:$K$204,PENGELUARAN!$N$5:$N$204,A39))</f>
        <v/>
      </c>
      <c r="I39" s="73" t="str">
        <f>IF(A39="","",IF(AND(T39="Disetujui",M39&lt;&gt;""),SUMIFS(PENGELUARAN!$R$5:$R$204,PENGELUARAN!$N$5:$N$204,A39,PENGELUARAN!$AC$5:$AC$204,"LENGKAP"),0))</f>
        <v/>
      </c>
      <c r="J39" s="73" t="str">
        <f>IF(A39="","",SUMIFS(PENGELUARAN!$S$5:$S$204,PENGELUARAN!$N$5:$N$204,A39))</f>
        <v/>
      </c>
      <c r="K39" s="73" t="str">
        <f t="shared" si="6"/>
        <v/>
      </c>
      <c r="L39" s="9" t="str">
        <f t="shared" si="7"/>
        <v/>
      </c>
      <c r="M39" s="103"/>
      <c r="N39" s="80"/>
      <c r="O39" s="6"/>
      <c r="P39" s="6"/>
      <c r="Q39" s="6"/>
      <c r="R39" s="6"/>
      <c r="S39" s="67" t="str">
        <f t="shared" si="8"/>
        <v/>
      </c>
      <c r="T39" s="98"/>
      <c r="U39" s="105"/>
      <c r="V39" s="98"/>
      <c r="W39" s="104" t="str">
        <f t="shared" si="9"/>
        <v/>
      </c>
    </row>
    <row r="40" spans="1:23">
      <c r="A40" s="6" t="str">
        <f t="shared" si="5"/>
        <v/>
      </c>
      <c r="B40" s="80"/>
      <c r="C40" s="6"/>
      <c r="D40" s="80"/>
      <c r="E40" s="80"/>
      <c r="F40" s="46" t="str">
        <f>IF(A40="","",IFERROR(INDEX(PENGELUARAN!$D$5:$D$204,MATCH(A40,PENGELUARAN!$N$5:$N$204,0)),""))</f>
        <v/>
      </c>
      <c r="G40" s="47" t="str">
        <f>IF(F40="","",IFERROR(INDEX(PERKARA!$B$5:$B$104,MATCH(F40,PERKARA!$A$5:$A$104,0)),"ID TIDAK TERDAFTAR"))</f>
        <v/>
      </c>
      <c r="H40" s="73" t="str">
        <f>IF(A40="","",SUMIFS(PENGELUARAN!$K$5:$K$204,PENGELUARAN!$N$5:$N$204,A40))</f>
        <v/>
      </c>
      <c r="I40" s="73" t="str">
        <f>IF(A40="","",IF(AND(T40="Disetujui",M40&lt;&gt;""),SUMIFS(PENGELUARAN!$R$5:$R$204,PENGELUARAN!$N$5:$N$204,A40,PENGELUARAN!$AC$5:$AC$204,"LENGKAP"),0))</f>
        <v/>
      </c>
      <c r="J40" s="73" t="str">
        <f>IF(A40="","",SUMIFS(PENGELUARAN!$S$5:$S$204,PENGELUARAN!$N$5:$N$204,A40))</f>
        <v/>
      </c>
      <c r="K40" s="73" t="str">
        <f t="shared" si="6"/>
        <v/>
      </c>
      <c r="L40" s="9" t="str">
        <f t="shared" si="7"/>
        <v/>
      </c>
      <c r="M40" s="103"/>
      <c r="N40" s="80"/>
      <c r="O40" s="6"/>
      <c r="P40" s="6"/>
      <c r="Q40" s="6"/>
      <c r="R40" s="6"/>
      <c r="S40" s="67" t="str">
        <f t="shared" si="8"/>
        <v/>
      </c>
      <c r="T40" s="98"/>
      <c r="U40" s="105"/>
      <c r="V40" s="98"/>
      <c r="W40" s="104" t="str">
        <f t="shared" si="9"/>
        <v/>
      </c>
    </row>
    <row r="41" spans="1:23">
      <c r="A41" s="6" t="str">
        <f t="shared" si="5"/>
        <v/>
      </c>
      <c r="B41" s="80"/>
      <c r="C41" s="6"/>
      <c r="D41" s="80"/>
      <c r="E41" s="80"/>
      <c r="F41" s="46" t="str">
        <f>IF(A41="","",IFERROR(INDEX(PENGELUARAN!$D$5:$D$204,MATCH(A41,PENGELUARAN!$N$5:$N$204,0)),""))</f>
        <v/>
      </c>
      <c r="G41" s="47" t="str">
        <f>IF(F41="","",IFERROR(INDEX(PERKARA!$B$5:$B$104,MATCH(F41,PERKARA!$A$5:$A$104,0)),"ID TIDAK TERDAFTAR"))</f>
        <v/>
      </c>
      <c r="H41" s="73" t="str">
        <f>IF(A41="","",SUMIFS(PENGELUARAN!$K$5:$K$204,PENGELUARAN!$N$5:$N$204,A41))</f>
        <v/>
      </c>
      <c r="I41" s="73" t="str">
        <f>IF(A41="","",IF(AND(T41="Disetujui",M41&lt;&gt;""),SUMIFS(PENGELUARAN!$R$5:$R$204,PENGELUARAN!$N$5:$N$204,A41,PENGELUARAN!$AC$5:$AC$204,"LENGKAP"),0))</f>
        <v/>
      </c>
      <c r="J41" s="73" t="str">
        <f>IF(A41="","",SUMIFS(PENGELUARAN!$S$5:$S$204,PENGELUARAN!$N$5:$N$204,A41))</f>
        <v/>
      </c>
      <c r="K41" s="73" t="str">
        <f t="shared" si="6"/>
        <v/>
      </c>
      <c r="L41" s="9" t="str">
        <f t="shared" si="7"/>
        <v/>
      </c>
      <c r="M41" s="103"/>
      <c r="N41" s="80"/>
      <c r="O41" s="6"/>
      <c r="P41" s="6"/>
      <c r="Q41" s="6"/>
      <c r="R41" s="6"/>
      <c r="S41" s="67" t="str">
        <f t="shared" si="8"/>
        <v/>
      </c>
      <c r="T41" s="98"/>
      <c r="U41" s="105"/>
      <c r="V41" s="98"/>
      <c r="W41" s="104" t="str">
        <f t="shared" si="9"/>
        <v/>
      </c>
    </row>
    <row r="42" spans="1:23">
      <c r="A42" s="6" t="str">
        <f t="shared" si="5"/>
        <v/>
      </c>
      <c r="B42" s="80"/>
      <c r="C42" s="6"/>
      <c r="D42" s="80"/>
      <c r="E42" s="80"/>
      <c r="F42" s="46" t="str">
        <f>IF(A42="","",IFERROR(INDEX(PENGELUARAN!$D$5:$D$204,MATCH(A42,PENGELUARAN!$N$5:$N$204,0)),""))</f>
        <v/>
      </c>
      <c r="G42" s="47" t="str">
        <f>IF(F42="","",IFERROR(INDEX(PERKARA!$B$5:$B$104,MATCH(F42,PERKARA!$A$5:$A$104,0)),"ID TIDAK TERDAFTAR"))</f>
        <v/>
      </c>
      <c r="H42" s="73" t="str">
        <f>IF(A42="","",SUMIFS(PENGELUARAN!$K$5:$K$204,PENGELUARAN!$N$5:$N$204,A42))</f>
        <v/>
      </c>
      <c r="I42" s="73" t="str">
        <f>IF(A42="","",IF(AND(T42="Disetujui",M42&lt;&gt;""),SUMIFS(PENGELUARAN!$R$5:$R$204,PENGELUARAN!$N$5:$N$204,A42,PENGELUARAN!$AC$5:$AC$204,"LENGKAP"),0))</f>
        <v/>
      </c>
      <c r="J42" s="73" t="str">
        <f>IF(A42="","",SUMIFS(PENGELUARAN!$S$5:$S$204,PENGELUARAN!$N$5:$N$204,A42))</f>
        <v/>
      </c>
      <c r="K42" s="73" t="str">
        <f t="shared" si="6"/>
        <v/>
      </c>
      <c r="L42" s="9" t="str">
        <f t="shared" si="7"/>
        <v/>
      </c>
      <c r="M42" s="103"/>
      <c r="N42" s="80"/>
      <c r="O42" s="6"/>
      <c r="P42" s="6"/>
      <c r="Q42" s="6"/>
      <c r="R42" s="6"/>
      <c r="S42" s="67" t="str">
        <f t="shared" si="8"/>
        <v/>
      </c>
      <c r="T42" s="98"/>
      <c r="U42" s="105"/>
      <c r="V42" s="98"/>
      <c r="W42" s="104" t="str">
        <f t="shared" si="9"/>
        <v/>
      </c>
    </row>
    <row r="43" spans="1:23">
      <c r="A43" s="6" t="str">
        <f t="shared" si="5"/>
        <v/>
      </c>
      <c r="B43" s="80"/>
      <c r="C43" s="6"/>
      <c r="D43" s="80"/>
      <c r="E43" s="80"/>
      <c r="F43" s="46" t="str">
        <f>IF(A43="","",IFERROR(INDEX(PENGELUARAN!$D$5:$D$204,MATCH(A43,PENGELUARAN!$N$5:$N$204,0)),""))</f>
        <v/>
      </c>
      <c r="G43" s="47" t="str">
        <f>IF(F43="","",IFERROR(INDEX(PERKARA!$B$5:$B$104,MATCH(F43,PERKARA!$A$5:$A$104,0)),"ID TIDAK TERDAFTAR"))</f>
        <v/>
      </c>
      <c r="H43" s="73" t="str">
        <f>IF(A43="","",SUMIFS(PENGELUARAN!$K$5:$K$204,PENGELUARAN!$N$5:$N$204,A43))</f>
        <v/>
      </c>
      <c r="I43" s="73" t="str">
        <f>IF(A43="","",IF(AND(T43="Disetujui",M43&lt;&gt;""),SUMIFS(PENGELUARAN!$R$5:$R$204,PENGELUARAN!$N$5:$N$204,A43,PENGELUARAN!$AC$5:$AC$204,"LENGKAP"),0))</f>
        <v/>
      </c>
      <c r="J43" s="73" t="str">
        <f>IF(A43="","",SUMIFS(PENGELUARAN!$S$5:$S$204,PENGELUARAN!$N$5:$N$204,A43))</f>
        <v/>
      </c>
      <c r="K43" s="73" t="str">
        <f t="shared" si="6"/>
        <v/>
      </c>
      <c r="L43" s="9" t="str">
        <f t="shared" si="7"/>
        <v/>
      </c>
      <c r="M43" s="103"/>
      <c r="N43" s="80"/>
      <c r="O43" s="6"/>
      <c r="P43" s="6"/>
      <c r="Q43" s="6"/>
      <c r="R43" s="6"/>
      <c r="S43" s="67" t="str">
        <f t="shared" si="8"/>
        <v/>
      </c>
      <c r="T43" s="98"/>
      <c r="U43" s="105"/>
      <c r="V43" s="98"/>
      <c r="W43" s="104" t="str">
        <f t="shared" si="9"/>
        <v/>
      </c>
    </row>
    <row r="44" spans="1:23">
      <c r="A44" s="6" t="str">
        <f t="shared" si="5"/>
        <v/>
      </c>
      <c r="B44" s="80"/>
      <c r="C44" s="6"/>
      <c r="D44" s="80"/>
      <c r="E44" s="80"/>
      <c r="F44" s="46" t="str">
        <f>IF(A44="","",IFERROR(INDEX(PENGELUARAN!$D$5:$D$204,MATCH(A44,PENGELUARAN!$N$5:$N$204,0)),""))</f>
        <v/>
      </c>
      <c r="G44" s="47" t="str">
        <f>IF(F44="","",IFERROR(INDEX(PERKARA!$B$5:$B$104,MATCH(F44,PERKARA!$A$5:$A$104,0)),"ID TIDAK TERDAFTAR"))</f>
        <v/>
      </c>
      <c r="H44" s="73" t="str">
        <f>IF(A44="","",SUMIFS(PENGELUARAN!$K$5:$K$204,PENGELUARAN!$N$5:$N$204,A44))</f>
        <v/>
      </c>
      <c r="I44" s="73" t="str">
        <f>IF(A44="","",IF(AND(T44="Disetujui",M44&lt;&gt;""),SUMIFS(PENGELUARAN!$R$5:$R$204,PENGELUARAN!$N$5:$N$204,A44,PENGELUARAN!$AC$5:$AC$204,"LENGKAP"),0))</f>
        <v/>
      </c>
      <c r="J44" s="73" t="str">
        <f>IF(A44="","",SUMIFS(PENGELUARAN!$S$5:$S$204,PENGELUARAN!$N$5:$N$204,A44))</f>
        <v/>
      </c>
      <c r="K44" s="73" t="str">
        <f t="shared" si="6"/>
        <v/>
      </c>
      <c r="L44" s="9" t="str">
        <f t="shared" si="7"/>
        <v/>
      </c>
      <c r="M44" s="103"/>
      <c r="N44" s="80"/>
      <c r="O44" s="6"/>
      <c r="P44" s="6"/>
      <c r="Q44" s="6"/>
      <c r="R44" s="6"/>
      <c r="S44" s="67" t="str">
        <f t="shared" si="8"/>
        <v/>
      </c>
      <c r="T44" s="98"/>
      <c r="U44" s="105"/>
      <c r="V44" s="98"/>
      <c r="W44" s="104" t="str">
        <f t="shared" si="9"/>
        <v/>
      </c>
    </row>
    <row r="45" spans="1:23">
      <c r="A45" s="6" t="str">
        <f t="shared" si="5"/>
        <v/>
      </c>
      <c r="B45" s="80"/>
      <c r="C45" s="6"/>
      <c r="D45" s="80"/>
      <c r="E45" s="80"/>
      <c r="F45" s="46" t="str">
        <f>IF(A45="","",IFERROR(INDEX(PENGELUARAN!$D$5:$D$204,MATCH(A45,PENGELUARAN!$N$5:$N$204,0)),""))</f>
        <v/>
      </c>
      <c r="G45" s="47" t="str">
        <f>IF(F45="","",IFERROR(INDEX(PERKARA!$B$5:$B$104,MATCH(F45,PERKARA!$A$5:$A$104,0)),"ID TIDAK TERDAFTAR"))</f>
        <v/>
      </c>
      <c r="H45" s="73" t="str">
        <f>IF(A45="","",SUMIFS(PENGELUARAN!$K$5:$K$204,PENGELUARAN!$N$5:$N$204,A45))</f>
        <v/>
      </c>
      <c r="I45" s="73" t="str">
        <f>IF(A45="","",IF(AND(T45="Disetujui",M45&lt;&gt;""),SUMIFS(PENGELUARAN!$R$5:$R$204,PENGELUARAN!$N$5:$N$204,A45,PENGELUARAN!$AC$5:$AC$204,"LENGKAP"),0))</f>
        <v/>
      </c>
      <c r="J45" s="73" t="str">
        <f>IF(A45="","",SUMIFS(PENGELUARAN!$S$5:$S$204,PENGELUARAN!$N$5:$N$204,A45))</f>
        <v/>
      </c>
      <c r="K45" s="73" t="str">
        <f t="shared" si="6"/>
        <v/>
      </c>
      <c r="L45" s="9" t="str">
        <f t="shared" si="7"/>
        <v/>
      </c>
      <c r="M45" s="103"/>
      <c r="N45" s="80"/>
      <c r="O45" s="6"/>
      <c r="P45" s="6"/>
      <c r="Q45" s="6"/>
      <c r="R45" s="6"/>
      <c r="S45" s="67" t="str">
        <f t="shared" si="8"/>
        <v/>
      </c>
      <c r="T45" s="98"/>
      <c r="U45" s="105"/>
      <c r="V45" s="98"/>
      <c r="W45" s="104" t="str">
        <f t="shared" si="9"/>
        <v/>
      </c>
    </row>
    <row r="46" spans="1:23">
      <c r="A46" s="6" t="str">
        <f t="shared" si="5"/>
        <v/>
      </c>
      <c r="B46" s="80"/>
      <c r="C46" s="6"/>
      <c r="D46" s="80"/>
      <c r="E46" s="80"/>
      <c r="F46" s="46" t="str">
        <f>IF(A46="","",IFERROR(INDEX(PENGELUARAN!$D$5:$D$204,MATCH(A46,PENGELUARAN!$N$5:$N$204,0)),""))</f>
        <v/>
      </c>
      <c r="G46" s="47" t="str">
        <f>IF(F46="","",IFERROR(INDEX(PERKARA!$B$5:$B$104,MATCH(F46,PERKARA!$A$5:$A$104,0)),"ID TIDAK TERDAFTAR"))</f>
        <v/>
      </c>
      <c r="H46" s="73" t="str">
        <f>IF(A46="","",SUMIFS(PENGELUARAN!$K$5:$K$204,PENGELUARAN!$N$5:$N$204,A46))</f>
        <v/>
      </c>
      <c r="I46" s="73" t="str">
        <f>IF(A46="","",IF(AND(T46="Disetujui",M46&lt;&gt;""),SUMIFS(PENGELUARAN!$R$5:$R$204,PENGELUARAN!$N$5:$N$204,A46,PENGELUARAN!$AC$5:$AC$204,"LENGKAP"),0))</f>
        <v/>
      </c>
      <c r="J46" s="73" t="str">
        <f>IF(A46="","",SUMIFS(PENGELUARAN!$S$5:$S$204,PENGELUARAN!$N$5:$N$204,A46))</f>
        <v/>
      </c>
      <c r="K46" s="73" t="str">
        <f t="shared" si="6"/>
        <v/>
      </c>
      <c r="L46" s="9" t="str">
        <f t="shared" si="7"/>
        <v/>
      </c>
      <c r="M46" s="103"/>
      <c r="N46" s="80"/>
      <c r="O46" s="6"/>
      <c r="P46" s="6"/>
      <c r="Q46" s="6"/>
      <c r="R46" s="6"/>
      <c r="S46" s="67" t="str">
        <f t="shared" si="8"/>
        <v/>
      </c>
      <c r="T46" s="98"/>
      <c r="U46" s="105"/>
      <c r="V46" s="98"/>
      <c r="W46" s="104" t="str">
        <f t="shared" si="9"/>
        <v/>
      </c>
    </row>
    <row r="47" spans="1:23">
      <c r="A47" s="6" t="str">
        <f t="shared" si="5"/>
        <v/>
      </c>
      <c r="B47" s="80"/>
      <c r="C47" s="6"/>
      <c r="D47" s="80"/>
      <c r="E47" s="80"/>
      <c r="F47" s="46" t="str">
        <f>IF(A47="","",IFERROR(INDEX(PENGELUARAN!$D$5:$D$204,MATCH(A47,PENGELUARAN!$N$5:$N$204,0)),""))</f>
        <v/>
      </c>
      <c r="G47" s="47" t="str">
        <f>IF(F47="","",IFERROR(INDEX(PERKARA!$B$5:$B$104,MATCH(F47,PERKARA!$A$5:$A$104,0)),"ID TIDAK TERDAFTAR"))</f>
        <v/>
      </c>
      <c r="H47" s="73" t="str">
        <f>IF(A47="","",SUMIFS(PENGELUARAN!$K$5:$K$204,PENGELUARAN!$N$5:$N$204,A47))</f>
        <v/>
      </c>
      <c r="I47" s="73" t="str">
        <f>IF(A47="","",IF(AND(T47="Disetujui",M47&lt;&gt;""),SUMIFS(PENGELUARAN!$R$5:$R$204,PENGELUARAN!$N$5:$N$204,A47,PENGELUARAN!$AC$5:$AC$204,"LENGKAP"),0))</f>
        <v/>
      </c>
      <c r="J47" s="73" t="str">
        <f>IF(A47="","",SUMIFS(PENGELUARAN!$S$5:$S$204,PENGELUARAN!$N$5:$N$204,A47))</f>
        <v/>
      </c>
      <c r="K47" s="73" t="str">
        <f t="shared" si="6"/>
        <v/>
      </c>
      <c r="L47" s="9" t="str">
        <f t="shared" si="7"/>
        <v/>
      </c>
      <c r="M47" s="103"/>
      <c r="N47" s="80"/>
      <c r="O47" s="6"/>
      <c r="P47" s="6"/>
      <c r="Q47" s="6"/>
      <c r="R47" s="6"/>
      <c r="S47" s="67" t="str">
        <f t="shared" si="8"/>
        <v/>
      </c>
      <c r="T47" s="98"/>
      <c r="U47" s="105"/>
      <c r="V47" s="98"/>
      <c r="W47" s="104" t="str">
        <f t="shared" si="9"/>
        <v/>
      </c>
    </row>
    <row r="48" spans="1:23">
      <c r="A48" s="6" t="str">
        <f t="shared" si="5"/>
        <v/>
      </c>
      <c r="B48" s="80"/>
      <c r="C48" s="6"/>
      <c r="D48" s="80"/>
      <c r="E48" s="80"/>
      <c r="F48" s="46" t="str">
        <f>IF(A48="","",IFERROR(INDEX(PENGELUARAN!$D$5:$D$204,MATCH(A48,PENGELUARAN!$N$5:$N$204,0)),""))</f>
        <v/>
      </c>
      <c r="G48" s="47" t="str">
        <f>IF(F48="","",IFERROR(INDEX(PERKARA!$B$5:$B$104,MATCH(F48,PERKARA!$A$5:$A$104,0)),"ID TIDAK TERDAFTAR"))</f>
        <v/>
      </c>
      <c r="H48" s="73" t="str">
        <f>IF(A48="","",SUMIFS(PENGELUARAN!$K$5:$K$204,PENGELUARAN!$N$5:$N$204,A48))</f>
        <v/>
      </c>
      <c r="I48" s="73" t="str">
        <f>IF(A48="","",IF(AND(T48="Disetujui",M48&lt;&gt;""),SUMIFS(PENGELUARAN!$R$5:$R$204,PENGELUARAN!$N$5:$N$204,A48,PENGELUARAN!$AC$5:$AC$204,"LENGKAP"),0))</f>
        <v/>
      </c>
      <c r="J48" s="73" t="str">
        <f>IF(A48="","",SUMIFS(PENGELUARAN!$S$5:$S$204,PENGELUARAN!$N$5:$N$204,A48))</f>
        <v/>
      </c>
      <c r="K48" s="73" t="str">
        <f t="shared" si="6"/>
        <v/>
      </c>
      <c r="L48" s="9" t="str">
        <f t="shared" si="7"/>
        <v/>
      </c>
      <c r="M48" s="103"/>
      <c r="N48" s="80"/>
      <c r="O48" s="6"/>
      <c r="P48" s="6"/>
      <c r="Q48" s="6"/>
      <c r="R48" s="6"/>
      <c r="S48" s="67" t="str">
        <f t="shared" si="8"/>
        <v/>
      </c>
      <c r="T48" s="98"/>
      <c r="U48" s="105"/>
      <c r="V48" s="98"/>
      <c r="W48" s="104" t="str">
        <f t="shared" si="9"/>
        <v/>
      </c>
    </row>
    <row r="49" spans="1:23">
      <c r="A49" s="6" t="str">
        <f t="shared" si="5"/>
        <v/>
      </c>
      <c r="B49" s="80"/>
      <c r="C49" s="6"/>
      <c r="D49" s="80"/>
      <c r="E49" s="80"/>
      <c r="F49" s="46" t="str">
        <f>IF(A49="","",IFERROR(INDEX(PENGELUARAN!$D$5:$D$204,MATCH(A49,PENGELUARAN!$N$5:$N$204,0)),""))</f>
        <v/>
      </c>
      <c r="G49" s="47" t="str">
        <f>IF(F49="","",IFERROR(INDEX(PERKARA!$B$5:$B$104,MATCH(F49,PERKARA!$A$5:$A$104,0)),"ID TIDAK TERDAFTAR"))</f>
        <v/>
      </c>
      <c r="H49" s="73" t="str">
        <f>IF(A49="","",SUMIFS(PENGELUARAN!$K$5:$K$204,PENGELUARAN!$N$5:$N$204,A49))</f>
        <v/>
      </c>
      <c r="I49" s="73" t="str">
        <f>IF(A49="","",IF(AND(T49="Disetujui",M49&lt;&gt;""),SUMIFS(PENGELUARAN!$R$5:$R$204,PENGELUARAN!$N$5:$N$204,A49,PENGELUARAN!$AC$5:$AC$204,"LENGKAP"),0))</f>
        <v/>
      </c>
      <c r="J49" s="73" t="str">
        <f>IF(A49="","",SUMIFS(PENGELUARAN!$S$5:$S$204,PENGELUARAN!$N$5:$N$204,A49))</f>
        <v/>
      </c>
      <c r="K49" s="73" t="str">
        <f t="shared" si="6"/>
        <v/>
      </c>
      <c r="L49" s="9" t="str">
        <f t="shared" si="7"/>
        <v/>
      </c>
      <c r="M49" s="103"/>
      <c r="N49" s="80"/>
      <c r="O49" s="6"/>
      <c r="P49" s="6"/>
      <c r="Q49" s="6"/>
      <c r="R49" s="6"/>
      <c r="S49" s="67" t="str">
        <f t="shared" si="8"/>
        <v/>
      </c>
      <c r="T49" s="98"/>
      <c r="U49" s="105"/>
      <c r="V49" s="98"/>
      <c r="W49" s="104" t="str">
        <f t="shared" si="9"/>
        <v/>
      </c>
    </row>
    <row r="50" spans="1:23">
      <c r="A50" s="6" t="str">
        <f t="shared" si="5"/>
        <v/>
      </c>
      <c r="B50" s="80"/>
      <c r="C50" s="6"/>
      <c r="D50" s="80"/>
      <c r="E50" s="80"/>
      <c r="F50" s="46" t="str">
        <f>IF(A50="","",IFERROR(INDEX(PENGELUARAN!$D$5:$D$204,MATCH(A50,PENGELUARAN!$N$5:$N$204,0)),""))</f>
        <v/>
      </c>
      <c r="G50" s="47" t="str">
        <f>IF(F50="","",IFERROR(INDEX(PERKARA!$B$5:$B$104,MATCH(F50,PERKARA!$A$5:$A$104,0)),"ID TIDAK TERDAFTAR"))</f>
        <v/>
      </c>
      <c r="H50" s="73" t="str">
        <f>IF(A50="","",SUMIFS(PENGELUARAN!$K$5:$K$204,PENGELUARAN!$N$5:$N$204,A50))</f>
        <v/>
      </c>
      <c r="I50" s="73" t="str">
        <f>IF(A50="","",IF(AND(T50="Disetujui",M50&lt;&gt;""),SUMIFS(PENGELUARAN!$R$5:$R$204,PENGELUARAN!$N$5:$N$204,A50,PENGELUARAN!$AC$5:$AC$204,"LENGKAP"),0))</f>
        <v/>
      </c>
      <c r="J50" s="73" t="str">
        <f>IF(A50="","",SUMIFS(PENGELUARAN!$S$5:$S$204,PENGELUARAN!$N$5:$N$204,A50))</f>
        <v/>
      </c>
      <c r="K50" s="73" t="str">
        <f t="shared" si="6"/>
        <v/>
      </c>
      <c r="L50" s="9" t="str">
        <f t="shared" si="7"/>
        <v/>
      </c>
      <c r="M50" s="103"/>
      <c r="N50" s="80"/>
      <c r="O50" s="6"/>
      <c r="P50" s="6"/>
      <c r="Q50" s="6"/>
      <c r="R50" s="6"/>
      <c r="S50" s="67" t="str">
        <f t="shared" si="8"/>
        <v/>
      </c>
      <c r="T50" s="98"/>
      <c r="U50" s="105"/>
      <c r="V50" s="98"/>
      <c r="W50" s="104" t="str">
        <f t="shared" si="9"/>
        <v/>
      </c>
    </row>
    <row r="51" spans="1:23">
      <c r="A51" s="6" t="str">
        <f t="shared" si="5"/>
        <v/>
      </c>
      <c r="B51" s="80"/>
      <c r="C51" s="6"/>
      <c r="D51" s="80"/>
      <c r="E51" s="80"/>
      <c r="F51" s="46" t="str">
        <f>IF(A51="","",IFERROR(INDEX(PENGELUARAN!$D$5:$D$204,MATCH(A51,PENGELUARAN!$N$5:$N$204,0)),""))</f>
        <v/>
      </c>
      <c r="G51" s="47" t="str">
        <f>IF(F51="","",IFERROR(INDEX(PERKARA!$B$5:$B$104,MATCH(F51,PERKARA!$A$5:$A$104,0)),"ID TIDAK TERDAFTAR"))</f>
        <v/>
      </c>
      <c r="H51" s="73" t="str">
        <f>IF(A51="","",SUMIFS(PENGELUARAN!$K$5:$K$204,PENGELUARAN!$N$5:$N$204,A51))</f>
        <v/>
      </c>
      <c r="I51" s="73" t="str">
        <f>IF(A51="","",IF(AND(T51="Disetujui",M51&lt;&gt;""),SUMIFS(PENGELUARAN!$R$5:$R$204,PENGELUARAN!$N$5:$N$204,A51,PENGELUARAN!$AC$5:$AC$204,"LENGKAP"),0))</f>
        <v/>
      </c>
      <c r="J51" s="73" t="str">
        <f>IF(A51="","",SUMIFS(PENGELUARAN!$S$5:$S$204,PENGELUARAN!$N$5:$N$204,A51))</f>
        <v/>
      </c>
      <c r="K51" s="73" t="str">
        <f t="shared" si="6"/>
        <v/>
      </c>
      <c r="L51" s="9" t="str">
        <f t="shared" si="7"/>
        <v/>
      </c>
      <c r="M51" s="103"/>
      <c r="N51" s="80"/>
      <c r="O51" s="6"/>
      <c r="P51" s="6"/>
      <c r="Q51" s="6"/>
      <c r="R51" s="6"/>
      <c r="S51" s="67" t="str">
        <f t="shared" si="8"/>
        <v/>
      </c>
      <c r="T51" s="98"/>
      <c r="U51" s="105"/>
      <c r="V51" s="98"/>
      <c r="W51" s="104" t="str">
        <f t="shared" si="9"/>
        <v/>
      </c>
    </row>
    <row r="52" spans="1:23">
      <c r="A52" s="6" t="str">
        <f t="shared" si="5"/>
        <v/>
      </c>
      <c r="B52" s="80"/>
      <c r="C52" s="6"/>
      <c r="D52" s="80"/>
      <c r="E52" s="80"/>
      <c r="F52" s="46" t="str">
        <f>IF(A52="","",IFERROR(INDEX(PENGELUARAN!$D$5:$D$204,MATCH(A52,PENGELUARAN!$N$5:$N$204,0)),""))</f>
        <v/>
      </c>
      <c r="G52" s="47" t="str">
        <f>IF(F52="","",IFERROR(INDEX(PERKARA!$B$5:$B$104,MATCH(F52,PERKARA!$A$5:$A$104,0)),"ID TIDAK TERDAFTAR"))</f>
        <v/>
      </c>
      <c r="H52" s="73" t="str">
        <f>IF(A52="","",SUMIFS(PENGELUARAN!$K$5:$K$204,PENGELUARAN!$N$5:$N$204,A52))</f>
        <v/>
      </c>
      <c r="I52" s="73" t="str">
        <f>IF(A52="","",IF(AND(T52="Disetujui",M52&lt;&gt;""),SUMIFS(PENGELUARAN!$R$5:$R$204,PENGELUARAN!$N$5:$N$204,A52,PENGELUARAN!$AC$5:$AC$204,"LENGKAP"),0))</f>
        <v/>
      </c>
      <c r="J52" s="73" t="str">
        <f>IF(A52="","",SUMIFS(PENGELUARAN!$S$5:$S$204,PENGELUARAN!$N$5:$N$204,A52))</f>
        <v/>
      </c>
      <c r="K52" s="73" t="str">
        <f t="shared" si="6"/>
        <v/>
      </c>
      <c r="L52" s="9" t="str">
        <f t="shared" si="7"/>
        <v/>
      </c>
      <c r="M52" s="103"/>
      <c r="N52" s="80"/>
      <c r="O52" s="6"/>
      <c r="P52" s="6"/>
      <c r="Q52" s="6"/>
      <c r="R52" s="6"/>
      <c r="S52" s="67" t="str">
        <f t="shared" si="8"/>
        <v/>
      </c>
      <c r="T52" s="98"/>
      <c r="U52" s="105"/>
      <c r="V52" s="98"/>
      <c r="W52" s="104" t="str">
        <f t="shared" si="9"/>
        <v/>
      </c>
    </row>
    <row r="53" spans="1:23">
      <c r="A53" s="6" t="str">
        <f t="shared" si="5"/>
        <v/>
      </c>
      <c r="B53" s="80"/>
      <c r="C53" s="6"/>
      <c r="D53" s="80"/>
      <c r="E53" s="80"/>
      <c r="F53" s="46" t="str">
        <f>IF(A53="","",IFERROR(INDEX(PENGELUARAN!$D$5:$D$204,MATCH(A53,PENGELUARAN!$N$5:$N$204,0)),""))</f>
        <v/>
      </c>
      <c r="G53" s="47" t="str">
        <f>IF(F53="","",IFERROR(INDEX(PERKARA!$B$5:$B$104,MATCH(F53,PERKARA!$A$5:$A$104,0)),"ID TIDAK TERDAFTAR"))</f>
        <v/>
      </c>
      <c r="H53" s="73" t="str">
        <f>IF(A53="","",SUMIFS(PENGELUARAN!$K$5:$K$204,PENGELUARAN!$N$5:$N$204,A53))</f>
        <v/>
      </c>
      <c r="I53" s="73" t="str">
        <f>IF(A53="","",IF(AND(T53="Disetujui",M53&lt;&gt;""),SUMIFS(PENGELUARAN!$R$5:$R$204,PENGELUARAN!$N$5:$N$204,A53,PENGELUARAN!$AC$5:$AC$204,"LENGKAP"),0))</f>
        <v/>
      </c>
      <c r="J53" s="73" t="str">
        <f>IF(A53="","",SUMIFS(PENGELUARAN!$S$5:$S$204,PENGELUARAN!$N$5:$N$204,A53))</f>
        <v/>
      </c>
      <c r="K53" s="73" t="str">
        <f t="shared" si="6"/>
        <v/>
      </c>
      <c r="L53" s="9" t="str">
        <f t="shared" si="7"/>
        <v/>
      </c>
      <c r="M53" s="103"/>
      <c r="N53" s="80"/>
      <c r="O53" s="6"/>
      <c r="P53" s="6"/>
      <c r="Q53" s="6"/>
      <c r="R53" s="6"/>
      <c r="S53" s="67" t="str">
        <f t="shared" si="8"/>
        <v/>
      </c>
      <c r="T53" s="98"/>
      <c r="U53" s="105"/>
      <c r="V53" s="98"/>
      <c r="W53" s="104" t="str">
        <f t="shared" si="9"/>
        <v/>
      </c>
    </row>
    <row r="54" spans="1:23">
      <c r="A54" s="6" t="str">
        <f t="shared" si="5"/>
        <v/>
      </c>
      <c r="B54" s="80"/>
      <c r="C54" s="6"/>
      <c r="D54" s="80"/>
      <c r="E54" s="80"/>
      <c r="F54" s="46" t="str">
        <f>IF(A54="","",IFERROR(INDEX(PENGELUARAN!$D$5:$D$204,MATCH(A54,PENGELUARAN!$N$5:$N$204,0)),""))</f>
        <v/>
      </c>
      <c r="G54" s="47" t="str">
        <f>IF(F54="","",IFERROR(INDEX(PERKARA!$B$5:$B$104,MATCH(F54,PERKARA!$A$5:$A$104,0)),"ID TIDAK TERDAFTAR"))</f>
        <v/>
      </c>
      <c r="H54" s="73" t="str">
        <f>IF(A54="","",SUMIFS(PENGELUARAN!$K$5:$K$204,PENGELUARAN!$N$5:$N$204,A54))</f>
        <v/>
      </c>
      <c r="I54" s="73" t="str">
        <f>IF(A54="","",IF(AND(T54="Disetujui",M54&lt;&gt;""),SUMIFS(PENGELUARAN!$R$5:$R$204,PENGELUARAN!$N$5:$N$204,A54,PENGELUARAN!$AC$5:$AC$204,"LENGKAP"),0))</f>
        <v/>
      </c>
      <c r="J54" s="73" t="str">
        <f>IF(A54="","",SUMIFS(PENGELUARAN!$S$5:$S$204,PENGELUARAN!$N$5:$N$204,A54))</f>
        <v/>
      </c>
      <c r="K54" s="73" t="str">
        <f t="shared" si="6"/>
        <v/>
      </c>
      <c r="L54" s="9" t="str">
        <f t="shared" si="7"/>
        <v/>
      </c>
      <c r="M54" s="103"/>
      <c r="N54" s="80"/>
      <c r="O54" s="6"/>
      <c r="P54" s="6"/>
      <c r="Q54" s="6"/>
      <c r="R54" s="6"/>
      <c r="S54" s="67" t="str">
        <f t="shared" si="8"/>
        <v/>
      </c>
      <c r="T54" s="98"/>
      <c r="U54" s="105"/>
      <c r="V54" s="98"/>
      <c r="W54" s="104" t="str">
        <f t="shared" si="9"/>
        <v/>
      </c>
    </row>
    <row r="55" spans="1:23">
      <c r="A55" s="6" t="str">
        <f t="shared" si="5"/>
        <v/>
      </c>
      <c r="B55" s="80"/>
      <c r="C55" s="6"/>
      <c r="D55" s="80"/>
      <c r="E55" s="80"/>
      <c r="F55" s="46" t="str">
        <f>IF(A55="","",IFERROR(INDEX(PENGELUARAN!$D$5:$D$204,MATCH(A55,PENGELUARAN!$N$5:$N$204,0)),""))</f>
        <v/>
      </c>
      <c r="G55" s="47" t="str">
        <f>IF(F55="","",IFERROR(INDEX(PERKARA!$B$5:$B$104,MATCH(F55,PERKARA!$A$5:$A$104,0)),"ID TIDAK TERDAFTAR"))</f>
        <v/>
      </c>
      <c r="H55" s="73" t="str">
        <f>IF(A55="","",SUMIFS(PENGELUARAN!$K$5:$K$204,PENGELUARAN!$N$5:$N$204,A55))</f>
        <v/>
      </c>
      <c r="I55" s="73" t="str">
        <f>IF(A55="","",IF(AND(T55="Disetujui",M55&lt;&gt;""),SUMIFS(PENGELUARAN!$R$5:$R$204,PENGELUARAN!$N$5:$N$204,A55,PENGELUARAN!$AC$5:$AC$204,"LENGKAP"),0))</f>
        <v/>
      </c>
      <c r="J55" s="73" t="str">
        <f>IF(A55="","",SUMIFS(PENGELUARAN!$S$5:$S$204,PENGELUARAN!$N$5:$N$204,A55))</f>
        <v/>
      </c>
      <c r="K55" s="73" t="str">
        <f t="shared" si="6"/>
        <v/>
      </c>
      <c r="L55" s="9" t="str">
        <f t="shared" si="7"/>
        <v/>
      </c>
      <c r="M55" s="103"/>
      <c r="N55" s="80"/>
      <c r="O55" s="6"/>
      <c r="P55" s="6"/>
      <c r="Q55" s="6"/>
      <c r="R55" s="6"/>
      <c r="S55" s="67" t="str">
        <f t="shared" si="8"/>
        <v/>
      </c>
      <c r="T55" s="98"/>
      <c r="U55" s="105"/>
      <c r="V55" s="98"/>
      <c r="W55" s="104" t="str">
        <f t="shared" si="9"/>
        <v/>
      </c>
    </row>
    <row r="56" spans="1:23">
      <c r="A56" s="6" t="str">
        <f t="shared" si="5"/>
        <v/>
      </c>
      <c r="B56" s="80"/>
      <c r="C56" s="6"/>
      <c r="D56" s="80"/>
      <c r="E56" s="80"/>
      <c r="F56" s="46" t="str">
        <f>IF(A56="","",IFERROR(INDEX(PENGELUARAN!$D$5:$D$204,MATCH(A56,PENGELUARAN!$N$5:$N$204,0)),""))</f>
        <v/>
      </c>
      <c r="G56" s="47" t="str">
        <f>IF(F56="","",IFERROR(INDEX(PERKARA!$B$5:$B$104,MATCH(F56,PERKARA!$A$5:$A$104,0)),"ID TIDAK TERDAFTAR"))</f>
        <v/>
      </c>
      <c r="H56" s="73" t="str">
        <f>IF(A56="","",SUMIFS(PENGELUARAN!$K$5:$K$204,PENGELUARAN!$N$5:$N$204,A56))</f>
        <v/>
      </c>
      <c r="I56" s="73" t="str">
        <f>IF(A56="","",IF(AND(T56="Disetujui",M56&lt;&gt;""),SUMIFS(PENGELUARAN!$R$5:$R$204,PENGELUARAN!$N$5:$N$204,A56,PENGELUARAN!$AC$5:$AC$204,"LENGKAP"),0))</f>
        <v/>
      </c>
      <c r="J56" s="73" t="str">
        <f>IF(A56="","",SUMIFS(PENGELUARAN!$S$5:$S$204,PENGELUARAN!$N$5:$N$204,A56))</f>
        <v/>
      </c>
      <c r="K56" s="73" t="str">
        <f t="shared" si="6"/>
        <v/>
      </c>
      <c r="L56" s="9" t="str">
        <f t="shared" si="7"/>
        <v/>
      </c>
      <c r="M56" s="103"/>
      <c r="N56" s="80"/>
      <c r="O56" s="6"/>
      <c r="P56" s="6"/>
      <c r="Q56" s="6"/>
      <c r="R56" s="6"/>
      <c r="S56" s="67" t="str">
        <f t="shared" si="8"/>
        <v/>
      </c>
      <c r="T56" s="98"/>
      <c r="U56" s="105"/>
      <c r="V56" s="98"/>
      <c r="W56" s="104" t="str">
        <f t="shared" si="9"/>
        <v/>
      </c>
    </row>
    <row r="57" spans="1:23">
      <c r="A57" s="6" t="str">
        <f t="shared" si="5"/>
        <v/>
      </c>
      <c r="B57" s="80"/>
      <c r="C57" s="6"/>
      <c r="D57" s="80"/>
      <c r="E57" s="80"/>
      <c r="F57" s="46" t="str">
        <f>IF(A57="","",IFERROR(INDEX(PENGELUARAN!$D$5:$D$204,MATCH(A57,PENGELUARAN!$N$5:$N$204,0)),""))</f>
        <v/>
      </c>
      <c r="G57" s="47" t="str">
        <f>IF(F57="","",IFERROR(INDEX(PERKARA!$B$5:$B$104,MATCH(F57,PERKARA!$A$5:$A$104,0)),"ID TIDAK TERDAFTAR"))</f>
        <v/>
      </c>
      <c r="H57" s="73" t="str">
        <f>IF(A57="","",SUMIFS(PENGELUARAN!$K$5:$K$204,PENGELUARAN!$N$5:$N$204,A57))</f>
        <v/>
      </c>
      <c r="I57" s="73" t="str">
        <f>IF(A57="","",IF(AND(T57="Disetujui",M57&lt;&gt;""),SUMIFS(PENGELUARAN!$R$5:$R$204,PENGELUARAN!$N$5:$N$204,A57,PENGELUARAN!$AC$5:$AC$204,"LENGKAP"),0))</f>
        <v/>
      </c>
      <c r="J57" s="73" t="str">
        <f>IF(A57="","",SUMIFS(PENGELUARAN!$S$5:$S$204,PENGELUARAN!$N$5:$N$204,A57))</f>
        <v/>
      </c>
      <c r="K57" s="73" t="str">
        <f t="shared" si="6"/>
        <v/>
      </c>
      <c r="L57" s="9" t="str">
        <f t="shared" si="7"/>
        <v/>
      </c>
      <c r="M57" s="103"/>
      <c r="N57" s="80"/>
      <c r="O57" s="6"/>
      <c r="P57" s="6"/>
      <c r="Q57" s="6"/>
      <c r="R57" s="6"/>
      <c r="S57" s="67" t="str">
        <f t="shared" si="8"/>
        <v/>
      </c>
      <c r="T57" s="98"/>
      <c r="U57" s="105"/>
      <c r="V57" s="98"/>
      <c r="W57" s="104" t="str">
        <f t="shared" si="9"/>
        <v/>
      </c>
    </row>
    <row r="58" spans="1:23">
      <c r="A58" s="6" t="str">
        <f t="shared" si="5"/>
        <v/>
      </c>
      <c r="B58" s="80"/>
      <c r="C58" s="6"/>
      <c r="D58" s="80"/>
      <c r="E58" s="80"/>
      <c r="F58" s="46" t="str">
        <f>IF(A58="","",IFERROR(INDEX(PENGELUARAN!$D$5:$D$204,MATCH(A58,PENGELUARAN!$N$5:$N$204,0)),""))</f>
        <v/>
      </c>
      <c r="G58" s="47" t="str">
        <f>IF(F58="","",IFERROR(INDEX(PERKARA!$B$5:$B$104,MATCH(F58,PERKARA!$A$5:$A$104,0)),"ID TIDAK TERDAFTAR"))</f>
        <v/>
      </c>
      <c r="H58" s="73" t="str">
        <f>IF(A58="","",SUMIFS(PENGELUARAN!$K$5:$K$204,PENGELUARAN!$N$5:$N$204,A58))</f>
        <v/>
      </c>
      <c r="I58" s="73" t="str">
        <f>IF(A58="","",IF(AND(T58="Disetujui",M58&lt;&gt;""),SUMIFS(PENGELUARAN!$R$5:$R$204,PENGELUARAN!$N$5:$N$204,A58,PENGELUARAN!$AC$5:$AC$204,"LENGKAP"),0))</f>
        <v/>
      </c>
      <c r="J58" s="73" t="str">
        <f>IF(A58="","",SUMIFS(PENGELUARAN!$S$5:$S$204,PENGELUARAN!$N$5:$N$204,A58))</f>
        <v/>
      </c>
      <c r="K58" s="73" t="str">
        <f t="shared" si="6"/>
        <v/>
      </c>
      <c r="L58" s="9" t="str">
        <f t="shared" si="7"/>
        <v/>
      </c>
      <c r="M58" s="103"/>
      <c r="N58" s="80"/>
      <c r="O58" s="6"/>
      <c r="P58" s="6"/>
      <c r="Q58" s="6"/>
      <c r="R58" s="6"/>
      <c r="S58" s="67" t="str">
        <f t="shared" si="8"/>
        <v/>
      </c>
      <c r="T58" s="98"/>
      <c r="U58" s="105"/>
      <c r="V58" s="98"/>
      <c r="W58" s="104" t="str">
        <f t="shared" si="9"/>
        <v/>
      </c>
    </row>
    <row r="59" spans="1:23">
      <c r="A59" s="6" t="str">
        <f t="shared" si="5"/>
        <v/>
      </c>
      <c r="B59" s="80"/>
      <c r="C59" s="6"/>
      <c r="D59" s="80"/>
      <c r="E59" s="80"/>
      <c r="F59" s="46" t="str">
        <f>IF(A59="","",IFERROR(INDEX(PENGELUARAN!$D$5:$D$204,MATCH(A59,PENGELUARAN!$N$5:$N$204,0)),""))</f>
        <v/>
      </c>
      <c r="G59" s="47" t="str">
        <f>IF(F59="","",IFERROR(INDEX(PERKARA!$B$5:$B$104,MATCH(F59,PERKARA!$A$5:$A$104,0)),"ID TIDAK TERDAFTAR"))</f>
        <v/>
      </c>
      <c r="H59" s="73" t="str">
        <f>IF(A59="","",SUMIFS(PENGELUARAN!$K$5:$K$204,PENGELUARAN!$N$5:$N$204,A59))</f>
        <v/>
      </c>
      <c r="I59" s="73" t="str">
        <f>IF(A59="","",IF(AND(T59="Disetujui",M59&lt;&gt;""),SUMIFS(PENGELUARAN!$R$5:$R$204,PENGELUARAN!$N$5:$N$204,A59,PENGELUARAN!$AC$5:$AC$204,"LENGKAP"),0))</f>
        <v/>
      </c>
      <c r="J59" s="73" t="str">
        <f>IF(A59="","",SUMIFS(PENGELUARAN!$S$5:$S$204,PENGELUARAN!$N$5:$N$204,A59))</f>
        <v/>
      </c>
      <c r="K59" s="73" t="str">
        <f t="shared" si="6"/>
        <v/>
      </c>
      <c r="L59" s="9" t="str">
        <f t="shared" si="7"/>
        <v/>
      </c>
      <c r="M59" s="103"/>
      <c r="N59" s="80"/>
      <c r="O59" s="6"/>
      <c r="P59" s="6"/>
      <c r="Q59" s="6"/>
      <c r="R59" s="6"/>
      <c r="S59" s="67" t="str">
        <f t="shared" si="8"/>
        <v/>
      </c>
      <c r="T59" s="98"/>
      <c r="U59" s="105"/>
      <c r="V59" s="98"/>
      <c r="W59" s="104" t="str">
        <f t="shared" si="9"/>
        <v/>
      </c>
    </row>
    <row r="60" spans="1:23">
      <c r="A60" s="6" t="str">
        <f t="shared" si="5"/>
        <v/>
      </c>
      <c r="B60" s="80"/>
      <c r="C60" s="6"/>
      <c r="D60" s="80"/>
      <c r="E60" s="80"/>
      <c r="F60" s="46" t="str">
        <f>IF(A60="","",IFERROR(INDEX(PENGELUARAN!$D$5:$D$204,MATCH(A60,PENGELUARAN!$N$5:$N$204,0)),""))</f>
        <v/>
      </c>
      <c r="G60" s="47" t="str">
        <f>IF(F60="","",IFERROR(INDEX(PERKARA!$B$5:$B$104,MATCH(F60,PERKARA!$A$5:$A$104,0)),"ID TIDAK TERDAFTAR"))</f>
        <v/>
      </c>
      <c r="H60" s="73" t="str">
        <f>IF(A60="","",SUMIFS(PENGELUARAN!$K$5:$K$204,PENGELUARAN!$N$5:$N$204,A60))</f>
        <v/>
      </c>
      <c r="I60" s="73" t="str">
        <f>IF(A60="","",IF(AND(T60="Disetujui",M60&lt;&gt;""),SUMIFS(PENGELUARAN!$R$5:$R$204,PENGELUARAN!$N$5:$N$204,A60,PENGELUARAN!$AC$5:$AC$204,"LENGKAP"),0))</f>
        <v/>
      </c>
      <c r="J60" s="73" t="str">
        <f>IF(A60="","",SUMIFS(PENGELUARAN!$S$5:$S$204,PENGELUARAN!$N$5:$N$204,A60))</f>
        <v/>
      </c>
      <c r="K60" s="73" t="str">
        <f t="shared" si="6"/>
        <v/>
      </c>
      <c r="L60" s="9" t="str">
        <f t="shared" si="7"/>
        <v/>
      </c>
      <c r="M60" s="103"/>
      <c r="N60" s="80"/>
      <c r="O60" s="6"/>
      <c r="P60" s="6"/>
      <c r="Q60" s="6"/>
      <c r="R60" s="6"/>
      <c r="S60" s="67" t="str">
        <f t="shared" si="8"/>
        <v/>
      </c>
      <c r="T60" s="98"/>
      <c r="U60" s="105"/>
      <c r="V60" s="98"/>
      <c r="W60" s="104" t="str">
        <f t="shared" si="9"/>
        <v/>
      </c>
    </row>
    <row r="61" spans="1:23">
      <c r="A61" s="6" t="str">
        <f t="shared" si="5"/>
        <v/>
      </c>
      <c r="B61" s="80"/>
      <c r="C61" s="6"/>
      <c r="D61" s="80"/>
      <c r="E61" s="80"/>
      <c r="F61" s="46" t="str">
        <f>IF(A61="","",IFERROR(INDEX(PENGELUARAN!$D$5:$D$204,MATCH(A61,PENGELUARAN!$N$5:$N$204,0)),""))</f>
        <v/>
      </c>
      <c r="G61" s="47" t="str">
        <f>IF(F61="","",IFERROR(INDEX(PERKARA!$B$5:$B$104,MATCH(F61,PERKARA!$A$5:$A$104,0)),"ID TIDAK TERDAFTAR"))</f>
        <v/>
      </c>
      <c r="H61" s="73" t="str">
        <f>IF(A61="","",SUMIFS(PENGELUARAN!$K$5:$K$204,PENGELUARAN!$N$5:$N$204,A61))</f>
        <v/>
      </c>
      <c r="I61" s="73" t="str">
        <f>IF(A61="","",IF(AND(T61="Disetujui",M61&lt;&gt;""),SUMIFS(PENGELUARAN!$R$5:$R$204,PENGELUARAN!$N$5:$N$204,A61,PENGELUARAN!$AC$5:$AC$204,"LENGKAP"),0))</f>
        <v/>
      </c>
      <c r="J61" s="73" t="str">
        <f>IF(A61="","",SUMIFS(PENGELUARAN!$S$5:$S$204,PENGELUARAN!$N$5:$N$204,A61))</f>
        <v/>
      </c>
      <c r="K61" s="73" t="str">
        <f t="shared" si="6"/>
        <v/>
      </c>
      <c r="L61" s="9" t="str">
        <f t="shared" si="7"/>
        <v/>
      </c>
      <c r="M61" s="103"/>
      <c r="N61" s="80"/>
      <c r="O61" s="6"/>
      <c r="P61" s="6"/>
      <c r="Q61" s="6"/>
      <c r="R61" s="6"/>
      <c r="S61" s="67" t="str">
        <f t="shared" si="8"/>
        <v/>
      </c>
      <c r="T61" s="98"/>
      <c r="U61" s="105"/>
      <c r="V61" s="98"/>
      <c r="W61" s="104" t="str">
        <f t="shared" si="9"/>
        <v/>
      </c>
    </row>
    <row r="62" spans="1:23">
      <c r="A62" s="6" t="str">
        <f t="shared" si="5"/>
        <v/>
      </c>
      <c r="B62" s="80"/>
      <c r="C62" s="6"/>
      <c r="D62" s="80"/>
      <c r="E62" s="80"/>
      <c r="F62" s="46" t="str">
        <f>IF(A62="","",IFERROR(INDEX(PENGELUARAN!$D$5:$D$204,MATCH(A62,PENGELUARAN!$N$5:$N$204,0)),""))</f>
        <v/>
      </c>
      <c r="G62" s="47" t="str">
        <f>IF(F62="","",IFERROR(INDEX(PERKARA!$B$5:$B$104,MATCH(F62,PERKARA!$A$5:$A$104,0)),"ID TIDAK TERDAFTAR"))</f>
        <v/>
      </c>
      <c r="H62" s="73" t="str">
        <f>IF(A62="","",SUMIFS(PENGELUARAN!$K$5:$K$204,PENGELUARAN!$N$5:$N$204,A62))</f>
        <v/>
      </c>
      <c r="I62" s="73" t="str">
        <f>IF(A62="","",IF(AND(T62="Disetujui",M62&lt;&gt;""),SUMIFS(PENGELUARAN!$R$5:$R$204,PENGELUARAN!$N$5:$N$204,A62,PENGELUARAN!$AC$5:$AC$204,"LENGKAP"),0))</f>
        <v/>
      </c>
      <c r="J62" s="73" t="str">
        <f>IF(A62="","",SUMIFS(PENGELUARAN!$S$5:$S$204,PENGELUARAN!$N$5:$N$204,A62))</f>
        <v/>
      </c>
      <c r="K62" s="73" t="str">
        <f t="shared" si="6"/>
        <v/>
      </c>
      <c r="L62" s="9" t="str">
        <f t="shared" si="7"/>
        <v/>
      </c>
      <c r="M62" s="103"/>
      <c r="N62" s="80"/>
      <c r="O62" s="6"/>
      <c r="P62" s="6"/>
      <c r="Q62" s="6"/>
      <c r="R62" s="6"/>
      <c r="S62" s="67" t="str">
        <f t="shared" si="8"/>
        <v/>
      </c>
      <c r="T62" s="98"/>
      <c r="U62" s="105"/>
      <c r="V62" s="98"/>
      <c r="W62" s="104" t="str">
        <f t="shared" si="9"/>
        <v/>
      </c>
    </row>
    <row r="63" spans="1:23">
      <c r="A63" s="6" t="str">
        <f t="shared" si="5"/>
        <v/>
      </c>
      <c r="B63" s="80"/>
      <c r="C63" s="6"/>
      <c r="D63" s="80"/>
      <c r="E63" s="80"/>
      <c r="F63" s="46" t="str">
        <f>IF(A63="","",IFERROR(INDEX(PENGELUARAN!$D$5:$D$204,MATCH(A63,PENGELUARAN!$N$5:$N$204,0)),""))</f>
        <v/>
      </c>
      <c r="G63" s="47" t="str">
        <f>IF(F63="","",IFERROR(INDEX(PERKARA!$B$5:$B$104,MATCH(F63,PERKARA!$A$5:$A$104,0)),"ID TIDAK TERDAFTAR"))</f>
        <v/>
      </c>
      <c r="H63" s="73" t="str">
        <f>IF(A63="","",SUMIFS(PENGELUARAN!$K$5:$K$204,PENGELUARAN!$N$5:$N$204,A63))</f>
        <v/>
      </c>
      <c r="I63" s="73" t="str">
        <f>IF(A63="","",IF(AND(T63="Disetujui",M63&lt;&gt;""),SUMIFS(PENGELUARAN!$R$5:$R$204,PENGELUARAN!$N$5:$N$204,A63,PENGELUARAN!$AC$5:$AC$204,"LENGKAP"),0))</f>
        <v/>
      </c>
      <c r="J63" s="73" t="str">
        <f>IF(A63="","",SUMIFS(PENGELUARAN!$S$5:$S$204,PENGELUARAN!$N$5:$N$204,A63))</f>
        <v/>
      </c>
      <c r="K63" s="73" t="str">
        <f t="shared" si="6"/>
        <v/>
      </c>
      <c r="L63" s="9" t="str">
        <f t="shared" si="7"/>
        <v/>
      </c>
      <c r="M63" s="103"/>
      <c r="N63" s="80"/>
      <c r="O63" s="6"/>
      <c r="P63" s="6"/>
      <c r="Q63" s="6"/>
      <c r="R63" s="6"/>
      <c r="S63" s="67" t="str">
        <f t="shared" si="8"/>
        <v/>
      </c>
      <c r="T63" s="98"/>
      <c r="U63" s="105"/>
      <c r="V63" s="98"/>
      <c r="W63" s="104" t="str">
        <f t="shared" si="9"/>
        <v/>
      </c>
    </row>
    <row r="64" spans="1:23">
      <c r="A64" s="6" t="str">
        <f t="shared" si="5"/>
        <v/>
      </c>
      <c r="B64" s="80"/>
      <c r="C64" s="6"/>
      <c r="D64" s="80"/>
      <c r="E64" s="80"/>
      <c r="F64" s="46" t="str">
        <f>IF(A64="","",IFERROR(INDEX(PENGELUARAN!$D$5:$D$204,MATCH(A64,PENGELUARAN!$N$5:$N$204,0)),""))</f>
        <v/>
      </c>
      <c r="G64" s="47" t="str">
        <f>IF(F64="","",IFERROR(INDEX(PERKARA!$B$5:$B$104,MATCH(F64,PERKARA!$A$5:$A$104,0)),"ID TIDAK TERDAFTAR"))</f>
        <v/>
      </c>
      <c r="H64" s="73" t="str">
        <f>IF(A64="","",SUMIFS(PENGELUARAN!$K$5:$K$204,PENGELUARAN!$N$5:$N$204,A64))</f>
        <v/>
      </c>
      <c r="I64" s="73" t="str">
        <f>IF(A64="","",IF(AND(T64="Disetujui",M64&lt;&gt;""),SUMIFS(PENGELUARAN!$R$5:$R$204,PENGELUARAN!$N$5:$N$204,A64,PENGELUARAN!$AC$5:$AC$204,"LENGKAP"),0))</f>
        <v/>
      </c>
      <c r="J64" s="73" t="str">
        <f>IF(A64="","",SUMIFS(PENGELUARAN!$S$5:$S$204,PENGELUARAN!$N$5:$N$204,A64))</f>
        <v/>
      </c>
      <c r="K64" s="73" t="str">
        <f t="shared" si="6"/>
        <v/>
      </c>
      <c r="L64" s="9" t="str">
        <f t="shared" si="7"/>
        <v/>
      </c>
      <c r="M64" s="103"/>
      <c r="N64" s="80"/>
      <c r="O64" s="6"/>
      <c r="P64" s="6"/>
      <c r="Q64" s="6"/>
      <c r="R64" s="6"/>
      <c r="S64" s="67" t="str">
        <f t="shared" si="8"/>
        <v/>
      </c>
      <c r="T64" s="98"/>
      <c r="U64" s="105"/>
      <c r="V64" s="98"/>
      <c r="W64" s="104" t="str">
        <f t="shared" si="9"/>
        <v/>
      </c>
    </row>
    <row r="65" spans="1:23">
      <c r="A65" s="6" t="str">
        <f t="shared" si="5"/>
        <v/>
      </c>
      <c r="B65" s="80"/>
      <c r="C65" s="6"/>
      <c r="D65" s="80"/>
      <c r="E65" s="80"/>
      <c r="F65" s="46" t="str">
        <f>IF(A65="","",IFERROR(INDEX(PENGELUARAN!$D$5:$D$204,MATCH(A65,PENGELUARAN!$N$5:$N$204,0)),""))</f>
        <v/>
      </c>
      <c r="G65" s="47" t="str">
        <f>IF(F65="","",IFERROR(INDEX(PERKARA!$B$5:$B$104,MATCH(F65,PERKARA!$A$5:$A$104,0)),"ID TIDAK TERDAFTAR"))</f>
        <v/>
      </c>
      <c r="H65" s="73" t="str">
        <f>IF(A65="","",SUMIFS(PENGELUARAN!$K$5:$K$204,PENGELUARAN!$N$5:$N$204,A65))</f>
        <v/>
      </c>
      <c r="I65" s="73" t="str">
        <f>IF(A65="","",IF(AND(T65="Disetujui",M65&lt;&gt;""),SUMIFS(PENGELUARAN!$R$5:$R$204,PENGELUARAN!$N$5:$N$204,A65,PENGELUARAN!$AC$5:$AC$204,"LENGKAP"),0))</f>
        <v/>
      </c>
      <c r="J65" s="73" t="str">
        <f>IF(A65="","",SUMIFS(PENGELUARAN!$S$5:$S$204,PENGELUARAN!$N$5:$N$204,A65))</f>
        <v/>
      </c>
      <c r="K65" s="73" t="str">
        <f t="shared" si="6"/>
        <v/>
      </c>
      <c r="L65" s="9" t="str">
        <f t="shared" si="7"/>
        <v/>
      </c>
      <c r="M65" s="103"/>
      <c r="N65" s="80"/>
      <c r="O65" s="6"/>
      <c r="P65" s="6"/>
      <c r="Q65" s="6"/>
      <c r="R65" s="6"/>
      <c r="S65" s="67" t="str">
        <f t="shared" si="8"/>
        <v/>
      </c>
      <c r="T65" s="98"/>
      <c r="U65" s="105"/>
      <c r="V65" s="98"/>
      <c r="W65" s="104" t="str">
        <f t="shared" si="9"/>
        <v/>
      </c>
    </row>
    <row r="66" spans="1:23">
      <c r="A66" s="6" t="str">
        <f t="shared" si="5"/>
        <v/>
      </c>
      <c r="B66" s="80"/>
      <c r="C66" s="6"/>
      <c r="D66" s="80"/>
      <c r="E66" s="80"/>
      <c r="F66" s="46" t="str">
        <f>IF(A66="","",IFERROR(INDEX(PENGELUARAN!$D$5:$D$204,MATCH(A66,PENGELUARAN!$N$5:$N$204,0)),""))</f>
        <v/>
      </c>
      <c r="G66" s="47" t="str">
        <f>IF(F66="","",IFERROR(INDEX(PERKARA!$B$5:$B$104,MATCH(F66,PERKARA!$A$5:$A$104,0)),"ID TIDAK TERDAFTAR"))</f>
        <v/>
      </c>
      <c r="H66" s="73" t="str">
        <f>IF(A66="","",SUMIFS(PENGELUARAN!$K$5:$K$204,PENGELUARAN!$N$5:$N$204,A66))</f>
        <v/>
      </c>
      <c r="I66" s="73" t="str">
        <f>IF(A66="","",IF(AND(T66="Disetujui",M66&lt;&gt;""),SUMIFS(PENGELUARAN!$R$5:$R$204,PENGELUARAN!$N$5:$N$204,A66,PENGELUARAN!$AC$5:$AC$204,"LENGKAP"),0))</f>
        <v/>
      </c>
      <c r="J66" s="73" t="str">
        <f>IF(A66="","",SUMIFS(PENGELUARAN!$S$5:$S$204,PENGELUARAN!$N$5:$N$204,A66))</f>
        <v/>
      </c>
      <c r="K66" s="73" t="str">
        <f t="shared" si="6"/>
        <v/>
      </c>
      <c r="L66" s="9" t="str">
        <f t="shared" si="7"/>
        <v/>
      </c>
      <c r="M66" s="103"/>
      <c r="N66" s="80"/>
      <c r="O66" s="6"/>
      <c r="P66" s="6"/>
      <c r="Q66" s="6"/>
      <c r="R66" s="6"/>
      <c r="S66" s="67" t="str">
        <f t="shared" si="8"/>
        <v/>
      </c>
      <c r="T66" s="98"/>
      <c r="U66" s="105"/>
      <c r="V66" s="98"/>
      <c r="W66" s="104" t="str">
        <f t="shared" si="9"/>
        <v/>
      </c>
    </row>
    <row r="67" spans="1:23">
      <c r="A67" s="6" t="str">
        <f t="shared" si="5"/>
        <v/>
      </c>
      <c r="B67" s="80"/>
      <c r="C67" s="6"/>
      <c r="D67" s="80"/>
      <c r="E67" s="80"/>
      <c r="F67" s="46" t="str">
        <f>IF(A67="","",IFERROR(INDEX(PENGELUARAN!$D$5:$D$204,MATCH(A67,PENGELUARAN!$N$5:$N$204,0)),""))</f>
        <v/>
      </c>
      <c r="G67" s="47" t="str">
        <f>IF(F67="","",IFERROR(INDEX(PERKARA!$B$5:$B$104,MATCH(F67,PERKARA!$A$5:$A$104,0)),"ID TIDAK TERDAFTAR"))</f>
        <v/>
      </c>
      <c r="H67" s="73" t="str">
        <f>IF(A67="","",SUMIFS(PENGELUARAN!$K$5:$K$204,PENGELUARAN!$N$5:$N$204,A67))</f>
        <v/>
      </c>
      <c r="I67" s="73" t="str">
        <f>IF(A67="","",IF(AND(T67="Disetujui",M67&lt;&gt;""),SUMIFS(PENGELUARAN!$R$5:$R$204,PENGELUARAN!$N$5:$N$204,A67,PENGELUARAN!$AC$5:$AC$204,"LENGKAP"),0))</f>
        <v/>
      </c>
      <c r="J67" s="73" t="str">
        <f>IF(A67="","",SUMIFS(PENGELUARAN!$S$5:$S$204,PENGELUARAN!$N$5:$N$204,A67))</f>
        <v/>
      </c>
      <c r="K67" s="73" t="str">
        <f t="shared" si="6"/>
        <v/>
      </c>
      <c r="L67" s="9" t="str">
        <f t="shared" si="7"/>
        <v/>
      </c>
      <c r="M67" s="103"/>
      <c r="N67" s="80"/>
      <c r="O67" s="6"/>
      <c r="P67" s="6"/>
      <c r="Q67" s="6"/>
      <c r="R67" s="6"/>
      <c r="S67" s="67" t="str">
        <f t="shared" si="8"/>
        <v/>
      </c>
      <c r="T67" s="98"/>
      <c r="U67" s="105"/>
      <c r="V67" s="98"/>
      <c r="W67" s="104" t="str">
        <f t="shared" si="9"/>
        <v/>
      </c>
    </row>
    <row r="68" spans="1:23">
      <c r="A68" s="6" t="str">
        <f t="shared" si="5"/>
        <v/>
      </c>
      <c r="B68" s="80"/>
      <c r="C68" s="6"/>
      <c r="D68" s="80"/>
      <c r="E68" s="80"/>
      <c r="F68" s="46" t="str">
        <f>IF(A68="","",IFERROR(INDEX(PENGELUARAN!$D$5:$D$204,MATCH(A68,PENGELUARAN!$N$5:$N$204,0)),""))</f>
        <v/>
      </c>
      <c r="G68" s="47" t="str">
        <f>IF(F68="","",IFERROR(INDEX(PERKARA!$B$5:$B$104,MATCH(F68,PERKARA!$A$5:$A$104,0)),"ID TIDAK TERDAFTAR"))</f>
        <v/>
      </c>
      <c r="H68" s="73" t="str">
        <f>IF(A68="","",SUMIFS(PENGELUARAN!$K$5:$K$204,PENGELUARAN!$N$5:$N$204,A68))</f>
        <v/>
      </c>
      <c r="I68" s="73" t="str">
        <f>IF(A68="","",IF(AND(T68="Disetujui",M68&lt;&gt;""),SUMIFS(PENGELUARAN!$R$5:$R$204,PENGELUARAN!$N$5:$N$204,A68,PENGELUARAN!$AC$5:$AC$204,"LENGKAP"),0))</f>
        <v/>
      </c>
      <c r="J68" s="73" t="str">
        <f>IF(A68="","",SUMIFS(PENGELUARAN!$S$5:$S$204,PENGELUARAN!$N$5:$N$204,A68))</f>
        <v/>
      </c>
      <c r="K68" s="73" t="str">
        <f t="shared" si="6"/>
        <v/>
      </c>
      <c r="L68" s="9" t="str">
        <f t="shared" si="7"/>
        <v/>
      </c>
      <c r="M68" s="103"/>
      <c r="N68" s="80"/>
      <c r="O68" s="6"/>
      <c r="P68" s="6"/>
      <c r="Q68" s="6"/>
      <c r="R68" s="6"/>
      <c r="S68" s="67" t="str">
        <f t="shared" si="8"/>
        <v/>
      </c>
      <c r="T68" s="98"/>
      <c r="U68" s="105"/>
      <c r="V68" s="98"/>
      <c r="W68" s="104" t="str">
        <f t="shared" si="9"/>
        <v/>
      </c>
    </row>
    <row r="69" spans="1:23">
      <c r="A69" s="6" t="str">
        <f t="shared" ref="A69:A100" si="10">IF(B69="","",IFERROR("RMB-"&amp;TEXT(B69,"yyyymmdd")&amp;"-"&amp;TEXT(ROW()-4,"000"),"TANGGAL TIDAK VALID"))</f>
        <v/>
      </c>
      <c r="B69" s="80"/>
      <c r="C69" s="6"/>
      <c r="D69" s="80"/>
      <c r="E69" s="80"/>
      <c r="F69" s="46" t="str">
        <f>IF(A69="","",IFERROR(INDEX(PENGELUARAN!$D$5:$D$204,MATCH(A69,PENGELUARAN!$N$5:$N$204,0)),""))</f>
        <v/>
      </c>
      <c r="G69" s="47" t="str">
        <f>IF(F69="","",IFERROR(INDEX(PERKARA!$B$5:$B$104,MATCH(F69,PERKARA!$A$5:$A$104,0)),"ID TIDAK TERDAFTAR"))</f>
        <v/>
      </c>
      <c r="H69" s="73" t="str">
        <f>IF(A69="","",SUMIFS(PENGELUARAN!$K$5:$K$204,PENGELUARAN!$N$5:$N$204,A69))</f>
        <v/>
      </c>
      <c r="I69" s="73" t="str">
        <f>IF(A69="","",IF(AND(T69="Disetujui",M69&lt;&gt;""),SUMIFS(PENGELUARAN!$R$5:$R$204,PENGELUARAN!$N$5:$N$204,A69,PENGELUARAN!$AC$5:$AC$204,"LENGKAP"),0))</f>
        <v/>
      </c>
      <c r="J69" s="73" t="str">
        <f>IF(A69="","",SUMIFS(PENGELUARAN!$S$5:$S$204,PENGELUARAN!$N$5:$N$204,A69))</f>
        <v/>
      </c>
      <c r="K69" s="73" t="str">
        <f t="shared" ref="K69:K100" si="11">IF(A69="","",MAX(I69-J69,0))</f>
        <v/>
      </c>
      <c r="L69" s="9" t="str">
        <f t="shared" ref="L69:L100" si="12">IF(A69="","",IF(T69="Ditolak","Ditolak",IF(H69=0,"Belum Ada Transaksi",IF(OR(T69&lt;&gt;"Disetujui",M69=""),"Menunggu Persetujuan",IF(I69=0,"Menunggu Otorisasi Rincian",IF(J69=0,"Disetujui - Belum Dibayar",IF(K69=0,"Lunas","Dibayar Sebagian")))))))</f>
        <v/>
      </c>
      <c r="M69" s="103"/>
      <c r="N69" s="80"/>
      <c r="O69" s="6"/>
      <c r="P69" s="6"/>
      <c r="Q69" s="6"/>
      <c r="R69" s="6"/>
      <c r="S69" s="67" t="str">
        <f t="shared" ref="S69:S100" si="13">IF(B69="","",IF(COUNTIF($A$5:$A$124,A69)&gt;1,"ID KLAIM DUPLIKAT",IF(AND(F69&lt;&gt;"",G69="ID TIDAK TERDAFTAR"),"PERKARA TIDAK VALID",IF(AND(J69&gt;0,O69=""),"AKUN PEMBAYARAN BELUM DIISI",IF(AND(J69&gt;0,N69=""),"TANGGAL PEMBAYARAN BELUM DIISI",IF(AND(J69&gt;0,W69&lt;&gt;"LENGKAP"),"DIBAYAR TANPA OTORISASI",IF(J69&gt;I69,"PEMBAYARAN MELEBIHI PERSETUJUAN","OK")))))))</f>
        <v/>
      </c>
      <c r="T69" s="98"/>
      <c r="U69" s="105"/>
      <c r="V69" s="98"/>
      <c r="W69" s="104" t="str">
        <f t="shared" ref="W69:W100" si="14">IF(B69="","",IF(T69="Ditolak","DITOLAK",IF(AND(T69="Disetujui",M69&lt;&gt;""),"LENGKAP",IF(T69="Disetujui","NAMA PENYETUJU BELUM DIISI","MENUNGGU PERSETUJUAN MANUAL"))))</f>
        <v/>
      </c>
    </row>
    <row r="70" spans="1:23">
      <c r="A70" s="6" t="str">
        <f t="shared" si="10"/>
        <v/>
      </c>
      <c r="B70" s="80"/>
      <c r="C70" s="6"/>
      <c r="D70" s="80"/>
      <c r="E70" s="80"/>
      <c r="F70" s="46" t="str">
        <f>IF(A70="","",IFERROR(INDEX(PENGELUARAN!$D$5:$D$204,MATCH(A70,PENGELUARAN!$N$5:$N$204,0)),""))</f>
        <v/>
      </c>
      <c r="G70" s="47" t="str">
        <f>IF(F70="","",IFERROR(INDEX(PERKARA!$B$5:$B$104,MATCH(F70,PERKARA!$A$5:$A$104,0)),"ID TIDAK TERDAFTAR"))</f>
        <v/>
      </c>
      <c r="H70" s="73" t="str">
        <f>IF(A70="","",SUMIFS(PENGELUARAN!$K$5:$K$204,PENGELUARAN!$N$5:$N$204,A70))</f>
        <v/>
      </c>
      <c r="I70" s="73" t="str">
        <f>IF(A70="","",IF(AND(T70="Disetujui",M70&lt;&gt;""),SUMIFS(PENGELUARAN!$R$5:$R$204,PENGELUARAN!$N$5:$N$204,A70,PENGELUARAN!$AC$5:$AC$204,"LENGKAP"),0))</f>
        <v/>
      </c>
      <c r="J70" s="73" t="str">
        <f>IF(A70="","",SUMIFS(PENGELUARAN!$S$5:$S$204,PENGELUARAN!$N$5:$N$204,A70))</f>
        <v/>
      </c>
      <c r="K70" s="73" t="str">
        <f t="shared" si="11"/>
        <v/>
      </c>
      <c r="L70" s="9" t="str">
        <f t="shared" si="12"/>
        <v/>
      </c>
      <c r="M70" s="103"/>
      <c r="N70" s="80"/>
      <c r="O70" s="6"/>
      <c r="P70" s="6"/>
      <c r="Q70" s="6"/>
      <c r="R70" s="6"/>
      <c r="S70" s="67" t="str">
        <f t="shared" si="13"/>
        <v/>
      </c>
      <c r="T70" s="98"/>
      <c r="U70" s="105"/>
      <c r="V70" s="98"/>
      <c r="W70" s="104" t="str">
        <f t="shared" si="14"/>
        <v/>
      </c>
    </row>
    <row r="71" spans="1:23">
      <c r="A71" s="6" t="str">
        <f t="shared" si="10"/>
        <v/>
      </c>
      <c r="B71" s="80"/>
      <c r="C71" s="6"/>
      <c r="D71" s="80"/>
      <c r="E71" s="80"/>
      <c r="F71" s="46" t="str">
        <f>IF(A71="","",IFERROR(INDEX(PENGELUARAN!$D$5:$D$204,MATCH(A71,PENGELUARAN!$N$5:$N$204,0)),""))</f>
        <v/>
      </c>
      <c r="G71" s="47" t="str">
        <f>IF(F71="","",IFERROR(INDEX(PERKARA!$B$5:$B$104,MATCH(F71,PERKARA!$A$5:$A$104,0)),"ID TIDAK TERDAFTAR"))</f>
        <v/>
      </c>
      <c r="H71" s="73" t="str">
        <f>IF(A71="","",SUMIFS(PENGELUARAN!$K$5:$K$204,PENGELUARAN!$N$5:$N$204,A71))</f>
        <v/>
      </c>
      <c r="I71" s="73" t="str">
        <f>IF(A71="","",IF(AND(T71="Disetujui",M71&lt;&gt;""),SUMIFS(PENGELUARAN!$R$5:$R$204,PENGELUARAN!$N$5:$N$204,A71,PENGELUARAN!$AC$5:$AC$204,"LENGKAP"),0))</f>
        <v/>
      </c>
      <c r="J71" s="73" t="str">
        <f>IF(A71="","",SUMIFS(PENGELUARAN!$S$5:$S$204,PENGELUARAN!$N$5:$N$204,A71))</f>
        <v/>
      </c>
      <c r="K71" s="73" t="str">
        <f t="shared" si="11"/>
        <v/>
      </c>
      <c r="L71" s="9" t="str">
        <f t="shared" si="12"/>
        <v/>
      </c>
      <c r="M71" s="103"/>
      <c r="N71" s="80"/>
      <c r="O71" s="6"/>
      <c r="P71" s="6"/>
      <c r="Q71" s="6"/>
      <c r="R71" s="6"/>
      <c r="S71" s="67" t="str">
        <f t="shared" si="13"/>
        <v/>
      </c>
      <c r="T71" s="98"/>
      <c r="U71" s="105"/>
      <c r="V71" s="98"/>
      <c r="W71" s="104" t="str">
        <f t="shared" si="14"/>
        <v/>
      </c>
    </row>
    <row r="72" spans="1:23">
      <c r="A72" s="6" t="str">
        <f t="shared" si="10"/>
        <v/>
      </c>
      <c r="B72" s="80"/>
      <c r="C72" s="6"/>
      <c r="D72" s="80"/>
      <c r="E72" s="80"/>
      <c r="F72" s="46" t="str">
        <f>IF(A72="","",IFERROR(INDEX(PENGELUARAN!$D$5:$D$204,MATCH(A72,PENGELUARAN!$N$5:$N$204,0)),""))</f>
        <v/>
      </c>
      <c r="G72" s="47" t="str">
        <f>IF(F72="","",IFERROR(INDEX(PERKARA!$B$5:$B$104,MATCH(F72,PERKARA!$A$5:$A$104,0)),"ID TIDAK TERDAFTAR"))</f>
        <v/>
      </c>
      <c r="H72" s="73" t="str">
        <f>IF(A72="","",SUMIFS(PENGELUARAN!$K$5:$K$204,PENGELUARAN!$N$5:$N$204,A72))</f>
        <v/>
      </c>
      <c r="I72" s="73" t="str">
        <f>IF(A72="","",IF(AND(T72="Disetujui",M72&lt;&gt;""),SUMIFS(PENGELUARAN!$R$5:$R$204,PENGELUARAN!$N$5:$N$204,A72,PENGELUARAN!$AC$5:$AC$204,"LENGKAP"),0))</f>
        <v/>
      </c>
      <c r="J72" s="73" t="str">
        <f>IF(A72="","",SUMIFS(PENGELUARAN!$S$5:$S$204,PENGELUARAN!$N$5:$N$204,A72))</f>
        <v/>
      </c>
      <c r="K72" s="73" t="str">
        <f t="shared" si="11"/>
        <v/>
      </c>
      <c r="L72" s="9" t="str">
        <f t="shared" si="12"/>
        <v/>
      </c>
      <c r="M72" s="103"/>
      <c r="N72" s="80"/>
      <c r="O72" s="6"/>
      <c r="P72" s="6"/>
      <c r="Q72" s="6"/>
      <c r="R72" s="6"/>
      <c r="S72" s="67" t="str">
        <f t="shared" si="13"/>
        <v/>
      </c>
      <c r="T72" s="98"/>
      <c r="U72" s="105"/>
      <c r="V72" s="98"/>
      <c r="W72" s="104" t="str">
        <f t="shared" si="14"/>
        <v/>
      </c>
    </row>
    <row r="73" spans="1:23">
      <c r="A73" s="6" t="str">
        <f t="shared" si="10"/>
        <v/>
      </c>
      <c r="B73" s="80"/>
      <c r="C73" s="6"/>
      <c r="D73" s="80"/>
      <c r="E73" s="80"/>
      <c r="F73" s="46" t="str">
        <f>IF(A73="","",IFERROR(INDEX(PENGELUARAN!$D$5:$D$204,MATCH(A73,PENGELUARAN!$N$5:$N$204,0)),""))</f>
        <v/>
      </c>
      <c r="G73" s="47" t="str">
        <f>IF(F73="","",IFERROR(INDEX(PERKARA!$B$5:$B$104,MATCH(F73,PERKARA!$A$5:$A$104,0)),"ID TIDAK TERDAFTAR"))</f>
        <v/>
      </c>
      <c r="H73" s="73" t="str">
        <f>IF(A73="","",SUMIFS(PENGELUARAN!$K$5:$K$204,PENGELUARAN!$N$5:$N$204,A73))</f>
        <v/>
      </c>
      <c r="I73" s="73" t="str">
        <f>IF(A73="","",IF(AND(T73="Disetujui",M73&lt;&gt;""),SUMIFS(PENGELUARAN!$R$5:$R$204,PENGELUARAN!$N$5:$N$204,A73,PENGELUARAN!$AC$5:$AC$204,"LENGKAP"),0))</f>
        <v/>
      </c>
      <c r="J73" s="73" t="str">
        <f>IF(A73="","",SUMIFS(PENGELUARAN!$S$5:$S$204,PENGELUARAN!$N$5:$N$204,A73))</f>
        <v/>
      </c>
      <c r="K73" s="73" t="str">
        <f t="shared" si="11"/>
        <v/>
      </c>
      <c r="L73" s="9" t="str">
        <f t="shared" si="12"/>
        <v/>
      </c>
      <c r="M73" s="103"/>
      <c r="N73" s="80"/>
      <c r="O73" s="6"/>
      <c r="P73" s="6"/>
      <c r="Q73" s="6"/>
      <c r="R73" s="6"/>
      <c r="S73" s="67" t="str">
        <f t="shared" si="13"/>
        <v/>
      </c>
      <c r="T73" s="98"/>
      <c r="U73" s="105"/>
      <c r="V73" s="98"/>
      <c r="W73" s="104" t="str">
        <f t="shared" si="14"/>
        <v/>
      </c>
    </row>
    <row r="74" spans="1:23">
      <c r="A74" s="6" t="str">
        <f t="shared" si="10"/>
        <v/>
      </c>
      <c r="B74" s="80"/>
      <c r="C74" s="6"/>
      <c r="D74" s="80"/>
      <c r="E74" s="80"/>
      <c r="F74" s="46" t="str">
        <f>IF(A74="","",IFERROR(INDEX(PENGELUARAN!$D$5:$D$204,MATCH(A74,PENGELUARAN!$N$5:$N$204,0)),""))</f>
        <v/>
      </c>
      <c r="G74" s="47" t="str">
        <f>IF(F74="","",IFERROR(INDEX(PERKARA!$B$5:$B$104,MATCH(F74,PERKARA!$A$5:$A$104,0)),"ID TIDAK TERDAFTAR"))</f>
        <v/>
      </c>
      <c r="H74" s="73" t="str">
        <f>IF(A74="","",SUMIFS(PENGELUARAN!$K$5:$K$204,PENGELUARAN!$N$5:$N$204,A74))</f>
        <v/>
      </c>
      <c r="I74" s="73" t="str">
        <f>IF(A74="","",IF(AND(T74="Disetujui",M74&lt;&gt;""),SUMIFS(PENGELUARAN!$R$5:$R$204,PENGELUARAN!$N$5:$N$204,A74,PENGELUARAN!$AC$5:$AC$204,"LENGKAP"),0))</f>
        <v/>
      </c>
      <c r="J74" s="73" t="str">
        <f>IF(A74="","",SUMIFS(PENGELUARAN!$S$5:$S$204,PENGELUARAN!$N$5:$N$204,A74))</f>
        <v/>
      </c>
      <c r="K74" s="73" t="str">
        <f t="shared" si="11"/>
        <v/>
      </c>
      <c r="L74" s="9" t="str">
        <f t="shared" si="12"/>
        <v/>
      </c>
      <c r="M74" s="103"/>
      <c r="N74" s="80"/>
      <c r="O74" s="6"/>
      <c r="P74" s="6"/>
      <c r="Q74" s="6"/>
      <c r="R74" s="6"/>
      <c r="S74" s="67" t="str">
        <f t="shared" si="13"/>
        <v/>
      </c>
      <c r="T74" s="98"/>
      <c r="U74" s="105"/>
      <c r="V74" s="98"/>
      <c r="W74" s="104" t="str">
        <f t="shared" si="14"/>
        <v/>
      </c>
    </row>
    <row r="75" spans="1:23">
      <c r="A75" s="6" t="str">
        <f t="shared" si="10"/>
        <v/>
      </c>
      <c r="B75" s="80"/>
      <c r="C75" s="6"/>
      <c r="D75" s="80"/>
      <c r="E75" s="80"/>
      <c r="F75" s="46" t="str">
        <f>IF(A75="","",IFERROR(INDEX(PENGELUARAN!$D$5:$D$204,MATCH(A75,PENGELUARAN!$N$5:$N$204,0)),""))</f>
        <v/>
      </c>
      <c r="G75" s="47" t="str">
        <f>IF(F75="","",IFERROR(INDEX(PERKARA!$B$5:$B$104,MATCH(F75,PERKARA!$A$5:$A$104,0)),"ID TIDAK TERDAFTAR"))</f>
        <v/>
      </c>
      <c r="H75" s="73" t="str">
        <f>IF(A75="","",SUMIFS(PENGELUARAN!$K$5:$K$204,PENGELUARAN!$N$5:$N$204,A75))</f>
        <v/>
      </c>
      <c r="I75" s="73" t="str">
        <f>IF(A75="","",IF(AND(T75="Disetujui",M75&lt;&gt;""),SUMIFS(PENGELUARAN!$R$5:$R$204,PENGELUARAN!$N$5:$N$204,A75,PENGELUARAN!$AC$5:$AC$204,"LENGKAP"),0))</f>
        <v/>
      </c>
      <c r="J75" s="73" t="str">
        <f>IF(A75="","",SUMIFS(PENGELUARAN!$S$5:$S$204,PENGELUARAN!$N$5:$N$204,A75))</f>
        <v/>
      </c>
      <c r="K75" s="73" t="str">
        <f t="shared" si="11"/>
        <v/>
      </c>
      <c r="L75" s="9" t="str">
        <f t="shared" si="12"/>
        <v/>
      </c>
      <c r="M75" s="103"/>
      <c r="N75" s="80"/>
      <c r="O75" s="6"/>
      <c r="P75" s="6"/>
      <c r="Q75" s="6"/>
      <c r="R75" s="6"/>
      <c r="S75" s="67" t="str">
        <f t="shared" si="13"/>
        <v/>
      </c>
      <c r="T75" s="98"/>
      <c r="U75" s="105"/>
      <c r="V75" s="98"/>
      <c r="W75" s="104" t="str">
        <f t="shared" si="14"/>
        <v/>
      </c>
    </row>
    <row r="76" spans="1:23">
      <c r="A76" s="6" t="str">
        <f t="shared" si="10"/>
        <v/>
      </c>
      <c r="B76" s="80"/>
      <c r="C76" s="6"/>
      <c r="D76" s="80"/>
      <c r="E76" s="80"/>
      <c r="F76" s="46" t="str">
        <f>IF(A76="","",IFERROR(INDEX(PENGELUARAN!$D$5:$D$204,MATCH(A76,PENGELUARAN!$N$5:$N$204,0)),""))</f>
        <v/>
      </c>
      <c r="G76" s="47" t="str">
        <f>IF(F76="","",IFERROR(INDEX(PERKARA!$B$5:$B$104,MATCH(F76,PERKARA!$A$5:$A$104,0)),"ID TIDAK TERDAFTAR"))</f>
        <v/>
      </c>
      <c r="H76" s="73" t="str">
        <f>IF(A76="","",SUMIFS(PENGELUARAN!$K$5:$K$204,PENGELUARAN!$N$5:$N$204,A76))</f>
        <v/>
      </c>
      <c r="I76" s="73" t="str">
        <f>IF(A76="","",IF(AND(T76="Disetujui",M76&lt;&gt;""),SUMIFS(PENGELUARAN!$R$5:$R$204,PENGELUARAN!$N$5:$N$204,A76,PENGELUARAN!$AC$5:$AC$204,"LENGKAP"),0))</f>
        <v/>
      </c>
      <c r="J76" s="73" t="str">
        <f>IF(A76="","",SUMIFS(PENGELUARAN!$S$5:$S$204,PENGELUARAN!$N$5:$N$204,A76))</f>
        <v/>
      </c>
      <c r="K76" s="73" t="str">
        <f t="shared" si="11"/>
        <v/>
      </c>
      <c r="L76" s="9" t="str">
        <f t="shared" si="12"/>
        <v/>
      </c>
      <c r="M76" s="103"/>
      <c r="N76" s="80"/>
      <c r="O76" s="6"/>
      <c r="P76" s="6"/>
      <c r="Q76" s="6"/>
      <c r="R76" s="6"/>
      <c r="S76" s="67" t="str">
        <f t="shared" si="13"/>
        <v/>
      </c>
      <c r="T76" s="98"/>
      <c r="U76" s="105"/>
      <c r="V76" s="98"/>
      <c r="W76" s="104" t="str">
        <f t="shared" si="14"/>
        <v/>
      </c>
    </row>
    <row r="77" spans="1:23">
      <c r="A77" s="6" t="str">
        <f t="shared" si="10"/>
        <v/>
      </c>
      <c r="B77" s="80"/>
      <c r="C77" s="6"/>
      <c r="D77" s="80"/>
      <c r="E77" s="80"/>
      <c r="F77" s="46" t="str">
        <f>IF(A77="","",IFERROR(INDEX(PENGELUARAN!$D$5:$D$204,MATCH(A77,PENGELUARAN!$N$5:$N$204,0)),""))</f>
        <v/>
      </c>
      <c r="G77" s="47" t="str">
        <f>IF(F77="","",IFERROR(INDEX(PERKARA!$B$5:$B$104,MATCH(F77,PERKARA!$A$5:$A$104,0)),"ID TIDAK TERDAFTAR"))</f>
        <v/>
      </c>
      <c r="H77" s="73" t="str">
        <f>IF(A77="","",SUMIFS(PENGELUARAN!$K$5:$K$204,PENGELUARAN!$N$5:$N$204,A77))</f>
        <v/>
      </c>
      <c r="I77" s="73" t="str">
        <f>IF(A77="","",IF(AND(T77="Disetujui",M77&lt;&gt;""),SUMIFS(PENGELUARAN!$R$5:$R$204,PENGELUARAN!$N$5:$N$204,A77,PENGELUARAN!$AC$5:$AC$204,"LENGKAP"),0))</f>
        <v/>
      </c>
      <c r="J77" s="73" t="str">
        <f>IF(A77="","",SUMIFS(PENGELUARAN!$S$5:$S$204,PENGELUARAN!$N$5:$N$204,A77))</f>
        <v/>
      </c>
      <c r="K77" s="73" t="str">
        <f t="shared" si="11"/>
        <v/>
      </c>
      <c r="L77" s="9" t="str">
        <f t="shared" si="12"/>
        <v/>
      </c>
      <c r="M77" s="103"/>
      <c r="N77" s="80"/>
      <c r="O77" s="6"/>
      <c r="P77" s="6"/>
      <c r="Q77" s="6"/>
      <c r="R77" s="6"/>
      <c r="S77" s="67" t="str">
        <f t="shared" si="13"/>
        <v/>
      </c>
      <c r="T77" s="98"/>
      <c r="U77" s="105"/>
      <c r="V77" s="98"/>
      <c r="W77" s="104" t="str">
        <f t="shared" si="14"/>
        <v/>
      </c>
    </row>
    <row r="78" spans="1:23">
      <c r="A78" s="6" t="str">
        <f t="shared" si="10"/>
        <v/>
      </c>
      <c r="B78" s="80"/>
      <c r="C78" s="6"/>
      <c r="D78" s="80"/>
      <c r="E78" s="80"/>
      <c r="F78" s="46" t="str">
        <f>IF(A78="","",IFERROR(INDEX(PENGELUARAN!$D$5:$D$204,MATCH(A78,PENGELUARAN!$N$5:$N$204,0)),""))</f>
        <v/>
      </c>
      <c r="G78" s="47" t="str">
        <f>IF(F78="","",IFERROR(INDEX(PERKARA!$B$5:$B$104,MATCH(F78,PERKARA!$A$5:$A$104,0)),"ID TIDAK TERDAFTAR"))</f>
        <v/>
      </c>
      <c r="H78" s="73" t="str">
        <f>IF(A78="","",SUMIFS(PENGELUARAN!$K$5:$K$204,PENGELUARAN!$N$5:$N$204,A78))</f>
        <v/>
      </c>
      <c r="I78" s="73" t="str">
        <f>IF(A78="","",IF(AND(T78="Disetujui",M78&lt;&gt;""),SUMIFS(PENGELUARAN!$R$5:$R$204,PENGELUARAN!$N$5:$N$204,A78,PENGELUARAN!$AC$5:$AC$204,"LENGKAP"),0))</f>
        <v/>
      </c>
      <c r="J78" s="73" t="str">
        <f>IF(A78="","",SUMIFS(PENGELUARAN!$S$5:$S$204,PENGELUARAN!$N$5:$N$204,A78))</f>
        <v/>
      </c>
      <c r="K78" s="73" t="str">
        <f t="shared" si="11"/>
        <v/>
      </c>
      <c r="L78" s="9" t="str">
        <f t="shared" si="12"/>
        <v/>
      </c>
      <c r="M78" s="103"/>
      <c r="N78" s="80"/>
      <c r="O78" s="6"/>
      <c r="P78" s="6"/>
      <c r="Q78" s="6"/>
      <c r="R78" s="6"/>
      <c r="S78" s="67" t="str">
        <f t="shared" si="13"/>
        <v/>
      </c>
      <c r="T78" s="98"/>
      <c r="U78" s="105"/>
      <c r="V78" s="98"/>
      <c r="W78" s="104" t="str">
        <f t="shared" si="14"/>
        <v/>
      </c>
    </row>
    <row r="79" spans="1:23">
      <c r="A79" s="6" t="str">
        <f t="shared" si="10"/>
        <v/>
      </c>
      <c r="B79" s="80"/>
      <c r="C79" s="6"/>
      <c r="D79" s="80"/>
      <c r="E79" s="80"/>
      <c r="F79" s="46" t="str">
        <f>IF(A79="","",IFERROR(INDEX(PENGELUARAN!$D$5:$D$204,MATCH(A79,PENGELUARAN!$N$5:$N$204,0)),""))</f>
        <v/>
      </c>
      <c r="G79" s="47" t="str">
        <f>IF(F79="","",IFERROR(INDEX(PERKARA!$B$5:$B$104,MATCH(F79,PERKARA!$A$5:$A$104,0)),"ID TIDAK TERDAFTAR"))</f>
        <v/>
      </c>
      <c r="H79" s="73" t="str">
        <f>IF(A79="","",SUMIFS(PENGELUARAN!$K$5:$K$204,PENGELUARAN!$N$5:$N$204,A79))</f>
        <v/>
      </c>
      <c r="I79" s="73" t="str">
        <f>IF(A79="","",IF(AND(T79="Disetujui",M79&lt;&gt;""),SUMIFS(PENGELUARAN!$R$5:$R$204,PENGELUARAN!$N$5:$N$204,A79,PENGELUARAN!$AC$5:$AC$204,"LENGKAP"),0))</f>
        <v/>
      </c>
      <c r="J79" s="73" t="str">
        <f>IF(A79="","",SUMIFS(PENGELUARAN!$S$5:$S$204,PENGELUARAN!$N$5:$N$204,A79))</f>
        <v/>
      </c>
      <c r="K79" s="73" t="str">
        <f t="shared" si="11"/>
        <v/>
      </c>
      <c r="L79" s="9" t="str">
        <f t="shared" si="12"/>
        <v/>
      </c>
      <c r="M79" s="103"/>
      <c r="N79" s="80"/>
      <c r="O79" s="6"/>
      <c r="P79" s="6"/>
      <c r="Q79" s="6"/>
      <c r="R79" s="6"/>
      <c r="S79" s="67" t="str">
        <f t="shared" si="13"/>
        <v/>
      </c>
      <c r="T79" s="98"/>
      <c r="U79" s="105"/>
      <c r="V79" s="98"/>
      <c r="W79" s="104" t="str">
        <f t="shared" si="14"/>
        <v/>
      </c>
    </row>
    <row r="80" spans="1:23">
      <c r="A80" s="6" t="str">
        <f t="shared" si="10"/>
        <v/>
      </c>
      <c r="B80" s="80"/>
      <c r="C80" s="6"/>
      <c r="D80" s="80"/>
      <c r="E80" s="80"/>
      <c r="F80" s="46" t="str">
        <f>IF(A80="","",IFERROR(INDEX(PENGELUARAN!$D$5:$D$204,MATCH(A80,PENGELUARAN!$N$5:$N$204,0)),""))</f>
        <v/>
      </c>
      <c r="G80" s="47" t="str">
        <f>IF(F80="","",IFERROR(INDEX(PERKARA!$B$5:$B$104,MATCH(F80,PERKARA!$A$5:$A$104,0)),"ID TIDAK TERDAFTAR"))</f>
        <v/>
      </c>
      <c r="H80" s="73" t="str">
        <f>IF(A80="","",SUMIFS(PENGELUARAN!$K$5:$K$204,PENGELUARAN!$N$5:$N$204,A80))</f>
        <v/>
      </c>
      <c r="I80" s="73" t="str">
        <f>IF(A80="","",IF(AND(T80="Disetujui",M80&lt;&gt;""),SUMIFS(PENGELUARAN!$R$5:$R$204,PENGELUARAN!$N$5:$N$204,A80,PENGELUARAN!$AC$5:$AC$204,"LENGKAP"),0))</f>
        <v/>
      </c>
      <c r="J80" s="73" t="str">
        <f>IF(A80="","",SUMIFS(PENGELUARAN!$S$5:$S$204,PENGELUARAN!$N$5:$N$204,A80))</f>
        <v/>
      </c>
      <c r="K80" s="73" t="str">
        <f t="shared" si="11"/>
        <v/>
      </c>
      <c r="L80" s="9" t="str">
        <f t="shared" si="12"/>
        <v/>
      </c>
      <c r="M80" s="103"/>
      <c r="N80" s="80"/>
      <c r="O80" s="6"/>
      <c r="P80" s="6"/>
      <c r="Q80" s="6"/>
      <c r="R80" s="6"/>
      <c r="S80" s="67" t="str">
        <f t="shared" si="13"/>
        <v/>
      </c>
      <c r="T80" s="98"/>
      <c r="U80" s="105"/>
      <c r="V80" s="98"/>
      <c r="W80" s="104" t="str">
        <f t="shared" si="14"/>
        <v/>
      </c>
    </row>
    <row r="81" spans="1:23">
      <c r="A81" s="6" t="str">
        <f t="shared" si="10"/>
        <v/>
      </c>
      <c r="B81" s="80"/>
      <c r="C81" s="6"/>
      <c r="D81" s="80"/>
      <c r="E81" s="80"/>
      <c r="F81" s="46" t="str">
        <f>IF(A81="","",IFERROR(INDEX(PENGELUARAN!$D$5:$D$204,MATCH(A81,PENGELUARAN!$N$5:$N$204,0)),""))</f>
        <v/>
      </c>
      <c r="G81" s="47" t="str">
        <f>IF(F81="","",IFERROR(INDEX(PERKARA!$B$5:$B$104,MATCH(F81,PERKARA!$A$5:$A$104,0)),"ID TIDAK TERDAFTAR"))</f>
        <v/>
      </c>
      <c r="H81" s="73" t="str">
        <f>IF(A81="","",SUMIFS(PENGELUARAN!$K$5:$K$204,PENGELUARAN!$N$5:$N$204,A81))</f>
        <v/>
      </c>
      <c r="I81" s="73" t="str">
        <f>IF(A81="","",IF(AND(T81="Disetujui",M81&lt;&gt;""),SUMIFS(PENGELUARAN!$R$5:$R$204,PENGELUARAN!$N$5:$N$204,A81,PENGELUARAN!$AC$5:$AC$204,"LENGKAP"),0))</f>
        <v/>
      </c>
      <c r="J81" s="73" t="str">
        <f>IF(A81="","",SUMIFS(PENGELUARAN!$S$5:$S$204,PENGELUARAN!$N$5:$N$204,A81))</f>
        <v/>
      </c>
      <c r="K81" s="73" t="str">
        <f t="shared" si="11"/>
        <v/>
      </c>
      <c r="L81" s="9" t="str">
        <f t="shared" si="12"/>
        <v/>
      </c>
      <c r="M81" s="103"/>
      <c r="N81" s="80"/>
      <c r="O81" s="6"/>
      <c r="P81" s="6"/>
      <c r="Q81" s="6"/>
      <c r="R81" s="6"/>
      <c r="S81" s="67" t="str">
        <f t="shared" si="13"/>
        <v/>
      </c>
      <c r="T81" s="98"/>
      <c r="U81" s="105"/>
      <c r="V81" s="98"/>
      <c r="W81" s="104" t="str">
        <f t="shared" si="14"/>
        <v/>
      </c>
    </row>
    <row r="82" spans="1:23">
      <c r="A82" s="6" t="str">
        <f t="shared" si="10"/>
        <v/>
      </c>
      <c r="B82" s="80"/>
      <c r="C82" s="6"/>
      <c r="D82" s="80"/>
      <c r="E82" s="80"/>
      <c r="F82" s="46" t="str">
        <f>IF(A82="","",IFERROR(INDEX(PENGELUARAN!$D$5:$D$204,MATCH(A82,PENGELUARAN!$N$5:$N$204,0)),""))</f>
        <v/>
      </c>
      <c r="G82" s="47" t="str">
        <f>IF(F82="","",IFERROR(INDEX(PERKARA!$B$5:$B$104,MATCH(F82,PERKARA!$A$5:$A$104,0)),"ID TIDAK TERDAFTAR"))</f>
        <v/>
      </c>
      <c r="H82" s="73" t="str">
        <f>IF(A82="","",SUMIFS(PENGELUARAN!$K$5:$K$204,PENGELUARAN!$N$5:$N$204,A82))</f>
        <v/>
      </c>
      <c r="I82" s="73" t="str">
        <f>IF(A82="","",IF(AND(T82="Disetujui",M82&lt;&gt;""),SUMIFS(PENGELUARAN!$R$5:$R$204,PENGELUARAN!$N$5:$N$204,A82,PENGELUARAN!$AC$5:$AC$204,"LENGKAP"),0))</f>
        <v/>
      </c>
      <c r="J82" s="73" t="str">
        <f>IF(A82="","",SUMIFS(PENGELUARAN!$S$5:$S$204,PENGELUARAN!$N$5:$N$204,A82))</f>
        <v/>
      </c>
      <c r="K82" s="73" t="str">
        <f t="shared" si="11"/>
        <v/>
      </c>
      <c r="L82" s="9" t="str">
        <f t="shared" si="12"/>
        <v/>
      </c>
      <c r="M82" s="103"/>
      <c r="N82" s="80"/>
      <c r="O82" s="6"/>
      <c r="P82" s="6"/>
      <c r="Q82" s="6"/>
      <c r="R82" s="6"/>
      <c r="S82" s="67" t="str">
        <f t="shared" si="13"/>
        <v/>
      </c>
      <c r="T82" s="98"/>
      <c r="U82" s="105"/>
      <c r="V82" s="98"/>
      <c r="W82" s="104" t="str">
        <f t="shared" si="14"/>
        <v/>
      </c>
    </row>
    <row r="83" spans="1:23">
      <c r="A83" s="6" t="str">
        <f t="shared" si="10"/>
        <v/>
      </c>
      <c r="B83" s="80"/>
      <c r="C83" s="6"/>
      <c r="D83" s="80"/>
      <c r="E83" s="80"/>
      <c r="F83" s="46" t="str">
        <f>IF(A83="","",IFERROR(INDEX(PENGELUARAN!$D$5:$D$204,MATCH(A83,PENGELUARAN!$N$5:$N$204,0)),""))</f>
        <v/>
      </c>
      <c r="G83" s="47" t="str">
        <f>IF(F83="","",IFERROR(INDEX(PERKARA!$B$5:$B$104,MATCH(F83,PERKARA!$A$5:$A$104,0)),"ID TIDAK TERDAFTAR"))</f>
        <v/>
      </c>
      <c r="H83" s="73" t="str">
        <f>IF(A83="","",SUMIFS(PENGELUARAN!$K$5:$K$204,PENGELUARAN!$N$5:$N$204,A83))</f>
        <v/>
      </c>
      <c r="I83" s="73" t="str">
        <f>IF(A83="","",IF(AND(T83="Disetujui",M83&lt;&gt;""),SUMIFS(PENGELUARAN!$R$5:$R$204,PENGELUARAN!$N$5:$N$204,A83,PENGELUARAN!$AC$5:$AC$204,"LENGKAP"),0))</f>
        <v/>
      </c>
      <c r="J83" s="73" t="str">
        <f>IF(A83="","",SUMIFS(PENGELUARAN!$S$5:$S$204,PENGELUARAN!$N$5:$N$204,A83))</f>
        <v/>
      </c>
      <c r="K83" s="73" t="str">
        <f t="shared" si="11"/>
        <v/>
      </c>
      <c r="L83" s="9" t="str">
        <f t="shared" si="12"/>
        <v/>
      </c>
      <c r="M83" s="103"/>
      <c r="N83" s="80"/>
      <c r="O83" s="6"/>
      <c r="P83" s="6"/>
      <c r="Q83" s="6"/>
      <c r="R83" s="6"/>
      <c r="S83" s="67" t="str">
        <f t="shared" si="13"/>
        <v/>
      </c>
      <c r="T83" s="98"/>
      <c r="U83" s="105"/>
      <c r="V83" s="98"/>
      <c r="W83" s="104" t="str">
        <f t="shared" si="14"/>
        <v/>
      </c>
    </row>
    <row r="84" spans="1:23">
      <c r="A84" s="6" t="str">
        <f t="shared" si="10"/>
        <v/>
      </c>
      <c r="B84" s="80"/>
      <c r="C84" s="6"/>
      <c r="D84" s="80"/>
      <c r="E84" s="80"/>
      <c r="F84" s="46" t="str">
        <f>IF(A84="","",IFERROR(INDEX(PENGELUARAN!$D$5:$D$204,MATCH(A84,PENGELUARAN!$N$5:$N$204,0)),""))</f>
        <v/>
      </c>
      <c r="G84" s="47" t="str">
        <f>IF(F84="","",IFERROR(INDEX(PERKARA!$B$5:$B$104,MATCH(F84,PERKARA!$A$5:$A$104,0)),"ID TIDAK TERDAFTAR"))</f>
        <v/>
      </c>
      <c r="H84" s="73" t="str">
        <f>IF(A84="","",SUMIFS(PENGELUARAN!$K$5:$K$204,PENGELUARAN!$N$5:$N$204,A84))</f>
        <v/>
      </c>
      <c r="I84" s="73" t="str">
        <f>IF(A84="","",IF(AND(T84="Disetujui",M84&lt;&gt;""),SUMIFS(PENGELUARAN!$R$5:$R$204,PENGELUARAN!$N$5:$N$204,A84,PENGELUARAN!$AC$5:$AC$204,"LENGKAP"),0))</f>
        <v/>
      </c>
      <c r="J84" s="73" t="str">
        <f>IF(A84="","",SUMIFS(PENGELUARAN!$S$5:$S$204,PENGELUARAN!$N$5:$N$204,A84))</f>
        <v/>
      </c>
      <c r="K84" s="73" t="str">
        <f t="shared" si="11"/>
        <v/>
      </c>
      <c r="L84" s="9" t="str">
        <f t="shared" si="12"/>
        <v/>
      </c>
      <c r="M84" s="103"/>
      <c r="N84" s="80"/>
      <c r="O84" s="6"/>
      <c r="P84" s="6"/>
      <c r="Q84" s="6"/>
      <c r="R84" s="6"/>
      <c r="S84" s="67" t="str">
        <f t="shared" si="13"/>
        <v/>
      </c>
      <c r="T84" s="98"/>
      <c r="U84" s="105"/>
      <c r="V84" s="98"/>
      <c r="W84" s="104" t="str">
        <f t="shared" si="14"/>
        <v/>
      </c>
    </row>
    <row r="85" spans="1:23">
      <c r="A85" s="6" t="str">
        <f t="shared" si="10"/>
        <v/>
      </c>
      <c r="B85" s="80"/>
      <c r="C85" s="6"/>
      <c r="D85" s="80"/>
      <c r="E85" s="80"/>
      <c r="F85" s="46" t="str">
        <f>IF(A85="","",IFERROR(INDEX(PENGELUARAN!$D$5:$D$204,MATCH(A85,PENGELUARAN!$N$5:$N$204,0)),""))</f>
        <v/>
      </c>
      <c r="G85" s="47" t="str">
        <f>IF(F85="","",IFERROR(INDEX(PERKARA!$B$5:$B$104,MATCH(F85,PERKARA!$A$5:$A$104,0)),"ID TIDAK TERDAFTAR"))</f>
        <v/>
      </c>
      <c r="H85" s="73" t="str">
        <f>IF(A85="","",SUMIFS(PENGELUARAN!$K$5:$K$204,PENGELUARAN!$N$5:$N$204,A85))</f>
        <v/>
      </c>
      <c r="I85" s="73" t="str">
        <f>IF(A85="","",IF(AND(T85="Disetujui",M85&lt;&gt;""),SUMIFS(PENGELUARAN!$R$5:$R$204,PENGELUARAN!$N$5:$N$204,A85,PENGELUARAN!$AC$5:$AC$204,"LENGKAP"),0))</f>
        <v/>
      </c>
      <c r="J85" s="73" t="str">
        <f>IF(A85="","",SUMIFS(PENGELUARAN!$S$5:$S$204,PENGELUARAN!$N$5:$N$204,A85))</f>
        <v/>
      </c>
      <c r="K85" s="73" t="str">
        <f t="shared" si="11"/>
        <v/>
      </c>
      <c r="L85" s="9" t="str">
        <f t="shared" si="12"/>
        <v/>
      </c>
      <c r="M85" s="103"/>
      <c r="N85" s="80"/>
      <c r="O85" s="6"/>
      <c r="P85" s="6"/>
      <c r="Q85" s="6"/>
      <c r="R85" s="6"/>
      <c r="S85" s="67" t="str">
        <f t="shared" si="13"/>
        <v/>
      </c>
      <c r="T85" s="98"/>
      <c r="U85" s="105"/>
      <c r="V85" s="98"/>
      <c r="W85" s="104" t="str">
        <f t="shared" si="14"/>
        <v/>
      </c>
    </row>
    <row r="86" spans="1:23">
      <c r="A86" s="6" t="str">
        <f t="shared" si="10"/>
        <v/>
      </c>
      <c r="B86" s="80"/>
      <c r="C86" s="6"/>
      <c r="D86" s="80"/>
      <c r="E86" s="80"/>
      <c r="F86" s="46" t="str">
        <f>IF(A86="","",IFERROR(INDEX(PENGELUARAN!$D$5:$D$204,MATCH(A86,PENGELUARAN!$N$5:$N$204,0)),""))</f>
        <v/>
      </c>
      <c r="G86" s="47" t="str">
        <f>IF(F86="","",IFERROR(INDEX(PERKARA!$B$5:$B$104,MATCH(F86,PERKARA!$A$5:$A$104,0)),"ID TIDAK TERDAFTAR"))</f>
        <v/>
      </c>
      <c r="H86" s="73" t="str">
        <f>IF(A86="","",SUMIFS(PENGELUARAN!$K$5:$K$204,PENGELUARAN!$N$5:$N$204,A86))</f>
        <v/>
      </c>
      <c r="I86" s="73" t="str">
        <f>IF(A86="","",IF(AND(T86="Disetujui",M86&lt;&gt;""),SUMIFS(PENGELUARAN!$R$5:$R$204,PENGELUARAN!$N$5:$N$204,A86,PENGELUARAN!$AC$5:$AC$204,"LENGKAP"),0))</f>
        <v/>
      </c>
      <c r="J86" s="73" t="str">
        <f>IF(A86="","",SUMIFS(PENGELUARAN!$S$5:$S$204,PENGELUARAN!$N$5:$N$204,A86))</f>
        <v/>
      </c>
      <c r="K86" s="73" t="str">
        <f t="shared" si="11"/>
        <v/>
      </c>
      <c r="L86" s="9" t="str">
        <f t="shared" si="12"/>
        <v/>
      </c>
      <c r="M86" s="103"/>
      <c r="N86" s="80"/>
      <c r="O86" s="6"/>
      <c r="P86" s="6"/>
      <c r="Q86" s="6"/>
      <c r="R86" s="6"/>
      <c r="S86" s="67" t="str">
        <f t="shared" si="13"/>
        <v/>
      </c>
      <c r="T86" s="98"/>
      <c r="U86" s="105"/>
      <c r="V86" s="98"/>
      <c r="W86" s="104" t="str">
        <f t="shared" si="14"/>
        <v/>
      </c>
    </row>
    <row r="87" spans="1:23">
      <c r="A87" s="6" t="str">
        <f t="shared" si="10"/>
        <v/>
      </c>
      <c r="B87" s="80"/>
      <c r="C87" s="6"/>
      <c r="D87" s="80"/>
      <c r="E87" s="80"/>
      <c r="F87" s="46" t="str">
        <f>IF(A87="","",IFERROR(INDEX(PENGELUARAN!$D$5:$D$204,MATCH(A87,PENGELUARAN!$N$5:$N$204,0)),""))</f>
        <v/>
      </c>
      <c r="G87" s="47" t="str">
        <f>IF(F87="","",IFERROR(INDEX(PERKARA!$B$5:$B$104,MATCH(F87,PERKARA!$A$5:$A$104,0)),"ID TIDAK TERDAFTAR"))</f>
        <v/>
      </c>
      <c r="H87" s="73" t="str">
        <f>IF(A87="","",SUMIFS(PENGELUARAN!$K$5:$K$204,PENGELUARAN!$N$5:$N$204,A87))</f>
        <v/>
      </c>
      <c r="I87" s="73" t="str">
        <f>IF(A87="","",IF(AND(T87="Disetujui",M87&lt;&gt;""),SUMIFS(PENGELUARAN!$R$5:$R$204,PENGELUARAN!$N$5:$N$204,A87,PENGELUARAN!$AC$5:$AC$204,"LENGKAP"),0))</f>
        <v/>
      </c>
      <c r="J87" s="73" t="str">
        <f>IF(A87="","",SUMIFS(PENGELUARAN!$S$5:$S$204,PENGELUARAN!$N$5:$N$204,A87))</f>
        <v/>
      </c>
      <c r="K87" s="73" t="str">
        <f t="shared" si="11"/>
        <v/>
      </c>
      <c r="L87" s="9" t="str">
        <f t="shared" si="12"/>
        <v/>
      </c>
      <c r="M87" s="103"/>
      <c r="N87" s="80"/>
      <c r="O87" s="6"/>
      <c r="P87" s="6"/>
      <c r="Q87" s="6"/>
      <c r="R87" s="6"/>
      <c r="S87" s="67" t="str">
        <f t="shared" si="13"/>
        <v/>
      </c>
      <c r="T87" s="98"/>
      <c r="U87" s="105"/>
      <c r="V87" s="98"/>
      <c r="W87" s="104" t="str">
        <f t="shared" si="14"/>
        <v/>
      </c>
    </row>
    <row r="88" spans="1:23">
      <c r="A88" s="6" t="str">
        <f t="shared" si="10"/>
        <v/>
      </c>
      <c r="B88" s="80"/>
      <c r="C88" s="6"/>
      <c r="D88" s="80"/>
      <c r="E88" s="80"/>
      <c r="F88" s="46" t="str">
        <f>IF(A88="","",IFERROR(INDEX(PENGELUARAN!$D$5:$D$204,MATCH(A88,PENGELUARAN!$N$5:$N$204,0)),""))</f>
        <v/>
      </c>
      <c r="G88" s="47" t="str">
        <f>IF(F88="","",IFERROR(INDEX(PERKARA!$B$5:$B$104,MATCH(F88,PERKARA!$A$5:$A$104,0)),"ID TIDAK TERDAFTAR"))</f>
        <v/>
      </c>
      <c r="H88" s="73" t="str">
        <f>IF(A88="","",SUMIFS(PENGELUARAN!$K$5:$K$204,PENGELUARAN!$N$5:$N$204,A88))</f>
        <v/>
      </c>
      <c r="I88" s="73" t="str">
        <f>IF(A88="","",IF(AND(T88="Disetujui",M88&lt;&gt;""),SUMIFS(PENGELUARAN!$R$5:$R$204,PENGELUARAN!$N$5:$N$204,A88,PENGELUARAN!$AC$5:$AC$204,"LENGKAP"),0))</f>
        <v/>
      </c>
      <c r="J88" s="73" t="str">
        <f>IF(A88="","",SUMIFS(PENGELUARAN!$S$5:$S$204,PENGELUARAN!$N$5:$N$204,A88))</f>
        <v/>
      </c>
      <c r="K88" s="73" t="str">
        <f t="shared" si="11"/>
        <v/>
      </c>
      <c r="L88" s="9" t="str">
        <f t="shared" si="12"/>
        <v/>
      </c>
      <c r="M88" s="103"/>
      <c r="N88" s="80"/>
      <c r="O88" s="6"/>
      <c r="P88" s="6"/>
      <c r="Q88" s="6"/>
      <c r="R88" s="6"/>
      <c r="S88" s="67" t="str">
        <f t="shared" si="13"/>
        <v/>
      </c>
      <c r="T88" s="98"/>
      <c r="U88" s="105"/>
      <c r="V88" s="98"/>
      <c r="W88" s="104" t="str">
        <f t="shared" si="14"/>
        <v/>
      </c>
    </row>
    <row r="89" spans="1:23">
      <c r="A89" s="6" t="str">
        <f t="shared" si="10"/>
        <v/>
      </c>
      <c r="B89" s="80"/>
      <c r="C89" s="6"/>
      <c r="D89" s="80"/>
      <c r="E89" s="80"/>
      <c r="F89" s="46" t="str">
        <f>IF(A89="","",IFERROR(INDEX(PENGELUARAN!$D$5:$D$204,MATCH(A89,PENGELUARAN!$N$5:$N$204,0)),""))</f>
        <v/>
      </c>
      <c r="G89" s="47" t="str">
        <f>IF(F89="","",IFERROR(INDEX(PERKARA!$B$5:$B$104,MATCH(F89,PERKARA!$A$5:$A$104,0)),"ID TIDAK TERDAFTAR"))</f>
        <v/>
      </c>
      <c r="H89" s="73" t="str">
        <f>IF(A89="","",SUMIFS(PENGELUARAN!$K$5:$K$204,PENGELUARAN!$N$5:$N$204,A89))</f>
        <v/>
      </c>
      <c r="I89" s="73" t="str">
        <f>IF(A89="","",IF(AND(T89="Disetujui",M89&lt;&gt;""),SUMIFS(PENGELUARAN!$R$5:$R$204,PENGELUARAN!$N$5:$N$204,A89,PENGELUARAN!$AC$5:$AC$204,"LENGKAP"),0))</f>
        <v/>
      </c>
      <c r="J89" s="73" t="str">
        <f>IF(A89="","",SUMIFS(PENGELUARAN!$S$5:$S$204,PENGELUARAN!$N$5:$N$204,A89))</f>
        <v/>
      </c>
      <c r="K89" s="73" t="str">
        <f t="shared" si="11"/>
        <v/>
      </c>
      <c r="L89" s="9" t="str">
        <f t="shared" si="12"/>
        <v/>
      </c>
      <c r="M89" s="103"/>
      <c r="N89" s="80"/>
      <c r="O89" s="6"/>
      <c r="P89" s="6"/>
      <c r="Q89" s="6"/>
      <c r="R89" s="6"/>
      <c r="S89" s="67" t="str">
        <f t="shared" si="13"/>
        <v/>
      </c>
      <c r="T89" s="98"/>
      <c r="U89" s="105"/>
      <c r="V89" s="98"/>
      <c r="W89" s="104" t="str">
        <f t="shared" si="14"/>
        <v/>
      </c>
    </row>
    <row r="90" spans="1:23">
      <c r="A90" s="6" t="str">
        <f t="shared" si="10"/>
        <v/>
      </c>
      <c r="B90" s="80"/>
      <c r="C90" s="6"/>
      <c r="D90" s="80"/>
      <c r="E90" s="80"/>
      <c r="F90" s="46" t="str">
        <f>IF(A90="","",IFERROR(INDEX(PENGELUARAN!$D$5:$D$204,MATCH(A90,PENGELUARAN!$N$5:$N$204,0)),""))</f>
        <v/>
      </c>
      <c r="G90" s="47" t="str">
        <f>IF(F90="","",IFERROR(INDEX(PERKARA!$B$5:$B$104,MATCH(F90,PERKARA!$A$5:$A$104,0)),"ID TIDAK TERDAFTAR"))</f>
        <v/>
      </c>
      <c r="H90" s="73" t="str">
        <f>IF(A90="","",SUMIFS(PENGELUARAN!$K$5:$K$204,PENGELUARAN!$N$5:$N$204,A90))</f>
        <v/>
      </c>
      <c r="I90" s="73" t="str">
        <f>IF(A90="","",IF(AND(T90="Disetujui",M90&lt;&gt;""),SUMIFS(PENGELUARAN!$R$5:$R$204,PENGELUARAN!$N$5:$N$204,A90,PENGELUARAN!$AC$5:$AC$204,"LENGKAP"),0))</f>
        <v/>
      </c>
      <c r="J90" s="73" t="str">
        <f>IF(A90="","",SUMIFS(PENGELUARAN!$S$5:$S$204,PENGELUARAN!$N$5:$N$204,A90))</f>
        <v/>
      </c>
      <c r="K90" s="73" t="str">
        <f t="shared" si="11"/>
        <v/>
      </c>
      <c r="L90" s="9" t="str">
        <f t="shared" si="12"/>
        <v/>
      </c>
      <c r="M90" s="103"/>
      <c r="N90" s="80"/>
      <c r="O90" s="6"/>
      <c r="P90" s="6"/>
      <c r="Q90" s="6"/>
      <c r="R90" s="6"/>
      <c r="S90" s="67" t="str">
        <f t="shared" si="13"/>
        <v/>
      </c>
      <c r="T90" s="98"/>
      <c r="U90" s="105"/>
      <c r="V90" s="98"/>
      <c r="W90" s="104" t="str">
        <f t="shared" si="14"/>
        <v/>
      </c>
    </row>
    <row r="91" spans="1:23">
      <c r="A91" s="6" t="str">
        <f t="shared" si="10"/>
        <v/>
      </c>
      <c r="B91" s="80"/>
      <c r="C91" s="6"/>
      <c r="D91" s="80"/>
      <c r="E91" s="80"/>
      <c r="F91" s="46" t="str">
        <f>IF(A91="","",IFERROR(INDEX(PENGELUARAN!$D$5:$D$204,MATCH(A91,PENGELUARAN!$N$5:$N$204,0)),""))</f>
        <v/>
      </c>
      <c r="G91" s="47" t="str">
        <f>IF(F91="","",IFERROR(INDEX(PERKARA!$B$5:$B$104,MATCH(F91,PERKARA!$A$5:$A$104,0)),"ID TIDAK TERDAFTAR"))</f>
        <v/>
      </c>
      <c r="H91" s="73" t="str">
        <f>IF(A91="","",SUMIFS(PENGELUARAN!$K$5:$K$204,PENGELUARAN!$N$5:$N$204,A91))</f>
        <v/>
      </c>
      <c r="I91" s="73" t="str">
        <f>IF(A91="","",IF(AND(T91="Disetujui",M91&lt;&gt;""),SUMIFS(PENGELUARAN!$R$5:$R$204,PENGELUARAN!$N$5:$N$204,A91,PENGELUARAN!$AC$5:$AC$204,"LENGKAP"),0))</f>
        <v/>
      </c>
      <c r="J91" s="73" t="str">
        <f>IF(A91="","",SUMIFS(PENGELUARAN!$S$5:$S$204,PENGELUARAN!$N$5:$N$204,A91))</f>
        <v/>
      </c>
      <c r="K91" s="73" t="str">
        <f t="shared" si="11"/>
        <v/>
      </c>
      <c r="L91" s="9" t="str">
        <f t="shared" si="12"/>
        <v/>
      </c>
      <c r="M91" s="103"/>
      <c r="N91" s="80"/>
      <c r="O91" s="6"/>
      <c r="P91" s="6"/>
      <c r="Q91" s="6"/>
      <c r="R91" s="6"/>
      <c r="S91" s="67" t="str">
        <f t="shared" si="13"/>
        <v/>
      </c>
      <c r="T91" s="98"/>
      <c r="U91" s="105"/>
      <c r="V91" s="98"/>
      <c r="W91" s="104" t="str">
        <f t="shared" si="14"/>
        <v/>
      </c>
    </row>
    <row r="92" spans="1:23">
      <c r="A92" s="6" t="str">
        <f t="shared" si="10"/>
        <v/>
      </c>
      <c r="B92" s="80"/>
      <c r="C92" s="6"/>
      <c r="D92" s="80"/>
      <c r="E92" s="80"/>
      <c r="F92" s="46" t="str">
        <f>IF(A92="","",IFERROR(INDEX(PENGELUARAN!$D$5:$D$204,MATCH(A92,PENGELUARAN!$N$5:$N$204,0)),""))</f>
        <v/>
      </c>
      <c r="G92" s="47" t="str">
        <f>IF(F92="","",IFERROR(INDEX(PERKARA!$B$5:$B$104,MATCH(F92,PERKARA!$A$5:$A$104,0)),"ID TIDAK TERDAFTAR"))</f>
        <v/>
      </c>
      <c r="H92" s="73" t="str">
        <f>IF(A92="","",SUMIFS(PENGELUARAN!$K$5:$K$204,PENGELUARAN!$N$5:$N$204,A92))</f>
        <v/>
      </c>
      <c r="I92" s="73" t="str">
        <f>IF(A92="","",IF(AND(T92="Disetujui",M92&lt;&gt;""),SUMIFS(PENGELUARAN!$R$5:$R$204,PENGELUARAN!$N$5:$N$204,A92,PENGELUARAN!$AC$5:$AC$204,"LENGKAP"),0))</f>
        <v/>
      </c>
      <c r="J92" s="73" t="str">
        <f>IF(A92="","",SUMIFS(PENGELUARAN!$S$5:$S$204,PENGELUARAN!$N$5:$N$204,A92))</f>
        <v/>
      </c>
      <c r="K92" s="73" t="str">
        <f t="shared" si="11"/>
        <v/>
      </c>
      <c r="L92" s="9" t="str">
        <f t="shared" si="12"/>
        <v/>
      </c>
      <c r="M92" s="103"/>
      <c r="N92" s="80"/>
      <c r="O92" s="6"/>
      <c r="P92" s="6"/>
      <c r="Q92" s="6"/>
      <c r="R92" s="6"/>
      <c r="S92" s="67" t="str">
        <f t="shared" si="13"/>
        <v/>
      </c>
      <c r="T92" s="98"/>
      <c r="U92" s="105"/>
      <c r="V92" s="98"/>
      <c r="W92" s="104" t="str">
        <f t="shared" si="14"/>
        <v/>
      </c>
    </row>
    <row r="93" spans="1:23">
      <c r="A93" s="6" t="str">
        <f t="shared" si="10"/>
        <v/>
      </c>
      <c r="B93" s="80"/>
      <c r="C93" s="6"/>
      <c r="D93" s="80"/>
      <c r="E93" s="80"/>
      <c r="F93" s="46" t="str">
        <f>IF(A93="","",IFERROR(INDEX(PENGELUARAN!$D$5:$D$204,MATCH(A93,PENGELUARAN!$N$5:$N$204,0)),""))</f>
        <v/>
      </c>
      <c r="G93" s="47" t="str">
        <f>IF(F93="","",IFERROR(INDEX(PERKARA!$B$5:$B$104,MATCH(F93,PERKARA!$A$5:$A$104,0)),"ID TIDAK TERDAFTAR"))</f>
        <v/>
      </c>
      <c r="H93" s="73" t="str">
        <f>IF(A93="","",SUMIFS(PENGELUARAN!$K$5:$K$204,PENGELUARAN!$N$5:$N$204,A93))</f>
        <v/>
      </c>
      <c r="I93" s="73" t="str">
        <f>IF(A93="","",IF(AND(T93="Disetujui",M93&lt;&gt;""),SUMIFS(PENGELUARAN!$R$5:$R$204,PENGELUARAN!$N$5:$N$204,A93,PENGELUARAN!$AC$5:$AC$204,"LENGKAP"),0))</f>
        <v/>
      </c>
      <c r="J93" s="73" t="str">
        <f>IF(A93="","",SUMIFS(PENGELUARAN!$S$5:$S$204,PENGELUARAN!$N$5:$N$204,A93))</f>
        <v/>
      </c>
      <c r="K93" s="73" t="str">
        <f t="shared" si="11"/>
        <v/>
      </c>
      <c r="L93" s="9" t="str">
        <f t="shared" si="12"/>
        <v/>
      </c>
      <c r="M93" s="103"/>
      <c r="N93" s="80"/>
      <c r="O93" s="6"/>
      <c r="P93" s="6"/>
      <c r="Q93" s="6"/>
      <c r="R93" s="6"/>
      <c r="S93" s="67" t="str">
        <f t="shared" si="13"/>
        <v/>
      </c>
      <c r="T93" s="98"/>
      <c r="U93" s="105"/>
      <c r="V93" s="98"/>
      <c r="W93" s="104" t="str">
        <f t="shared" si="14"/>
        <v/>
      </c>
    </row>
    <row r="94" spans="1:23">
      <c r="A94" s="6" t="str">
        <f t="shared" si="10"/>
        <v/>
      </c>
      <c r="B94" s="80"/>
      <c r="C94" s="6"/>
      <c r="D94" s="80"/>
      <c r="E94" s="80"/>
      <c r="F94" s="46" t="str">
        <f>IF(A94="","",IFERROR(INDEX(PENGELUARAN!$D$5:$D$204,MATCH(A94,PENGELUARAN!$N$5:$N$204,0)),""))</f>
        <v/>
      </c>
      <c r="G94" s="47" t="str">
        <f>IF(F94="","",IFERROR(INDEX(PERKARA!$B$5:$B$104,MATCH(F94,PERKARA!$A$5:$A$104,0)),"ID TIDAK TERDAFTAR"))</f>
        <v/>
      </c>
      <c r="H94" s="73" t="str">
        <f>IF(A94="","",SUMIFS(PENGELUARAN!$K$5:$K$204,PENGELUARAN!$N$5:$N$204,A94))</f>
        <v/>
      </c>
      <c r="I94" s="73" t="str">
        <f>IF(A94="","",IF(AND(T94="Disetujui",M94&lt;&gt;""),SUMIFS(PENGELUARAN!$R$5:$R$204,PENGELUARAN!$N$5:$N$204,A94,PENGELUARAN!$AC$5:$AC$204,"LENGKAP"),0))</f>
        <v/>
      </c>
      <c r="J94" s="73" t="str">
        <f>IF(A94="","",SUMIFS(PENGELUARAN!$S$5:$S$204,PENGELUARAN!$N$5:$N$204,A94))</f>
        <v/>
      </c>
      <c r="K94" s="73" t="str">
        <f t="shared" si="11"/>
        <v/>
      </c>
      <c r="L94" s="9" t="str">
        <f t="shared" si="12"/>
        <v/>
      </c>
      <c r="M94" s="103"/>
      <c r="N94" s="80"/>
      <c r="O94" s="6"/>
      <c r="P94" s="6"/>
      <c r="Q94" s="6"/>
      <c r="R94" s="6"/>
      <c r="S94" s="67" t="str">
        <f t="shared" si="13"/>
        <v/>
      </c>
      <c r="T94" s="98"/>
      <c r="U94" s="105"/>
      <c r="V94" s="98"/>
      <c r="W94" s="104" t="str">
        <f t="shared" si="14"/>
        <v/>
      </c>
    </row>
    <row r="95" spans="1:23">
      <c r="A95" s="6" t="str">
        <f t="shared" si="10"/>
        <v/>
      </c>
      <c r="B95" s="80"/>
      <c r="C95" s="6"/>
      <c r="D95" s="80"/>
      <c r="E95" s="80"/>
      <c r="F95" s="46" t="str">
        <f>IF(A95="","",IFERROR(INDEX(PENGELUARAN!$D$5:$D$204,MATCH(A95,PENGELUARAN!$N$5:$N$204,0)),""))</f>
        <v/>
      </c>
      <c r="G95" s="47" t="str">
        <f>IF(F95="","",IFERROR(INDEX(PERKARA!$B$5:$B$104,MATCH(F95,PERKARA!$A$5:$A$104,0)),"ID TIDAK TERDAFTAR"))</f>
        <v/>
      </c>
      <c r="H95" s="73" t="str">
        <f>IF(A95="","",SUMIFS(PENGELUARAN!$K$5:$K$204,PENGELUARAN!$N$5:$N$204,A95))</f>
        <v/>
      </c>
      <c r="I95" s="73" t="str">
        <f>IF(A95="","",IF(AND(T95="Disetujui",M95&lt;&gt;""),SUMIFS(PENGELUARAN!$R$5:$R$204,PENGELUARAN!$N$5:$N$204,A95,PENGELUARAN!$AC$5:$AC$204,"LENGKAP"),0))</f>
        <v/>
      </c>
      <c r="J95" s="73" t="str">
        <f>IF(A95="","",SUMIFS(PENGELUARAN!$S$5:$S$204,PENGELUARAN!$N$5:$N$204,A95))</f>
        <v/>
      </c>
      <c r="K95" s="73" t="str">
        <f t="shared" si="11"/>
        <v/>
      </c>
      <c r="L95" s="9" t="str">
        <f t="shared" si="12"/>
        <v/>
      </c>
      <c r="M95" s="103"/>
      <c r="N95" s="80"/>
      <c r="O95" s="6"/>
      <c r="P95" s="6"/>
      <c r="Q95" s="6"/>
      <c r="R95" s="6"/>
      <c r="S95" s="67" t="str">
        <f t="shared" si="13"/>
        <v/>
      </c>
      <c r="T95" s="98"/>
      <c r="U95" s="105"/>
      <c r="V95" s="98"/>
      <c r="W95" s="104" t="str">
        <f t="shared" si="14"/>
        <v/>
      </c>
    </row>
    <row r="96" spans="1:23">
      <c r="A96" s="6" t="str">
        <f t="shared" si="10"/>
        <v/>
      </c>
      <c r="B96" s="80"/>
      <c r="C96" s="6"/>
      <c r="D96" s="80"/>
      <c r="E96" s="80"/>
      <c r="F96" s="46" t="str">
        <f>IF(A96="","",IFERROR(INDEX(PENGELUARAN!$D$5:$D$204,MATCH(A96,PENGELUARAN!$N$5:$N$204,0)),""))</f>
        <v/>
      </c>
      <c r="G96" s="47" t="str">
        <f>IF(F96="","",IFERROR(INDEX(PERKARA!$B$5:$B$104,MATCH(F96,PERKARA!$A$5:$A$104,0)),"ID TIDAK TERDAFTAR"))</f>
        <v/>
      </c>
      <c r="H96" s="73" t="str">
        <f>IF(A96="","",SUMIFS(PENGELUARAN!$K$5:$K$204,PENGELUARAN!$N$5:$N$204,A96))</f>
        <v/>
      </c>
      <c r="I96" s="73" t="str">
        <f>IF(A96="","",IF(AND(T96="Disetujui",M96&lt;&gt;""),SUMIFS(PENGELUARAN!$R$5:$R$204,PENGELUARAN!$N$5:$N$204,A96,PENGELUARAN!$AC$5:$AC$204,"LENGKAP"),0))</f>
        <v/>
      </c>
      <c r="J96" s="73" t="str">
        <f>IF(A96="","",SUMIFS(PENGELUARAN!$S$5:$S$204,PENGELUARAN!$N$5:$N$204,A96))</f>
        <v/>
      </c>
      <c r="K96" s="73" t="str">
        <f t="shared" si="11"/>
        <v/>
      </c>
      <c r="L96" s="9" t="str">
        <f t="shared" si="12"/>
        <v/>
      </c>
      <c r="M96" s="103"/>
      <c r="N96" s="80"/>
      <c r="O96" s="6"/>
      <c r="P96" s="6"/>
      <c r="Q96" s="6"/>
      <c r="R96" s="6"/>
      <c r="S96" s="67" t="str">
        <f t="shared" si="13"/>
        <v/>
      </c>
      <c r="T96" s="98"/>
      <c r="U96" s="105"/>
      <c r="V96" s="98"/>
      <c r="W96" s="104" t="str">
        <f t="shared" si="14"/>
        <v/>
      </c>
    </row>
    <row r="97" spans="1:23">
      <c r="A97" s="6" t="str">
        <f t="shared" si="10"/>
        <v/>
      </c>
      <c r="B97" s="80"/>
      <c r="C97" s="6"/>
      <c r="D97" s="80"/>
      <c r="E97" s="80"/>
      <c r="F97" s="46" t="str">
        <f>IF(A97="","",IFERROR(INDEX(PENGELUARAN!$D$5:$D$204,MATCH(A97,PENGELUARAN!$N$5:$N$204,0)),""))</f>
        <v/>
      </c>
      <c r="G97" s="47" t="str">
        <f>IF(F97="","",IFERROR(INDEX(PERKARA!$B$5:$B$104,MATCH(F97,PERKARA!$A$5:$A$104,0)),"ID TIDAK TERDAFTAR"))</f>
        <v/>
      </c>
      <c r="H97" s="73" t="str">
        <f>IF(A97="","",SUMIFS(PENGELUARAN!$K$5:$K$204,PENGELUARAN!$N$5:$N$204,A97))</f>
        <v/>
      </c>
      <c r="I97" s="73" t="str">
        <f>IF(A97="","",IF(AND(T97="Disetujui",M97&lt;&gt;""),SUMIFS(PENGELUARAN!$R$5:$R$204,PENGELUARAN!$N$5:$N$204,A97,PENGELUARAN!$AC$5:$AC$204,"LENGKAP"),0))</f>
        <v/>
      </c>
      <c r="J97" s="73" t="str">
        <f>IF(A97="","",SUMIFS(PENGELUARAN!$S$5:$S$204,PENGELUARAN!$N$5:$N$204,A97))</f>
        <v/>
      </c>
      <c r="K97" s="73" t="str">
        <f t="shared" si="11"/>
        <v/>
      </c>
      <c r="L97" s="9" t="str">
        <f t="shared" si="12"/>
        <v/>
      </c>
      <c r="M97" s="103"/>
      <c r="N97" s="80"/>
      <c r="O97" s="6"/>
      <c r="P97" s="6"/>
      <c r="Q97" s="6"/>
      <c r="R97" s="6"/>
      <c r="S97" s="67" t="str">
        <f t="shared" si="13"/>
        <v/>
      </c>
      <c r="T97" s="98"/>
      <c r="U97" s="105"/>
      <c r="V97" s="98"/>
      <c r="W97" s="104" t="str">
        <f t="shared" si="14"/>
        <v/>
      </c>
    </row>
    <row r="98" spans="1:23">
      <c r="A98" s="6" t="str">
        <f t="shared" si="10"/>
        <v/>
      </c>
      <c r="B98" s="80"/>
      <c r="C98" s="6"/>
      <c r="D98" s="80"/>
      <c r="E98" s="80"/>
      <c r="F98" s="46" t="str">
        <f>IF(A98="","",IFERROR(INDEX(PENGELUARAN!$D$5:$D$204,MATCH(A98,PENGELUARAN!$N$5:$N$204,0)),""))</f>
        <v/>
      </c>
      <c r="G98" s="47" t="str">
        <f>IF(F98="","",IFERROR(INDEX(PERKARA!$B$5:$B$104,MATCH(F98,PERKARA!$A$5:$A$104,0)),"ID TIDAK TERDAFTAR"))</f>
        <v/>
      </c>
      <c r="H98" s="73" t="str">
        <f>IF(A98="","",SUMIFS(PENGELUARAN!$K$5:$K$204,PENGELUARAN!$N$5:$N$204,A98))</f>
        <v/>
      </c>
      <c r="I98" s="73" t="str">
        <f>IF(A98="","",IF(AND(T98="Disetujui",M98&lt;&gt;""),SUMIFS(PENGELUARAN!$R$5:$R$204,PENGELUARAN!$N$5:$N$204,A98,PENGELUARAN!$AC$5:$AC$204,"LENGKAP"),0))</f>
        <v/>
      </c>
      <c r="J98" s="73" t="str">
        <f>IF(A98="","",SUMIFS(PENGELUARAN!$S$5:$S$204,PENGELUARAN!$N$5:$N$204,A98))</f>
        <v/>
      </c>
      <c r="K98" s="73" t="str">
        <f t="shared" si="11"/>
        <v/>
      </c>
      <c r="L98" s="9" t="str">
        <f t="shared" si="12"/>
        <v/>
      </c>
      <c r="M98" s="103"/>
      <c r="N98" s="80"/>
      <c r="O98" s="6"/>
      <c r="P98" s="6"/>
      <c r="Q98" s="6"/>
      <c r="R98" s="6"/>
      <c r="S98" s="67" t="str">
        <f t="shared" si="13"/>
        <v/>
      </c>
      <c r="T98" s="98"/>
      <c r="U98" s="105"/>
      <c r="V98" s="98"/>
      <c r="W98" s="104" t="str">
        <f t="shared" si="14"/>
        <v/>
      </c>
    </row>
    <row r="99" spans="1:23">
      <c r="A99" s="6" t="str">
        <f t="shared" si="10"/>
        <v/>
      </c>
      <c r="B99" s="80"/>
      <c r="C99" s="6"/>
      <c r="D99" s="80"/>
      <c r="E99" s="80"/>
      <c r="F99" s="46" t="str">
        <f>IF(A99="","",IFERROR(INDEX(PENGELUARAN!$D$5:$D$204,MATCH(A99,PENGELUARAN!$N$5:$N$204,0)),""))</f>
        <v/>
      </c>
      <c r="G99" s="47" t="str">
        <f>IF(F99="","",IFERROR(INDEX(PERKARA!$B$5:$B$104,MATCH(F99,PERKARA!$A$5:$A$104,0)),"ID TIDAK TERDAFTAR"))</f>
        <v/>
      </c>
      <c r="H99" s="73" t="str">
        <f>IF(A99="","",SUMIFS(PENGELUARAN!$K$5:$K$204,PENGELUARAN!$N$5:$N$204,A99))</f>
        <v/>
      </c>
      <c r="I99" s="73" t="str">
        <f>IF(A99="","",IF(AND(T99="Disetujui",M99&lt;&gt;""),SUMIFS(PENGELUARAN!$R$5:$R$204,PENGELUARAN!$N$5:$N$204,A99,PENGELUARAN!$AC$5:$AC$204,"LENGKAP"),0))</f>
        <v/>
      </c>
      <c r="J99" s="73" t="str">
        <f>IF(A99="","",SUMIFS(PENGELUARAN!$S$5:$S$204,PENGELUARAN!$N$5:$N$204,A99))</f>
        <v/>
      </c>
      <c r="K99" s="73" t="str">
        <f t="shared" si="11"/>
        <v/>
      </c>
      <c r="L99" s="9" t="str">
        <f t="shared" si="12"/>
        <v/>
      </c>
      <c r="M99" s="103"/>
      <c r="N99" s="80"/>
      <c r="O99" s="6"/>
      <c r="P99" s="6"/>
      <c r="Q99" s="6"/>
      <c r="R99" s="6"/>
      <c r="S99" s="67" t="str">
        <f t="shared" si="13"/>
        <v/>
      </c>
      <c r="T99" s="98"/>
      <c r="U99" s="105"/>
      <c r="V99" s="98"/>
      <c r="W99" s="104" t="str">
        <f t="shared" si="14"/>
        <v/>
      </c>
    </row>
    <row r="100" spans="1:23">
      <c r="A100" s="6" t="str">
        <f t="shared" si="10"/>
        <v/>
      </c>
      <c r="B100" s="80"/>
      <c r="C100" s="6"/>
      <c r="D100" s="80"/>
      <c r="E100" s="80"/>
      <c r="F100" s="46" t="str">
        <f>IF(A100="","",IFERROR(INDEX(PENGELUARAN!$D$5:$D$204,MATCH(A100,PENGELUARAN!$N$5:$N$204,0)),""))</f>
        <v/>
      </c>
      <c r="G100" s="47" t="str">
        <f>IF(F100="","",IFERROR(INDEX(PERKARA!$B$5:$B$104,MATCH(F100,PERKARA!$A$5:$A$104,0)),"ID TIDAK TERDAFTAR"))</f>
        <v/>
      </c>
      <c r="H100" s="73" t="str">
        <f>IF(A100="","",SUMIFS(PENGELUARAN!$K$5:$K$204,PENGELUARAN!$N$5:$N$204,A100))</f>
        <v/>
      </c>
      <c r="I100" s="73" t="str">
        <f>IF(A100="","",IF(AND(T100="Disetujui",M100&lt;&gt;""),SUMIFS(PENGELUARAN!$R$5:$R$204,PENGELUARAN!$N$5:$N$204,A100,PENGELUARAN!$AC$5:$AC$204,"LENGKAP"),0))</f>
        <v/>
      </c>
      <c r="J100" s="73" t="str">
        <f>IF(A100="","",SUMIFS(PENGELUARAN!$S$5:$S$204,PENGELUARAN!$N$5:$N$204,A100))</f>
        <v/>
      </c>
      <c r="K100" s="73" t="str">
        <f t="shared" si="11"/>
        <v/>
      </c>
      <c r="L100" s="9" t="str">
        <f t="shared" si="12"/>
        <v/>
      </c>
      <c r="M100" s="103"/>
      <c r="N100" s="80"/>
      <c r="O100" s="6"/>
      <c r="P100" s="6"/>
      <c r="Q100" s="6"/>
      <c r="R100" s="6"/>
      <c r="S100" s="67" t="str">
        <f t="shared" si="13"/>
        <v/>
      </c>
      <c r="T100" s="98"/>
      <c r="U100" s="105"/>
      <c r="V100" s="98"/>
      <c r="W100" s="104" t="str">
        <f t="shared" si="14"/>
        <v/>
      </c>
    </row>
    <row r="101" spans="1:23">
      <c r="A101" s="6" t="str">
        <f t="shared" ref="A101:A124" si="15">IF(B101="","",IFERROR("RMB-"&amp;TEXT(B101,"yyyymmdd")&amp;"-"&amp;TEXT(ROW()-4,"000"),"TANGGAL TIDAK VALID"))</f>
        <v/>
      </c>
      <c r="B101" s="80"/>
      <c r="C101" s="6"/>
      <c r="D101" s="80"/>
      <c r="E101" s="80"/>
      <c r="F101" s="46" t="str">
        <f>IF(A101="","",IFERROR(INDEX(PENGELUARAN!$D$5:$D$204,MATCH(A101,PENGELUARAN!$N$5:$N$204,0)),""))</f>
        <v/>
      </c>
      <c r="G101" s="47" t="str">
        <f>IF(F101="","",IFERROR(INDEX(PERKARA!$B$5:$B$104,MATCH(F101,PERKARA!$A$5:$A$104,0)),"ID TIDAK TERDAFTAR"))</f>
        <v/>
      </c>
      <c r="H101" s="73" t="str">
        <f>IF(A101="","",SUMIFS(PENGELUARAN!$K$5:$K$204,PENGELUARAN!$N$5:$N$204,A101))</f>
        <v/>
      </c>
      <c r="I101" s="73" t="str">
        <f>IF(A101="","",IF(AND(T101="Disetujui",M101&lt;&gt;""),SUMIFS(PENGELUARAN!$R$5:$R$204,PENGELUARAN!$N$5:$N$204,A101,PENGELUARAN!$AC$5:$AC$204,"LENGKAP"),0))</f>
        <v/>
      </c>
      <c r="J101" s="73" t="str">
        <f>IF(A101="","",SUMIFS(PENGELUARAN!$S$5:$S$204,PENGELUARAN!$N$5:$N$204,A101))</f>
        <v/>
      </c>
      <c r="K101" s="73" t="str">
        <f t="shared" ref="K101:K124" si="16">IF(A101="","",MAX(I101-J101,0))</f>
        <v/>
      </c>
      <c r="L101" s="9" t="str">
        <f t="shared" ref="L101:L124" si="17">IF(A101="","",IF(T101="Ditolak","Ditolak",IF(H101=0,"Belum Ada Transaksi",IF(OR(T101&lt;&gt;"Disetujui",M101=""),"Menunggu Persetujuan",IF(I101=0,"Menunggu Otorisasi Rincian",IF(J101=0,"Disetujui - Belum Dibayar",IF(K101=0,"Lunas","Dibayar Sebagian")))))))</f>
        <v/>
      </c>
      <c r="M101" s="103"/>
      <c r="N101" s="80"/>
      <c r="O101" s="6"/>
      <c r="P101" s="6"/>
      <c r="Q101" s="6"/>
      <c r="R101" s="6"/>
      <c r="S101" s="67" t="str">
        <f t="shared" ref="S101:S124" si="18">IF(B101="","",IF(COUNTIF($A$5:$A$124,A101)&gt;1,"ID KLAIM DUPLIKAT",IF(AND(F101&lt;&gt;"",G101="ID TIDAK TERDAFTAR"),"PERKARA TIDAK VALID",IF(AND(J101&gt;0,O101=""),"AKUN PEMBAYARAN BELUM DIISI",IF(AND(J101&gt;0,N101=""),"TANGGAL PEMBAYARAN BELUM DIISI",IF(AND(J101&gt;0,W101&lt;&gt;"LENGKAP"),"DIBAYAR TANPA OTORISASI",IF(J101&gt;I101,"PEMBAYARAN MELEBIHI PERSETUJUAN","OK")))))))</f>
        <v/>
      </c>
      <c r="T101" s="98"/>
      <c r="U101" s="105"/>
      <c r="V101" s="98"/>
      <c r="W101" s="104" t="str">
        <f t="shared" ref="W101:W124" si="19">IF(B101="","",IF(T101="Ditolak","DITOLAK",IF(AND(T101="Disetujui",M101&lt;&gt;""),"LENGKAP",IF(T101="Disetujui","NAMA PENYETUJU BELUM DIISI","MENUNGGU PERSETUJUAN MANUAL"))))</f>
        <v/>
      </c>
    </row>
    <row r="102" spans="1:23">
      <c r="A102" s="6" t="str">
        <f t="shared" si="15"/>
        <v/>
      </c>
      <c r="B102" s="80"/>
      <c r="C102" s="6"/>
      <c r="D102" s="80"/>
      <c r="E102" s="80"/>
      <c r="F102" s="46" t="str">
        <f>IF(A102="","",IFERROR(INDEX(PENGELUARAN!$D$5:$D$204,MATCH(A102,PENGELUARAN!$N$5:$N$204,0)),""))</f>
        <v/>
      </c>
      <c r="G102" s="47" t="str">
        <f>IF(F102="","",IFERROR(INDEX(PERKARA!$B$5:$B$104,MATCH(F102,PERKARA!$A$5:$A$104,0)),"ID TIDAK TERDAFTAR"))</f>
        <v/>
      </c>
      <c r="H102" s="73" t="str">
        <f>IF(A102="","",SUMIFS(PENGELUARAN!$K$5:$K$204,PENGELUARAN!$N$5:$N$204,A102))</f>
        <v/>
      </c>
      <c r="I102" s="73" t="str">
        <f>IF(A102="","",IF(AND(T102="Disetujui",M102&lt;&gt;""),SUMIFS(PENGELUARAN!$R$5:$R$204,PENGELUARAN!$N$5:$N$204,A102,PENGELUARAN!$AC$5:$AC$204,"LENGKAP"),0))</f>
        <v/>
      </c>
      <c r="J102" s="73" t="str">
        <f>IF(A102="","",SUMIFS(PENGELUARAN!$S$5:$S$204,PENGELUARAN!$N$5:$N$204,A102))</f>
        <v/>
      </c>
      <c r="K102" s="73" t="str">
        <f t="shared" si="16"/>
        <v/>
      </c>
      <c r="L102" s="9" t="str">
        <f t="shared" si="17"/>
        <v/>
      </c>
      <c r="M102" s="103"/>
      <c r="N102" s="80"/>
      <c r="O102" s="6"/>
      <c r="P102" s="6"/>
      <c r="Q102" s="6"/>
      <c r="R102" s="6"/>
      <c r="S102" s="67" t="str">
        <f t="shared" si="18"/>
        <v/>
      </c>
      <c r="T102" s="98"/>
      <c r="U102" s="105"/>
      <c r="V102" s="98"/>
      <c r="W102" s="104" t="str">
        <f t="shared" si="19"/>
        <v/>
      </c>
    </row>
    <row r="103" spans="1:23">
      <c r="A103" s="6" t="str">
        <f t="shared" si="15"/>
        <v/>
      </c>
      <c r="B103" s="80"/>
      <c r="C103" s="6"/>
      <c r="D103" s="80"/>
      <c r="E103" s="80"/>
      <c r="F103" s="46" t="str">
        <f>IF(A103="","",IFERROR(INDEX(PENGELUARAN!$D$5:$D$204,MATCH(A103,PENGELUARAN!$N$5:$N$204,0)),""))</f>
        <v/>
      </c>
      <c r="G103" s="47" t="str">
        <f>IF(F103="","",IFERROR(INDEX(PERKARA!$B$5:$B$104,MATCH(F103,PERKARA!$A$5:$A$104,0)),"ID TIDAK TERDAFTAR"))</f>
        <v/>
      </c>
      <c r="H103" s="73" t="str">
        <f>IF(A103="","",SUMIFS(PENGELUARAN!$K$5:$K$204,PENGELUARAN!$N$5:$N$204,A103))</f>
        <v/>
      </c>
      <c r="I103" s="73" t="str">
        <f>IF(A103="","",IF(AND(T103="Disetujui",M103&lt;&gt;""),SUMIFS(PENGELUARAN!$R$5:$R$204,PENGELUARAN!$N$5:$N$204,A103,PENGELUARAN!$AC$5:$AC$204,"LENGKAP"),0))</f>
        <v/>
      </c>
      <c r="J103" s="73" t="str">
        <f>IF(A103="","",SUMIFS(PENGELUARAN!$S$5:$S$204,PENGELUARAN!$N$5:$N$204,A103))</f>
        <v/>
      </c>
      <c r="K103" s="73" t="str">
        <f t="shared" si="16"/>
        <v/>
      </c>
      <c r="L103" s="9" t="str">
        <f t="shared" si="17"/>
        <v/>
      </c>
      <c r="M103" s="103"/>
      <c r="N103" s="80"/>
      <c r="O103" s="6"/>
      <c r="P103" s="6"/>
      <c r="Q103" s="6"/>
      <c r="R103" s="6"/>
      <c r="S103" s="67" t="str">
        <f t="shared" si="18"/>
        <v/>
      </c>
      <c r="T103" s="98"/>
      <c r="U103" s="105"/>
      <c r="V103" s="98"/>
      <c r="W103" s="104" t="str">
        <f t="shared" si="19"/>
        <v/>
      </c>
    </row>
    <row r="104" spans="1:23">
      <c r="A104" s="6" t="str">
        <f t="shared" si="15"/>
        <v/>
      </c>
      <c r="B104" s="80"/>
      <c r="C104" s="6"/>
      <c r="D104" s="80"/>
      <c r="E104" s="80"/>
      <c r="F104" s="46" t="str">
        <f>IF(A104="","",IFERROR(INDEX(PENGELUARAN!$D$5:$D$204,MATCH(A104,PENGELUARAN!$N$5:$N$204,0)),""))</f>
        <v/>
      </c>
      <c r="G104" s="47" t="str">
        <f>IF(F104="","",IFERROR(INDEX(PERKARA!$B$5:$B$104,MATCH(F104,PERKARA!$A$5:$A$104,0)),"ID TIDAK TERDAFTAR"))</f>
        <v/>
      </c>
      <c r="H104" s="73" t="str">
        <f>IF(A104="","",SUMIFS(PENGELUARAN!$K$5:$K$204,PENGELUARAN!$N$5:$N$204,A104))</f>
        <v/>
      </c>
      <c r="I104" s="73" t="str">
        <f>IF(A104="","",IF(AND(T104="Disetujui",M104&lt;&gt;""),SUMIFS(PENGELUARAN!$R$5:$R$204,PENGELUARAN!$N$5:$N$204,A104,PENGELUARAN!$AC$5:$AC$204,"LENGKAP"),0))</f>
        <v/>
      </c>
      <c r="J104" s="73" t="str">
        <f>IF(A104="","",SUMIFS(PENGELUARAN!$S$5:$S$204,PENGELUARAN!$N$5:$N$204,A104))</f>
        <v/>
      </c>
      <c r="K104" s="73" t="str">
        <f t="shared" si="16"/>
        <v/>
      </c>
      <c r="L104" s="9" t="str">
        <f t="shared" si="17"/>
        <v/>
      </c>
      <c r="M104" s="103"/>
      <c r="N104" s="80"/>
      <c r="O104" s="6"/>
      <c r="P104" s="6"/>
      <c r="Q104" s="6"/>
      <c r="R104" s="6"/>
      <c r="S104" s="67" t="str">
        <f t="shared" si="18"/>
        <v/>
      </c>
      <c r="T104" s="98"/>
      <c r="U104" s="105"/>
      <c r="V104" s="98"/>
      <c r="W104" s="104" t="str">
        <f t="shared" si="19"/>
        <v/>
      </c>
    </row>
    <row r="105" spans="1:23">
      <c r="A105" s="6" t="str">
        <f t="shared" si="15"/>
        <v/>
      </c>
      <c r="B105" s="80"/>
      <c r="C105" s="6"/>
      <c r="D105" s="80"/>
      <c r="E105" s="80"/>
      <c r="F105" s="46" t="str">
        <f>IF(A105="","",IFERROR(INDEX(PENGELUARAN!$D$5:$D$204,MATCH(A105,PENGELUARAN!$N$5:$N$204,0)),""))</f>
        <v/>
      </c>
      <c r="G105" s="47" t="str">
        <f>IF(F105="","",IFERROR(INDEX(PERKARA!$B$5:$B$104,MATCH(F105,PERKARA!$A$5:$A$104,0)),"ID TIDAK TERDAFTAR"))</f>
        <v/>
      </c>
      <c r="H105" s="73" t="str">
        <f>IF(A105="","",SUMIFS(PENGELUARAN!$K$5:$K$204,PENGELUARAN!$N$5:$N$204,A105))</f>
        <v/>
      </c>
      <c r="I105" s="73" t="str">
        <f>IF(A105="","",IF(AND(T105="Disetujui",M105&lt;&gt;""),SUMIFS(PENGELUARAN!$R$5:$R$204,PENGELUARAN!$N$5:$N$204,A105,PENGELUARAN!$AC$5:$AC$204,"LENGKAP"),0))</f>
        <v/>
      </c>
      <c r="J105" s="73" t="str">
        <f>IF(A105="","",SUMIFS(PENGELUARAN!$S$5:$S$204,PENGELUARAN!$N$5:$N$204,A105))</f>
        <v/>
      </c>
      <c r="K105" s="73" t="str">
        <f t="shared" si="16"/>
        <v/>
      </c>
      <c r="L105" s="9" t="str">
        <f t="shared" si="17"/>
        <v/>
      </c>
      <c r="M105" s="103"/>
      <c r="N105" s="80"/>
      <c r="O105" s="6"/>
      <c r="P105" s="6"/>
      <c r="Q105" s="6"/>
      <c r="R105" s="6"/>
      <c r="S105" s="67" t="str">
        <f t="shared" si="18"/>
        <v/>
      </c>
      <c r="T105" s="98"/>
      <c r="U105" s="105"/>
      <c r="V105" s="98"/>
      <c r="W105" s="104" t="str">
        <f t="shared" si="19"/>
        <v/>
      </c>
    </row>
    <row r="106" spans="1:23">
      <c r="A106" s="6" t="str">
        <f t="shared" si="15"/>
        <v/>
      </c>
      <c r="B106" s="80"/>
      <c r="C106" s="6"/>
      <c r="D106" s="80"/>
      <c r="E106" s="80"/>
      <c r="F106" s="46" t="str">
        <f>IF(A106="","",IFERROR(INDEX(PENGELUARAN!$D$5:$D$204,MATCH(A106,PENGELUARAN!$N$5:$N$204,0)),""))</f>
        <v/>
      </c>
      <c r="G106" s="47" t="str">
        <f>IF(F106="","",IFERROR(INDEX(PERKARA!$B$5:$B$104,MATCH(F106,PERKARA!$A$5:$A$104,0)),"ID TIDAK TERDAFTAR"))</f>
        <v/>
      </c>
      <c r="H106" s="73" t="str">
        <f>IF(A106="","",SUMIFS(PENGELUARAN!$K$5:$K$204,PENGELUARAN!$N$5:$N$204,A106))</f>
        <v/>
      </c>
      <c r="I106" s="73" t="str">
        <f>IF(A106="","",IF(AND(T106="Disetujui",M106&lt;&gt;""),SUMIFS(PENGELUARAN!$R$5:$R$204,PENGELUARAN!$N$5:$N$204,A106,PENGELUARAN!$AC$5:$AC$204,"LENGKAP"),0))</f>
        <v/>
      </c>
      <c r="J106" s="73" t="str">
        <f>IF(A106="","",SUMIFS(PENGELUARAN!$S$5:$S$204,PENGELUARAN!$N$5:$N$204,A106))</f>
        <v/>
      </c>
      <c r="K106" s="73" t="str">
        <f t="shared" si="16"/>
        <v/>
      </c>
      <c r="L106" s="9" t="str">
        <f t="shared" si="17"/>
        <v/>
      </c>
      <c r="M106" s="103"/>
      <c r="N106" s="80"/>
      <c r="O106" s="6"/>
      <c r="P106" s="6"/>
      <c r="Q106" s="6"/>
      <c r="R106" s="6"/>
      <c r="S106" s="67" t="str">
        <f t="shared" si="18"/>
        <v/>
      </c>
      <c r="T106" s="98"/>
      <c r="U106" s="105"/>
      <c r="V106" s="98"/>
      <c r="W106" s="104" t="str">
        <f t="shared" si="19"/>
        <v/>
      </c>
    </row>
    <row r="107" spans="1:23">
      <c r="A107" s="6" t="str">
        <f t="shared" si="15"/>
        <v/>
      </c>
      <c r="B107" s="80"/>
      <c r="C107" s="6"/>
      <c r="D107" s="80"/>
      <c r="E107" s="80"/>
      <c r="F107" s="46" t="str">
        <f>IF(A107="","",IFERROR(INDEX(PENGELUARAN!$D$5:$D$204,MATCH(A107,PENGELUARAN!$N$5:$N$204,0)),""))</f>
        <v/>
      </c>
      <c r="G107" s="47" t="str">
        <f>IF(F107="","",IFERROR(INDEX(PERKARA!$B$5:$B$104,MATCH(F107,PERKARA!$A$5:$A$104,0)),"ID TIDAK TERDAFTAR"))</f>
        <v/>
      </c>
      <c r="H107" s="73" t="str">
        <f>IF(A107="","",SUMIFS(PENGELUARAN!$K$5:$K$204,PENGELUARAN!$N$5:$N$204,A107))</f>
        <v/>
      </c>
      <c r="I107" s="73" t="str">
        <f>IF(A107="","",IF(AND(T107="Disetujui",M107&lt;&gt;""),SUMIFS(PENGELUARAN!$R$5:$R$204,PENGELUARAN!$N$5:$N$204,A107,PENGELUARAN!$AC$5:$AC$204,"LENGKAP"),0))</f>
        <v/>
      </c>
      <c r="J107" s="73" t="str">
        <f>IF(A107="","",SUMIFS(PENGELUARAN!$S$5:$S$204,PENGELUARAN!$N$5:$N$204,A107))</f>
        <v/>
      </c>
      <c r="K107" s="73" t="str">
        <f t="shared" si="16"/>
        <v/>
      </c>
      <c r="L107" s="9" t="str">
        <f t="shared" si="17"/>
        <v/>
      </c>
      <c r="M107" s="103"/>
      <c r="N107" s="80"/>
      <c r="O107" s="6"/>
      <c r="P107" s="6"/>
      <c r="Q107" s="6"/>
      <c r="R107" s="6"/>
      <c r="S107" s="67" t="str">
        <f t="shared" si="18"/>
        <v/>
      </c>
      <c r="T107" s="98"/>
      <c r="U107" s="105"/>
      <c r="V107" s="98"/>
      <c r="W107" s="104" t="str">
        <f t="shared" si="19"/>
        <v/>
      </c>
    </row>
    <row r="108" spans="1:23">
      <c r="A108" s="6" t="str">
        <f t="shared" si="15"/>
        <v/>
      </c>
      <c r="B108" s="80"/>
      <c r="C108" s="6"/>
      <c r="D108" s="80"/>
      <c r="E108" s="80"/>
      <c r="F108" s="46" t="str">
        <f>IF(A108="","",IFERROR(INDEX(PENGELUARAN!$D$5:$D$204,MATCH(A108,PENGELUARAN!$N$5:$N$204,0)),""))</f>
        <v/>
      </c>
      <c r="G108" s="47" t="str">
        <f>IF(F108="","",IFERROR(INDEX(PERKARA!$B$5:$B$104,MATCH(F108,PERKARA!$A$5:$A$104,0)),"ID TIDAK TERDAFTAR"))</f>
        <v/>
      </c>
      <c r="H108" s="73" t="str">
        <f>IF(A108="","",SUMIFS(PENGELUARAN!$K$5:$K$204,PENGELUARAN!$N$5:$N$204,A108))</f>
        <v/>
      </c>
      <c r="I108" s="73" t="str">
        <f>IF(A108="","",IF(AND(T108="Disetujui",M108&lt;&gt;""),SUMIFS(PENGELUARAN!$R$5:$R$204,PENGELUARAN!$N$5:$N$204,A108,PENGELUARAN!$AC$5:$AC$204,"LENGKAP"),0))</f>
        <v/>
      </c>
      <c r="J108" s="73" t="str">
        <f>IF(A108="","",SUMIFS(PENGELUARAN!$S$5:$S$204,PENGELUARAN!$N$5:$N$204,A108))</f>
        <v/>
      </c>
      <c r="K108" s="73" t="str">
        <f t="shared" si="16"/>
        <v/>
      </c>
      <c r="L108" s="9" t="str">
        <f t="shared" si="17"/>
        <v/>
      </c>
      <c r="M108" s="103"/>
      <c r="N108" s="80"/>
      <c r="O108" s="6"/>
      <c r="P108" s="6"/>
      <c r="Q108" s="6"/>
      <c r="R108" s="6"/>
      <c r="S108" s="67" t="str">
        <f t="shared" si="18"/>
        <v/>
      </c>
      <c r="T108" s="98"/>
      <c r="U108" s="105"/>
      <c r="V108" s="98"/>
      <c r="W108" s="104" t="str">
        <f t="shared" si="19"/>
        <v/>
      </c>
    </row>
    <row r="109" spans="1:23">
      <c r="A109" s="6" t="str">
        <f t="shared" si="15"/>
        <v/>
      </c>
      <c r="B109" s="80"/>
      <c r="C109" s="6"/>
      <c r="D109" s="80"/>
      <c r="E109" s="80"/>
      <c r="F109" s="46" t="str">
        <f>IF(A109="","",IFERROR(INDEX(PENGELUARAN!$D$5:$D$204,MATCH(A109,PENGELUARAN!$N$5:$N$204,0)),""))</f>
        <v/>
      </c>
      <c r="G109" s="47" t="str">
        <f>IF(F109="","",IFERROR(INDEX(PERKARA!$B$5:$B$104,MATCH(F109,PERKARA!$A$5:$A$104,0)),"ID TIDAK TERDAFTAR"))</f>
        <v/>
      </c>
      <c r="H109" s="73" t="str">
        <f>IF(A109="","",SUMIFS(PENGELUARAN!$K$5:$K$204,PENGELUARAN!$N$5:$N$204,A109))</f>
        <v/>
      </c>
      <c r="I109" s="73" t="str">
        <f>IF(A109="","",IF(AND(T109="Disetujui",M109&lt;&gt;""),SUMIFS(PENGELUARAN!$R$5:$R$204,PENGELUARAN!$N$5:$N$204,A109,PENGELUARAN!$AC$5:$AC$204,"LENGKAP"),0))</f>
        <v/>
      </c>
      <c r="J109" s="73" t="str">
        <f>IF(A109="","",SUMIFS(PENGELUARAN!$S$5:$S$204,PENGELUARAN!$N$5:$N$204,A109))</f>
        <v/>
      </c>
      <c r="K109" s="73" t="str">
        <f t="shared" si="16"/>
        <v/>
      </c>
      <c r="L109" s="9" t="str">
        <f t="shared" si="17"/>
        <v/>
      </c>
      <c r="M109" s="103"/>
      <c r="N109" s="80"/>
      <c r="O109" s="6"/>
      <c r="P109" s="6"/>
      <c r="Q109" s="6"/>
      <c r="R109" s="6"/>
      <c r="S109" s="67" t="str">
        <f t="shared" si="18"/>
        <v/>
      </c>
      <c r="T109" s="98"/>
      <c r="U109" s="105"/>
      <c r="V109" s="98"/>
      <c r="W109" s="104" t="str">
        <f t="shared" si="19"/>
        <v/>
      </c>
    </row>
    <row r="110" spans="1:23">
      <c r="A110" s="6" t="str">
        <f t="shared" si="15"/>
        <v/>
      </c>
      <c r="B110" s="80"/>
      <c r="C110" s="6"/>
      <c r="D110" s="80"/>
      <c r="E110" s="80"/>
      <c r="F110" s="46" t="str">
        <f>IF(A110="","",IFERROR(INDEX(PENGELUARAN!$D$5:$D$204,MATCH(A110,PENGELUARAN!$N$5:$N$204,0)),""))</f>
        <v/>
      </c>
      <c r="G110" s="47" t="str">
        <f>IF(F110="","",IFERROR(INDEX(PERKARA!$B$5:$B$104,MATCH(F110,PERKARA!$A$5:$A$104,0)),"ID TIDAK TERDAFTAR"))</f>
        <v/>
      </c>
      <c r="H110" s="73" t="str">
        <f>IF(A110="","",SUMIFS(PENGELUARAN!$K$5:$K$204,PENGELUARAN!$N$5:$N$204,A110))</f>
        <v/>
      </c>
      <c r="I110" s="73" t="str">
        <f>IF(A110="","",IF(AND(T110="Disetujui",M110&lt;&gt;""),SUMIFS(PENGELUARAN!$R$5:$R$204,PENGELUARAN!$N$5:$N$204,A110,PENGELUARAN!$AC$5:$AC$204,"LENGKAP"),0))</f>
        <v/>
      </c>
      <c r="J110" s="73" t="str">
        <f>IF(A110="","",SUMIFS(PENGELUARAN!$S$5:$S$204,PENGELUARAN!$N$5:$N$204,A110))</f>
        <v/>
      </c>
      <c r="K110" s="73" t="str">
        <f t="shared" si="16"/>
        <v/>
      </c>
      <c r="L110" s="9" t="str">
        <f t="shared" si="17"/>
        <v/>
      </c>
      <c r="M110" s="103"/>
      <c r="N110" s="80"/>
      <c r="O110" s="6"/>
      <c r="P110" s="6"/>
      <c r="Q110" s="6"/>
      <c r="R110" s="6"/>
      <c r="S110" s="67" t="str">
        <f t="shared" si="18"/>
        <v/>
      </c>
      <c r="T110" s="98"/>
      <c r="U110" s="105"/>
      <c r="V110" s="98"/>
      <c r="W110" s="104" t="str">
        <f t="shared" si="19"/>
        <v/>
      </c>
    </row>
    <row r="111" spans="1:23">
      <c r="A111" s="6" t="str">
        <f t="shared" si="15"/>
        <v/>
      </c>
      <c r="B111" s="80"/>
      <c r="C111" s="6"/>
      <c r="D111" s="80"/>
      <c r="E111" s="80"/>
      <c r="F111" s="46" t="str">
        <f>IF(A111="","",IFERROR(INDEX(PENGELUARAN!$D$5:$D$204,MATCH(A111,PENGELUARAN!$N$5:$N$204,0)),""))</f>
        <v/>
      </c>
      <c r="G111" s="47" t="str">
        <f>IF(F111="","",IFERROR(INDEX(PERKARA!$B$5:$B$104,MATCH(F111,PERKARA!$A$5:$A$104,0)),"ID TIDAK TERDAFTAR"))</f>
        <v/>
      </c>
      <c r="H111" s="73" t="str">
        <f>IF(A111="","",SUMIFS(PENGELUARAN!$K$5:$K$204,PENGELUARAN!$N$5:$N$204,A111))</f>
        <v/>
      </c>
      <c r="I111" s="73" t="str">
        <f>IF(A111="","",IF(AND(T111="Disetujui",M111&lt;&gt;""),SUMIFS(PENGELUARAN!$R$5:$R$204,PENGELUARAN!$N$5:$N$204,A111,PENGELUARAN!$AC$5:$AC$204,"LENGKAP"),0))</f>
        <v/>
      </c>
      <c r="J111" s="73" t="str">
        <f>IF(A111="","",SUMIFS(PENGELUARAN!$S$5:$S$204,PENGELUARAN!$N$5:$N$204,A111))</f>
        <v/>
      </c>
      <c r="K111" s="73" t="str">
        <f t="shared" si="16"/>
        <v/>
      </c>
      <c r="L111" s="9" t="str">
        <f t="shared" si="17"/>
        <v/>
      </c>
      <c r="M111" s="103"/>
      <c r="N111" s="80"/>
      <c r="O111" s="6"/>
      <c r="P111" s="6"/>
      <c r="Q111" s="6"/>
      <c r="R111" s="6"/>
      <c r="S111" s="67" t="str">
        <f t="shared" si="18"/>
        <v/>
      </c>
      <c r="T111" s="98"/>
      <c r="U111" s="105"/>
      <c r="V111" s="98"/>
      <c r="W111" s="104" t="str">
        <f t="shared" si="19"/>
        <v/>
      </c>
    </row>
    <row r="112" spans="1:23">
      <c r="A112" s="6" t="str">
        <f t="shared" si="15"/>
        <v/>
      </c>
      <c r="B112" s="80"/>
      <c r="C112" s="6"/>
      <c r="D112" s="80"/>
      <c r="E112" s="80"/>
      <c r="F112" s="46" t="str">
        <f>IF(A112="","",IFERROR(INDEX(PENGELUARAN!$D$5:$D$204,MATCH(A112,PENGELUARAN!$N$5:$N$204,0)),""))</f>
        <v/>
      </c>
      <c r="G112" s="47" t="str">
        <f>IF(F112="","",IFERROR(INDEX(PERKARA!$B$5:$B$104,MATCH(F112,PERKARA!$A$5:$A$104,0)),"ID TIDAK TERDAFTAR"))</f>
        <v/>
      </c>
      <c r="H112" s="73" t="str">
        <f>IF(A112="","",SUMIFS(PENGELUARAN!$K$5:$K$204,PENGELUARAN!$N$5:$N$204,A112))</f>
        <v/>
      </c>
      <c r="I112" s="73" t="str">
        <f>IF(A112="","",IF(AND(T112="Disetujui",M112&lt;&gt;""),SUMIFS(PENGELUARAN!$R$5:$R$204,PENGELUARAN!$N$5:$N$204,A112,PENGELUARAN!$AC$5:$AC$204,"LENGKAP"),0))</f>
        <v/>
      </c>
      <c r="J112" s="73" t="str">
        <f>IF(A112="","",SUMIFS(PENGELUARAN!$S$5:$S$204,PENGELUARAN!$N$5:$N$204,A112))</f>
        <v/>
      </c>
      <c r="K112" s="73" t="str">
        <f t="shared" si="16"/>
        <v/>
      </c>
      <c r="L112" s="9" t="str">
        <f t="shared" si="17"/>
        <v/>
      </c>
      <c r="M112" s="103"/>
      <c r="N112" s="80"/>
      <c r="O112" s="6"/>
      <c r="P112" s="6"/>
      <c r="Q112" s="6"/>
      <c r="R112" s="6"/>
      <c r="S112" s="67" t="str">
        <f t="shared" si="18"/>
        <v/>
      </c>
      <c r="T112" s="98"/>
      <c r="U112" s="105"/>
      <c r="V112" s="98"/>
      <c r="W112" s="104" t="str">
        <f t="shared" si="19"/>
        <v/>
      </c>
    </row>
    <row r="113" spans="1:23">
      <c r="A113" s="6" t="str">
        <f t="shared" si="15"/>
        <v/>
      </c>
      <c r="B113" s="80"/>
      <c r="C113" s="6"/>
      <c r="D113" s="80"/>
      <c r="E113" s="80"/>
      <c r="F113" s="46" t="str">
        <f>IF(A113="","",IFERROR(INDEX(PENGELUARAN!$D$5:$D$204,MATCH(A113,PENGELUARAN!$N$5:$N$204,0)),""))</f>
        <v/>
      </c>
      <c r="G113" s="47" t="str">
        <f>IF(F113="","",IFERROR(INDEX(PERKARA!$B$5:$B$104,MATCH(F113,PERKARA!$A$5:$A$104,0)),"ID TIDAK TERDAFTAR"))</f>
        <v/>
      </c>
      <c r="H113" s="73" t="str">
        <f>IF(A113="","",SUMIFS(PENGELUARAN!$K$5:$K$204,PENGELUARAN!$N$5:$N$204,A113))</f>
        <v/>
      </c>
      <c r="I113" s="73" t="str">
        <f>IF(A113="","",IF(AND(T113="Disetujui",M113&lt;&gt;""),SUMIFS(PENGELUARAN!$R$5:$R$204,PENGELUARAN!$N$5:$N$204,A113,PENGELUARAN!$AC$5:$AC$204,"LENGKAP"),0))</f>
        <v/>
      </c>
      <c r="J113" s="73" t="str">
        <f>IF(A113="","",SUMIFS(PENGELUARAN!$S$5:$S$204,PENGELUARAN!$N$5:$N$204,A113))</f>
        <v/>
      </c>
      <c r="K113" s="73" t="str">
        <f t="shared" si="16"/>
        <v/>
      </c>
      <c r="L113" s="9" t="str">
        <f t="shared" si="17"/>
        <v/>
      </c>
      <c r="M113" s="103"/>
      <c r="N113" s="80"/>
      <c r="O113" s="6"/>
      <c r="P113" s="6"/>
      <c r="Q113" s="6"/>
      <c r="R113" s="6"/>
      <c r="S113" s="67" t="str">
        <f t="shared" si="18"/>
        <v/>
      </c>
      <c r="T113" s="98"/>
      <c r="U113" s="105"/>
      <c r="V113" s="98"/>
      <c r="W113" s="104" t="str">
        <f t="shared" si="19"/>
        <v/>
      </c>
    </row>
    <row r="114" spans="1:23">
      <c r="A114" s="6" t="str">
        <f t="shared" si="15"/>
        <v/>
      </c>
      <c r="B114" s="80"/>
      <c r="C114" s="6"/>
      <c r="D114" s="80"/>
      <c r="E114" s="80"/>
      <c r="F114" s="46" t="str">
        <f>IF(A114="","",IFERROR(INDEX(PENGELUARAN!$D$5:$D$204,MATCH(A114,PENGELUARAN!$N$5:$N$204,0)),""))</f>
        <v/>
      </c>
      <c r="G114" s="47" t="str">
        <f>IF(F114="","",IFERROR(INDEX(PERKARA!$B$5:$B$104,MATCH(F114,PERKARA!$A$5:$A$104,0)),"ID TIDAK TERDAFTAR"))</f>
        <v/>
      </c>
      <c r="H114" s="73" t="str">
        <f>IF(A114="","",SUMIFS(PENGELUARAN!$K$5:$K$204,PENGELUARAN!$N$5:$N$204,A114))</f>
        <v/>
      </c>
      <c r="I114" s="73" t="str">
        <f>IF(A114="","",IF(AND(T114="Disetujui",M114&lt;&gt;""),SUMIFS(PENGELUARAN!$R$5:$R$204,PENGELUARAN!$N$5:$N$204,A114,PENGELUARAN!$AC$5:$AC$204,"LENGKAP"),0))</f>
        <v/>
      </c>
      <c r="J114" s="73" t="str">
        <f>IF(A114="","",SUMIFS(PENGELUARAN!$S$5:$S$204,PENGELUARAN!$N$5:$N$204,A114))</f>
        <v/>
      </c>
      <c r="K114" s="73" t="str">
        <f t="shared" si="16"/>
        <v/>
      </c>
      <c r="L114" s="9" t="str">
        <f t="shared" si="17"/>
        <v/>
      </c>
      <c r="M114" s="103"/>
      <c r="N114" s="80"/>
      <c r="O114" s="6"/>
      <c r="P114" s="6"/>
      <c r="Q114" s="6"/>
      <c r="R114" s="6"/>
      <c r="S114" s="67" t="str">
        <f t="shared" si="18"/>
        <v/>
      </c>
      <c r="T114" s="98"/>
      <c r="U114" s="105"/>
      <c r="V114" s="98"/>
      <c r="W114" s="104" t="str">
        <f t="shared" si="19"/>
        <v/>
      </c>
    </row>
    <row r="115" spans="1:23">
      <c r="A115" s="6" t="str">
        <f t="shared" si="15"/>
        <v/>
      </c>
      <c r="B115" s="80"/>
      <c r="C115" s="6"/>
      <c r="D115" s="80"/>
      <c r="E115" s="80"/>
      <c r="F115" s="46" t="str">
        <f>IF(A115="","",IFERROR(INDEX(PENGELUARAN!$D$5:$D$204,MATCH(A115,PENGELUARAN!$N$5:$N$204,0)),""))</f>
        <v/>
      </c>
      <c r="G115" s="47" t="str">
        <f>IF(F115="","",IFERROR(INDEX(PERKARA!$B$5:$B$104,MATCH(F115,PERKARA!$A$5:$A$104,0)),"ID TIDAK TERDAFTAR"))</f>
        <v/>
      </c>
      <c r="H115" s="73" t="str">
        <f>IF(A115="","",SUMIFS(PENGELUARAN!$K$5:$K$204,PENGELUARAN!$N$5:$N$204,A115))</f>
        <v/>
      </c>
      <c r="I115" s="73" t="str">
        <f>IF(A115="","",IF(AND(T115="Disetujui",M115&lt;&gt;""),SUMIFS(PENGELUARAN!$R$5:$R$204,PENGELUARAN!$N$5:$N$204,A115,PENGELUARAN!$AC$5:$AC$204,"LENGKAP"),0))</f>
        <v/>
      </c>
      <c r="J115" s="73" t="str">
        <f>IF(A115="","",SUMIFS(PENGELUARAN!$S$5:$S$204,PENGELUARAN!$N$5:$N$204,A115))</f>
        <v/>
      </c>
      <c r="K115" s="73" t="str">
        <f t="shared" si="16"/>
        <v/>
      </c>
      <c r="L115" s="9" t="str">
        <f t="shared" si="17"/>
        <v/>
      </c>
      <c r="M115" s="103"/>
      <c r="N115" s="80"/>
      <c r="O115" s="6"/>
      <c r="P115" s="6"/>
      <c r="Q115" s="6"/>
      <c r="R115" s="6"/>
      <c r="S115" s="67" t="str">
        <f t="shared" si="18"/>
        <v/>
      </c>
      <c r="T115" s="98"/>
      <c r="U115" s="105"/>
      <c r="V115" s="98"/>
      <c r="W115" s="104" t="str">
        <f t="shared" si="19"/>
        <v/>
      </c>
    </row>
    <row r="116" spans="1:23">
      <c r="A116" s="6" t="str">
        <f t="shared" si="15"/>
        <v/>
      </c>
      <c r="B116" s="80"/>
      <c r="C116" s="6"/>
      <c r="D116" s="80"/>
      <c r="E116" s="80"/>
      <c r="F116" s="46" t="str">
        <f>IF(A116="","",IFERROR(INDEX(PENGELUARAN!$D$5:$D$204,MATCH(A116,PENGELUARAN!$N$5:$N$204,0)),""))</f>
        <v/>
      </c>
      <c r="G116" s="47" t="str">
        <f>IF(F116="","",IFERROR(INDEX(PERKARA!$B$5:$B$104,MATCH(F116,PERKARA!$A$5:$A$104,0)),"ID TIDAK TERDAFTAR"))</f>
        <v/>
      </c>
      <c r="H116" s="73" t="str">
        <f>IF(A116="","",SUMIFS(PENGELUARAN!$K$5:$K$204,PENGELUARAN!$N$5:$N$204,A116))</f>
        <v/>
      </c>
      <c r="I116" s="73" t="str">
        <f>IF(A116="","",IF(AND(T116="Disetujui",M116&lt;&gt;""),SUMIFS(PENGELUARAN!$R$5:$R$204,PENGELUARAN!$N$5:$N$204,A116,PENGELUARAN!$AC$5:$AC$204,"LENGKAP"),0))</f>
        <v/>
      </c>
      <c r="J116" s="73" t="str">
        <f>IF(A116="","",SUMIFS(PENGELUARAN!$S$5:$S$204,PENGELUARAN!$N$5:$N$204,A116))</f>
        <v/>
      </c>
      <c r="K116" s="73" t="str">
        <f t="shared" si="16"/>
        <v/>
      </c>
      <c r="L116" s="9" t="str">
        <f t="shared" si="17"/>
        <v/>
      </c>
      <c r="M116" s="103"/>
      <c r="N116" s="80"/>
      <c r="O116" s="6"/>
      <c r="P116" s="6"/>
      <c r="Q116" s="6"/>
      <c r="R116" s="6"/>
      <c r="S116" s="67" t="str">
        <f t="shared" si="18"/>
        <v/>
      </c>
      <c r="T116" s="98"/>
      <c r="U116" s="105"/>
      <c r="V116" s="98"/>
      <c r="W116" s="104" t="str">
        <f t="shared" si="19"/>
        <v/>
      </c>
    </row>
    <row r="117" spans="1:23">
      <c r="A117" s="6" t="str">
        <f t="shared" si="15"/>
        <v/>
      </c>
      <c r="B117" s="80"/>
      <c r="C117" s="6"/>
      <c r="D117" s="80"/>
      <c r="E117" s="80"/>
      <c r="F117" s="46" t="str">
        <f>IF(A117="","",IFERROR(INDEX(PENGELUARAN!$D$5:$D$204,MATCH(A117,PENGELUARAN!$N$5:$N$204,0)),""))</f>
        <v/>
      </c>
      <c r="G117" s="47" t="str">
        <f>IF(F117="","",IFERROR(INDEX(PERKARA!$B$5:$B$104,MATCH(F117,PERKARA!$A$5:$A$104,0)),"ID TIDAK TERDAFTAR"))</f>
        <v/>
      </c>
      <c r="H117" s="73" t="str">
        <f>IF(A117="","",SUMIFS(PENGELUARAN!$K$5:$K$204,PENGELUARAN!$N$5:$N$204,A117))</f>
        <v/>
      </c>
      <c r="I117" s="73" t="str">
        <f>IF(A117="","",IF(AND(T117="Disetujui",M117&lt;&gt;""),SUMIFS(PENGELUARAN!$R$5:$R$204,PENGELUARAN!$N$5:$N$204,A117,PENGELUARAN!$AC$5:$AC$204,"LENGKAP"),0))</f>
        <v/>
      </c>
      <c r="J117" s="73" t="str">
        <f>IF(A117="","",SUMIFS(PENGELUARAN!$S$5:$S$204,PENGELUARAN!$N$5:$N$204,A117))</f>
        <v/>
      </c>
      <c r="K117" s="73" t="str">
        <f t="shared" si="16"/>
        <v/>
      </c>
      <c r="L117" s="9" t="str">
        <f t="shared" si="17"/>
        <v/>
      </c>
      <c r="M117" s="103"/>
      <c r="N117" s="80"/>
      <c r="O117" s="6"/>
      <c r="P117" s="6"/>
      <c r="Q117" s="6"/>
      <c r="R117" s="6"/>
      <c r="S117" s="67" t="str">
        <f t="shared" si="18"/>
        <v/>
      </c>
      <c r="T117" s="98"/>
      <c r="U117" s="105"/>
      <c r="V117" s="98"/>
      <c r="W117" s="104" t="str">
        <f t="shared" si="19"/>
        <v/>
      </c>
    </row>
    <row r="118" spans="1:23">
      <c r="A118" s="6" t="str">
        <f t="shared" si="15"/>
        <v/>
      </c>
      <c r="B118" s="80"/>
      <c r="C118" s="6"/>
      <c r="D118" s="80"/>
      <c r="E118" s="80"/>
      <c r="F118" s="46" t="str">
        <f>IF(A118="","",IFERROR(INDEX(PENGELUARAN!$D$5:$D$204,MATCH(A118,PENGELUARAN!$N$5:$N$204,0)),""))</f>
        <v/>
      </c>
      <c r="G118" s="47" t="str">
        <f>IF(F118="","",IFERROR(INDEX(PERKARA!$B$5:$B$104,MATCH(F118,PERKARA!$A$5:$A$104,0)),"ID TIDAK TERDAFTAR"))</f>
        <v/>
      </c>
      <c r="H118" s="73" t="str">
        <f>IF(A118="","",SUMIFS(PENGELUARAN!$K$5:$K$204,PENGELUARAN!$N$5:$N$204,A118))</f>
        <v/>
      </c>
      <c r="I118" s="73" t="str">
        <f>IF(A118="","",IF(AND(T118="Disetujui",M118&lt;&gt;""),SUMIFS(PENGELUARAN!$R$5:$R$204,PENGELUARAN!$N$5:$N$204,A118,PENGELUARAN!$AC$5:$AC$204,"LENGKAP"),0))</f>
        <v/>
      </c>
      <c r="J118" s="73" t="str">
        <f>IF(A118="","",SUMIFS(PENGELUARAN!$S$5:$S$204,PENGELUARAN!$N$5:$N$204,A118))</f>
        <v/>
      </c>
      <c r="K118" s="73" t="str">
        <f t="shared" si="16"/>
        <v/>
      </c>
      <c r="L118" s="9" t="str">
        <f t="shared" si="17"/>
        <v/>
      </c>
      <c r="M118" s="103"/>
      <c r="N118" s="80"/>
      <c r="O118" s="6"/>
      <c r="P118" s="6"/>
      <c r="Q118" s="6"/>
      <c r="R118" s="6"/>
      <c r="S118" s="67" t="str">
        <f t="shared" si="18"/>
        <v/>
      </c>
      <c r="T118" s="98"/>
      <c r="U118" s="105"/>
      <c r="V118" s="98"/>
      <c r="W118" s="104" t="str">
        <f t="shared" si="19"/>
        <v/>
      </c>
    </row>
    <row r="119" spans="1:23">
      <c r="A119" s="6" t="str">
        <f t="shared" si="15"/>
        <v/>
      </c>
      <c r="B119" s="80"/>
      <c r="C119" s="6"/>
      <c r="D119" s="80"/>
      <c r="E119" s="80"/>
      <c r="F119" s="46" t="str">
        <f>IF(A119="","",IFERROR(INDEX(PENGELUARAN!$D$5:$D$204,MATCH(A119,PENGELUARAN!$N$5:$N$204,0)),""))</f>
        <v/>
      </c>
      <c r="G119" s="47" t="str">
        <f>IF(F119="","",IFERROR(INDEX(PERKARA!$B$5:$B$104,MATCH(F119,PERKARA!$A$5:$A$104,0)),"ID TIDAK TERDAFTAR"))</f>
        <v/>
      </c>
      <c r="H119" s="73" t="str">
        <f>IF(A119="","",SUMIFS(PENGELUARAN!$K$5:$K$204,PENGELUARAN!$N$5:$N$204,A119))</f>
        <v/>
      </c>
      <c r="I119" s="73" t="str">
        <f>IF(A119="","",IF(AND(T119="Disetujui",M119&lt;&gt;""),SUMIFS(PENGELUARAN!$R$5:$R$204,PENGELUARAN!$N$5:$N$204,A119,PENGELUARAN!$AC$5:$AC$204,"LENGKAP"),0))</f>
        <v/>
      </c>
      <c r="J119" s="73" t="str">
        <f>IF(A119="","",SUMIFS(PENGELUARAN!$S$5:$S$204,PENGELUARAN!$N$5:$N$204,A119))</f>
        <v/>
      </c>
      <c r="K119" s="73" t="str">
        <f t="shared" si="16"/>
        <v/>
      </c>
      <c r="L119" s="9" t="str">
        <f t="shared" si="17"/>
        <v/>
      </c>
      <c r="M119" s="103"/>
      <c r="N119" s="80"/>
      <c r="O119" s="6"/>
      <c r="P119" s="6"/>
      <c r="Q119" s="6"/>
      <c r="R119" s="6"/>
      <c r="S119" s="67" t="str">
        <f t="shared" si="18"/>
        <v/>
      </c>
      <c r="T119" s="98"/>
      <c r="U119" s="105"/>
      <c r="V119" s="98"/>
      <c r="W119" s="104" t="str">
        <f t="shared" si="19"/>
        <v/>
      </c>
    </row>
    <row r="120" spans="1:23">
      <c r="A120" s="6" t="str">
        <f t="shared" si="15"/>
        <v/>
      </c>
      <c r="B120" s="80"/>
      <c r="C120" s="6"/>
      <c r="D120" s="80"/>
      <c r="E120" s="80"/>
      <c r="F120" s="46" t="str">
        <f>IF(A120="","",IFERROR(INDEX(PENGELUARAN!$D$5:$D$204,MATCH(A120,PENGELUARAN!$N$5:$N$204,0)),""))</f>
        <v/>
      </c>
      <c r="G120" s="47" t="str">
        <f>IF(F120="","",IFERROR(INDEX(PERKARA!$B$5:$B$104,MATCH(F120,PERKARA!$A$5:$A$104,0)),"ID TIDAK TERDAFTAR"))</f>
        <v/>
      </c>
      <c r="H120" s="73" t="str">
        <f>IF(A120="","",SUMIFS(PENGELUARAN!$K$5:$K$204,PENGELUARAN!$N$5:$N$204,A120))</f>
        <v/>
      </c>
      <c r="I120" s="73" t="str">
        <f>IF(A120="","",IF(AND(T120="Disetujui",M120&lt;&gt;""),SUMIFS(PENGELUARAN!$R$5:$R$204,PENGELUARAN!$N$5:$N$204,A120,PENGELUARAN!$AC$5:$AC$204,"LENGKAP"),0))</f>
        <v/>
      </c>
      <c r="J120" s="73" t="str">
        <f>IF(A120="","",SUMIFS(PENGELUARAN!$S$5:$S$204,PENGELUARAN!$N$5:$N$204,A120))</f>
        <v/>
      </c>
      <c r="K120" s="73" t="str">
        <f t="shared" si="16"/>
        <v/>
      </c>
      <c r="L120" s="9" t="str">
        <f t="shared" si="17"/>
        <v/>
      </c>
      <c r="M120" s="103"/>
      <c r="N120" s="80"/>
      <c r="O120" s="6"/>
      <c r="P120" s="6"/>
      <c r="Q120" s="6"/>
      <c r="R120" s="6"/>
      <c r="S120" s="67" t="str">
        <f t="shared" si="18"/>
        <v/>
      </c>
      <c r="T120" s="98"/>
      <c r="U120" s="105"/>
      <c r="V120" s="98"/>
      <c r="W120" s="104" t="str">
        <f t="shared" si="19"/>
        <v/>
      </c>
    </row>
    <row r="121" spans="1:23">
      <c r="A121" s="6" t="str">
        <f t="shared" si="15"/>
        <v/>
      </c>
      <c r="B121" s="80"/>
      <c r="C121" s="6"/>
      <c r="D121" s="80"/>
      <c r="E121" s="80"/>
      <c r="F121" s="46" t="str">
        <f>IF(A121="","",IFERROR(INDEX(PENGELUARAN!$D$5:$D$204,MATCH(A121,PENGELUARAN!$N$5:$N$204,0)),""))</f>
        <v/>
      </c>
      <c r="G121" s="47" t="str">
        <f>IF(F121="","",IFERROR(INDEX(PERKARA!$B$5:$B$104,MATCH(F121,PERKARA!$A$5:$A$104,0)),"ID TIDAK TERDAFTAR"))</f>
        <v/>
      </c>
      <c r="H121" s="73" t="str">
        <f>IF(A121="","",SUMIFS(PENGELUARAN!$K$5:$K$204,PENGELUARAN!$N$5:$N$204,A121))</f>
        <v/>
      </c>
      <c r="I121" s="73" t="str">
        <f>IF(A121="","",IF(AND(T121="Disetujui",M121&lt;&gt;""),SUMIFS(PENGELUARAN!$R$5:$R$204,PENGELUARAN!$N$5:$N$204,A121,PENGELUARAN!$AC$5:$AC$204,"LENGKAP"),0))</f>
        <v/>
      </c>
      <c r="J121" s="73" t="str">
        <f>IF(A121="","",SUMIFS(PENGELUARAN!$S$5:$S$204,PENGELUARAN!$N$5:$N$204,A121))</f>
        <v/>
      </c>
      <c r="K121" s="73" t="str">
        <f t="shared" si="16"/>
        <v/>
      </c>
      <c r="L121" s="9" t="str">
        <f t="shared" si="17"/>
        <v/>
      </c>
      <c r="M121" s="103"/>
      <c r="N121" s="80"/>
      <c r="O121" s="6"/>
      <c r="P121" s="6"/>
      <c r="Q121" s="6"/>
      <c r="R121" s="6"/>
      <c r="S121" s="67" t="str">
        <f t="shared" si="18"/>
        <v/>
      </c>
      <c r="T121" s="98"/>
      <c r="U121" s="105"/>
      <c r="V121" s="98"/>
      <c r="W121" s="104" t="str">
        <f t="shared" si="19"/>
        <v/>
      </c>
    </row>
    <row r="122" spans="1:23">
      <c r="A122" s="6" t="str">
        <f t="shared" si="15"/>
        <v/>
      </c>
      <c r="B122" s="80"/>
      <c r="C122" s="6"/>
      <c r="D122" s="80"/>
      <c r="E122" s="80"/>
      <c r="F122" s="46" t="str">
        <f>IF(A122="","",IFERROR(INDEX(PENGELUARAN!$D$5:$D$204,MATCH(A122,PENGELUARAN!$N$5:$N$204,0)),""))</f>
        <v/>
      </c>
      <c r="G122" s="47" t="str">
        <f>IF(F122="","",IFERROR(INDEX(PERKARA!$B$5:$B$104,MATCH(F122,PERKARA!$A$5:$A$104,0)),"ID TIDAK TERDAFTAR"))</f>
        <v/>
      </c>
      <c r="H122" s="73" t="str">
        <f>IF(A122="","",SUMIFS(PENGELUARAN!$K$5:$K$204,PENGELUARAN!$N$5:$N$204,A122))</f>
        <v/>
      </c>
      <c r="I122" s="73" t="str">
        <f>IF(A122="","",IF(AND(T122="Disetujui",M122&lt;&gt;""),SUMIFS(PENGELUARAN!$R$5:$R$204,PENGELUARAN!$N$5:$N$204,A122,PENGELUARAN!$AC$5:$AC$204,"LENGKAP"),0))</f>
        <v/>
      </c>
      <c r="J122" s="73" t="str">
        <f>IF(A122="","",SUMIFS(PENGELUARAN!$S$5:$S$204,PENGELUARAN!$N$5:$N$204,A122))</f>
        <v/>
      </c>
      <c r="K122" s="73" t="str">
        <f t="shared" si="16"/>
        <v/>
      </c>
      <c r="L122" s="9" t="str">
        <f t="shared" si="17"/>
        <v/>
      </c>
      <c r="M122" s="103"/>
      <c r="N122" s="80"/>
      <c r="O122" s="6"/>
      <c r="P122" s="6"/>
      <c r="Q122" s="6"/>
      <c r="R122" s="6"/>
      <c r="S122" s="67" t="str">
        <f t="shared" si="18"/>
        <v/>
      </c>
      <c r="T122" s="98"/>
      <c r="U122" s="105"/>
      <c r="V122" s="98"/>
      <c r="W122" s="104" t="str">
        <f t="shared" si="19"/>
        <v/>
      </c>
    </row>
    <row r="123" spans="1:23">
      <c r="A123" s="6" t="str">
        <f t="shared" si="15"/>
        <v/>
      </c>
      <c r="B123" s="80"/>
      <c r="C123" s="6"/>
      <c r="D123" s="80"/>
      <c r="E123" s="80"/>
      <c r="F123" s="46" t="str">
        <f>IF(A123="","",IFERROR(INDEX(PENGELUARAN!$D$5:$D$204,MATCH(A123,PENGELUARAN!$N$5:$N$204,0)),""))</f>
        <v/>
      </c>
      <c r="G123" s="47" t="str">
        <f>IF(F123="","",IFERROR(INDEX(PERKARA!$B$5:$B$104,MATCH(F123,PERKARA!$A$5:$A$104,0)),"ID TIDAK TERDAFTAR"))</f>
        <v/>
      </c>
      <c r="H123" s="73" t="str">
        <f>IF(A123="","",SUMIFS(PENGELUARAN!$K$5:$K$204,PENGELUARAN!$N$5:$N$204,A123))</f>
        <v/>
      </c>
      <c r="I123" s="73" t="str">
        <f>IF(A123="","",IF(AND(T123="Disetujui",M123&lt;&gt;""),SUMIFS(PENGELUARAN!$R$5:$R$204,PENGELUARAN!$N$5:$N$204,A123,PENGELUARAN!$AC$5:$AC$204,"LENGKAP"),0))</f>
        <v/>
      </c>
      <c r="J123" s="73" t="str">
        <f>IF(A123="","",SUMIFS(PENGELUARAN!$S$5:$S$204,PENGELUARAN!$N$5:$N$204,A123))</f>
        <v/>
      </c>
      <c r="K123" s="73" t="str">
        <f t="shared" si="16"/>
        <v/>
      </c>
      <c r="L123" s="9" t="str">
        <f t="shared" si="17"/>
        <v/>
      </c>
      <c r="M123" s="103"/>
      <c r="N123" s="80"/>
      <c r="O123" s="6"/>
      <c r="P123" s="6"/>
      <c r="Q123" s="6"/>
      <c r="R123" s="6"/>
      <c r="S123" s="67" t="str">
        <f t="shared" si="18"/>
        <v/>
      </c>
      <c r="T123" s="98"/>
      <c r="U123" s="105"/>
      <c r="V123" s="98"/>
      <c r="W123" s="104" t="str">
        <f t="shared" si="19"/>
        <v/>
      </c>
    </row>
    <row r="124" spans="1:23">
      <c r="A124" s="6" t="str">
        <f t="shared" si="15"/>
        <v/>
      </c>
      <c r="B124" s="80"/>
      <c r="C124" s="6"/>
      <c r="D124" s="80"/>
      <c r="E124" s="80"/>
      <c r="F124" s="46" t="str">
        <f>IF(A124="","",IFERROR(INDEX(PENGELUARAN!$D$5:$D$204,MATCH(A124,PENGELUARAN!$N$5:$N$204,0)),""))</f>
        <v/>
      </c>
      <c r="G124" s="47" t="str">
        <f>IF(F124="","",IFERROR(INDEX(PERKARA!$B$5:$B$104,MATCH(F124,PERKARA!$A$5:$A$104,0)),"ID TIDAK TERDAFTAR"))</f>
        <v/>
      </c>
      <c r="H124" s="73" t="str">
        <f>IF(A124="","",SUMIFS(PENGELUARAN!$K$5:$K$204,PENGELUARAN!$N$5:$N$204,A124))</f>
        <v/>
      </c>
      <c r="I124" s="73" t="str">
        <f>IF(A124="","",IF(AND(T124="Disetujui",M124&lt;&gt;""),SUMIFS(PENGELUARAN!$R$5:$R$204,PENGELUARAN!$N$5:$N$204,A124,PENGELUARAN!$AC$5:$AC$204,"LENGKAP"),0))</f>
        <v/>
      </c>
      <c r="J124" s="73" t="str">
        <f>IF(A124="","",SUMIFS(PENGELUARAN!$S$5:$S$204,PENGELUARAN!$N$5:$N$204,A124))</f>
        <v/>
      </c>
      <c r="K124" s="73" t="str">
        <f t="shared" si="16"/>
        <v/>
      </c>
      <c r="L124" s="9" t="str">
        <f t="shared" si="17"/>
        <v/>
      </c>
      <c r="M124" s="103"/>
      <c r="N124" s="80"/>
      <c r="O124" s="6"/>
      <c r="P124" s="6"/>
      <c r="Q124" s="6"/>
      <c r="R124" s="6"/>
      <c r="S124" s="67" t="str">
        <f t="shared" si="18"/>
        <v/>
      </c>
      <c r="T124" s="98"/>
      <c r="U124" s="105"/>
      <c r="V124" s="98"/>
      <c r="W124" s="104" t="str">
        <f t="shared" si="19"/>
        <v/>
      </c>
    </row>
  </sheetData>
  <mergeCells count="2">
    <mergeCell ref="A1:W2"/>
    <mergeCell ref="A3:W3"/>
  </mergeCells>
  <conditionalFormatting sqref="G5:G124">
    <cfRule type="containsText" dxfId="24" priority="13" operator="containsText" text="ID TIDAK TERDAFTAR"/>
  </conditionalFormatting>
  <conditionalFormatting sqref="L5:L124">
    <cfRule type="containsText" dxfId="23" priority="1" operator="containsText" text="Lunas"/>
    <cfRule type="containsText" dxfId="22" priority="5" operator="containsText" text="Jatuh Tempo"/>
    <cfRule type="containsText" dxfId="21"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600-000000000000}">
          <x14:formula1>
            <xm:f>MASTER!$A$5:$A$9</xm:f>
          </x14:formula1>
          <xm:sqref>C5:C124</xm:sqref>
        </x14:dataValidation>
        <x14:dataValidation type="list" xr:uid="{00000000-0002-0000-0600-000001000000}">
          <x14:formula1>
            <xm:f>PERKARA!$A$5:$A$104</xm:f>
          </x14:formula1>
          <xm:sqref>F5:F124</xm:sqref>
        </x14:dataValidation>
        <x14:dataValidation type="list" xr:uid="{00000000-0002-0000-0600-000002000000}">
          <x14:formula1>
            <xm:f>MASTER!$G$5:$G$10</xm:f>
          </x14:formula1>
          <xm:sqref>O5:O124</xm:sqref>
        </x14:dataValidation>
        <x14:dataValidation type="list" xr:uid="{00000000-0002-0000-0600-000003000000}">
          <x14:formula1>
            <xm:f>MASTER!$A$5:$A$7</xm:f>
          </x14:formula1>
          <xm:sqref>M5:M124</xm:sqref>
        </x14:dataValidation>
        <x14:dataValidation type="list" xr:uid="{00000000-0002-0000-0600-000004000000}">
          <x14:formula1>
            <xm:f>MASTER!$M$5:$M$8</xm:f>
          </x14:formula1>
          <xm:sqref>T5:T124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51"/>
  <sheetViews>
    <sheetView showGridLines="0" topLeftCell="G1" workbookViewId="0">
      <selection activeCell="Y6" sqref="Y6"/>
    </sheetView>
  </sheetViews>
  <sheetFormatPr defaultRowHeight="13.8"/>
  <cols>
    <col min="1" max="1" width="23" customWidth="1"/>
    <col min="2" max="3" width="16" customWidth="1"/>
    <col min="4" max="4" width="19" customWidth="1"/>
    <col min="5" max="5" width="26" customWidth="1"/>
    <col min="6" max="6" width="22" customWidth="1"/>
    <col min="7" max="8" width="21" customWidth="1"/>
    <col min="9" max="9" width="22" customWidth="1"/>
    <col min="10" max="10" width="21" customWidth="1"/>
    <col min="11" max="11" width="22" customWidth="1"/>
    <col min="12" max="12" width="20" customWidth="1"/>
    <col min="13" max="13" width="21" customWidth="1"/>
    <col min="14" max="14" width="25" customWidth="1"/>
    <col min="15" max="15" width="19" customWidth="1"/>
    <col min="16" max="16" width="18" customWidth="1"/>
    <col min="17" max="17" width="25" customWidth="1"/>
    <col min="18" max="18" width="35" customWidth="1"/>
    <col min="19" max="24" width="19" customWidth="1"/>
    <col min="25" max="29" width="21" customWidth="1"/>
    <col min="30" max="30" width="25" customWidth="1"/>
  </cols>
  <sheetData>
    <row r="1" spans="1:30" ht="25.05" customHeight="1">
      <c r="A1" s="297" t="s">
        <v>151</v>
      </c>
      <c r="B1" s="297" t="s">
        <v>151</v>
      </c>
      <c r="C1" s="297" t="s">
        <v>151</v>
      </c>
      <c r="D1" s="297" t="s">
        <v>151</v>
      </c>
      <c r="E1" s="297" t="s">
        <v>151</v>
      </c>
      <c r="F1" s="297" t="s">
        <v>151</v>
      </c>
      <c r="G1" s="297" t="s">
        <v>151</v>
      </c>
      <c r="H1" s="297" t="s">
        <v>151</v>
      </c>
      <c r="I1" s="297" t="s">
        <v>151</v>
      </c>
      <c r="J1" s="297" t="s">
        <v>151</v>
      </c>
      <c r="K1" s="297" t="s">
        <v>151</v>
      </c>
      <c r="L1" s="297" t="s">
        <v>151</v>
      </c>
      <c r="M1" s="297" t="s">
        <v>151</v>
      </c>
      <c r="N1" s="297" t="s">
        <v>151</v>
      </c>
      <c r="O1" s="297" t="s">
        <v>151</v>
      </c>
      <c r="P1" s="297" t="s">
        <v>151</v>
      </c>
      <c r="Q1" s="297" t="s">
        <v>151</v>
      </c>
      <c r="R1" s="297" t="s">
        <v>151</v>
      </c>
      <c r="S1" s="298"/>
      <c r="T1" s="298"/>
      <c r="U1" s="298"/>
      <c r="V1" s="298"/>
      <c r="W1" s="298"/>
      <c r="X1" s="298"/>
      <c r="Y1" s="298"/>
      <c r="Z1" s="298"/>
      <c r="AA1" s="298"/>
      <c r="AB1" s="298"/>
      <c r="AC1" s="298"/>
      <c r="AD1" s="298"/>
    </row>
    <row r="2" spans="1:30" ht="25.05" customHeight="1">
      <c r="A2" s="297" t="s">
        <v>151</v>
      </c>
      <c r="B2" s="297" t="s">
        <v>151</v>
      </c>
      <c r="C2" s="297" t="s">
        <v>151</v>
      </c>
      <c r="D2" s="297" t="s">
        <v>151</v>
      </c>
      <c r="E2" s="297" t="s">
        <v>151</v>
      </c>
      <c r="F2" s="297" t="s">
        <v>151</v>
      </c>
      <c r="G2" s="297" t="s">
        <v>151</v>
      </c>
      <c r="H2" s="297" t="s">
        <v>151</v>
      </c>
      <c r="I2" s="297" t="s">
        <v>151</v>
      </c>
      <c r="J2" s="297" t="s">
        <v>151</v>
      </c>
      <c r="K2" s="297" t="s">
        <v>151</v>
      </c>
      <c r="L2" s="297" t="s">
        <v>151</v>
      </c>
      <c r="M2" s="297" t="s">
        <v>151</v>
      </c>
      <c r="N2" s="297" t="s">
        <v>151</v>
      </c>
      <c r="O2" s="297" t="s">
        <v>151</v>
      </c>
      <c r="P2" s="297" t="s">
        <v>151</v>
      </c>
      <c r="Q2" s="297" t="s">
        <v>151</v>
      </c>
      <c r="R2" s="297" t="s">
        <v>151</v>
      </c>
      <c r="S2" s="298"/>
      <c r="T2" s="298"/>
      <c r="U2" s="298"/>
      <c r="V2" s="298"/>
      <c r="W2" s="298"/>
      <c r="X2" s="298"/>
      <c r="Y2" s="298"/>
      <c r="Z2" s="298"/>
      <c r="AA2" s="298"/>
      <c r="AB2" s="298"/>
      <c r="AC2" s="298"/>
      <c r="AD2" s="298"/>
    </row>
    <row r="3" spans="1:30" ht="30" customHeight="1">
      <c r="A3" s="295" t="s">
        <v>597</v>
      </c>
      <c r="B3" s="295" t="s">
        <v>152</v>
      </c>
      <c r="C3" s="295" t="s">
        <v>152</v>
      </c>
      <c r="D3" s="295" t="s">
        <v>152</v>
      </c>
      <c r="E3" s="295" t="s">
        <v>152</v>
      </c>
      <c r="F3" s="295" t="s">
        <v>152</v>
      </c>
      <c r="G3" s="295" t="s">
        <v>152</v>
      </c>
      <c r="H3" s="295" t="s">
        <v>152</v>
      </c>
      <c r="I3" s="295" t="s">
        <v>152</v>
      </c>
      <c r="J3" s="295" t="s">
        <v>152</v>
      </c>
      <c r="K3" s="295" t="s">
        <v>152</v>
      </c>
      <c r="L3" s="295" t="s">
        <v>152</v>
      </c>
      <c r="M3" s="295" t="s">
        <v>152</v>
      </c>
      <c r="N3" s="295" t="s">
        <v>152</v>
      </c>
      <c r="O3" s="295" t="s">
        <v>152</v>
      </c>
      <c r="P3" s="295" t="s">
        <v>152</v>
      </c>
      <c r="Q3" s="295" t="s">
        <v>152</v>
      </c>
      <c r="R3" s="295" t="s">
        <v>152</v>
      </c>
      <c r="S3" s="296"/>
      <c r="T3" s="296"/>
      <c r="U3" s="296"/>
      <c r="V3" s="296"/>
      <c r="W3" s="296"/>
      <c r="X3" s="296"/>
      <c r="Y3" s="296"/>
      <c r="Z3" s="296"/>
      <c r="AA3" s="296"/>
      <c r="AB3" s="296"/>
      <c r="AC3" s="296"/>
      <c r="AD3" s="296"/>
    </row>
    <row r="4" spans="1:30" ht="33" customHeight="1">
      <c r="A4" s="7" t="s">
        <v>87</v>
      </c>
      <c r="B4" s="7" t="s">
        <v>153</v>
      </c>
      <c r="C4" s="7" t="s">
        <v>154</v>
      </c>
      <c r="D4" s="7" t="s">
        <v>62</v>
      </c>
      <c r="E4" s="7" t="s">
        <v>63</v>
      </c>
      <c r="F4" s="7" t="s">
        <v>155</v>
      </c>
      <c r="G4" s="7" t="s">
        <v>156</v>
      </c>
      <c r="H4" s="7" t="s">
        <v>157</v>
      </c>
      <c r="I4" s="7" t="s">
        <v>158</v>
      </c>
      <c r="J4" s="7" t="s">
        <v>159</v>
      </c>
      <c r="K4" s="7" t="s">
        <v>160</v>
      </c>
      <c r="L4" s="7" t="s">
        <v>161</v>
      </c>
      <c r="M4" s="7" t="s">
        <v>162</v>
      </c>
      <c r="N4" s="7" t="s">
        <v>163</v>
      </c>
      <c r="O4" s="7" t="s">
        <v>164</v>
      </c>
      <c r="P4" s="7" t="s">
        <v>165</v>
      </c>
      <c r="Q4" s="7" t="s">
        <v>166</v>
      </c>
      <c r="R4" s="7" t="s">
        <v>79</v>
      </c>
      <c r="S4" s="66" t="s">
        <v>598</v>
      </c>
      <c r="T4" s="66" t="s">
        <v>599</v>
      </c>
      <c r="U4" s="66" t="s">
        <v>600</v>
      </c>
      <c r="V4" s="66" t="s">
        <v>601</v>
      </c>
      <c r="W4" s="66" t="s">
        <v>602</v>
      </c>
      <c r="X4" s="66" t="s">
        <v>581</v>
      </c>
      <c r="Y4" s="101" t="s">
        <v>587</v>
      </c>
      <c r="Z4" s="101" t="s">
        <v>589</v>
      </c>
      <c r="AA4" s="101" t="s">
        <v>590</v>
      </c>
      <c r="AB4" s="101" t="s">
        <v>591</v>
      </c>
      <c r="AC4" s="101" t="s">
        <v>585</v>
      </c>
      <c r="AD4" s="121" t="s">
        <v>603</v>
      </c>
    </row>
    <row r="5" spans="1:30" s="57" customFormat="1">
      <c r="A5" s="53" t="str">
        <f t="shared" ref="A5:A33" si="0">IF(B5="","",IFERROR("RPK-INV-"&amp;TEXT(B5,"yyyy")&amp;"-"&amp;TEXT(ROW()-4,"000"),"TANGGAL TIDAK VALID"))</f>
        <v>RPK-INV-2026-001</v>
      </c>
      <c r="B5" s="79">
        <v>46232</v>
      </c>
      <c r="C5" s="79">
        <f>IF(B5="","",IFERROR(B5+MASTER!$AF$9,""))</f>
        <v>46237</v>
      </c>
      <c r="D5" s="52" t="s">
        <v>576</v>
      </c>
      <c r="E5" s="59" t="str">
        <f>IF(D5="","",IFERROR(INDEX(PERKARA!$B$5:$B$104,MATCH(D5,PERKARA!$A$5:$A$104,0)),"ID TIDAK TERDAFTAR"))</f>
        <v>PT KKG</v>
      </c>
      <c r="F5" s="53" t="s">
        <v>280</v>
      </c>
      <c r="G5" s="197">
        <v>16000000</v>
      </c>
      <c r="H5" s="197">
        <v>0</v>
      </c>
      <c r="I5" s="197">
        <v>0</v>
      </c>
      <c r="J5" s="198">
        <f t="shared" ref="J5:J33" si="1">IF(A5="","",SUM(G5:I5))</f>
        <v>16000000</v>
      </c>
      <c r="K5" s="198">
        <f>IF(A5="","",IF(AD5="",0,AD5)+SUMIFS(PEMASUKAN!$H$5:$H$204,PEMASUKAN!$G$5:$G$204,A5))</f>
        <v>16000000</v>
      </c>
      <c r="L5" s="198">
        <f t="shared" ref="L5:L33" si="2">IF(A5="","",MAX(J5-K5,0))</f>
        <v>0</v>
      </c>
      <c r="M5" s="224" t="str">
        <f t="shared" ref="M5:M33" ca="1" si="3">IF(OR(A5="",C5="",L5=0),"",MAX(TODAY()-C5,0))</f>
        <v/>
      </c>
      <c r="N5" s="58" t="str">
        <f ca="1">IF(A5="","",IF(J5=0,"NILAI BELUM DIISI",IF(L5=0,"Lunas",IF(C5="","Belum Ada Jatuh Tempo",IF(TODAY()&gt;C5,IF(K5&gt;0,"Jatuh Tempo - Dibayar Sebagian","Jatuh Tempo"),IF(K5&gt;0,"Dibayar Sebagian",IF(C5-TODAY()&lt;=MASTER!$AF$5,"Segera Jatuh Tempo","Belum Dibayar")))))))</f>
        <v>Lunas</v>
      </c>
      <c r="O5" s="53" t="str">
        <f>IF(D5="","",IFERROR(INDEX(PERKARA!$D$5:$D$104,MATCH(D5,PERKARA!$A$5:$A$104,0)),""))</f>
        <v>Fajar Roni</v>
      </c>
      <c r="P5" s="54"/>
      <c r="Q5" s="53">
        <f>IF(D5="","",IFERROR(INDEX(PERKARA!$S$5:$S$104,MATCH(D5,PERKARA!$A$5:$A$104,0)),""))</f>
        <v>0</v>
      </c>
      <c r="R5" s="53"/>
      <c r="S5" s="229">
        <f t="shared" ref="S5:S33" ca="1" si="4">IF(A5="","",IF(OR(C5="",TODAY()&lt;=C5),L5,0))</f>
        <v>0</v>
      </c>
      <c r="T5" s="229">
        <f t="shared" ref="T5:T33" ca="1" si="5">IF(A5="","",IF(AND(M5&gt;=1,M5&lt;=30),L5,0))</f>
        <v>0</v>
      </c>
      <c r="U5" s="229">
        <f t="shared" ref="U5:U33" ca="1" si="6">IF(A5="","",IF(AND(M5&gt;=31,M5&lt;=60),L5,0))</f>
        <v>0</v>
      </c>
      <c r="V5" s="229">
        <f t="shared" ref="V5:V33" ca="1" si="7">IF(A5="","",IF(AND(M5&gt;=61,M5&lt;=90),L5,0))</f>
        <v>0</v>
      </c>
      <c r="W5" s="229">
        <f t="shared" ref="W5:W33" ca="1" si="8">IF(A5="","",IF(M5&gt;90,L5,0))</f>
        <v>0</v>
      </c>
      <c r="X5" s="199" t="str">
        <f t="shared" ref="X5:X36" si="9">IF(A5="","",IF(COUNTIF($A$5:$A$151,A5)&gt;1,"NOMOR INVOICE DUPLIKAT",IF(D5="","PERKARA BELUM DIISI",IF(E5="ID TIDAK TERDAFTAR","PERKARA TIDAK VALID",IF(K5&gt;J5,"PEMBAYARAN MELEBIHI TAGIHAN","OK")))))</f>
        <v>OK</v>
      </c>
      <c r="Y5" s="200" t="s">
        <v>646</v>
      </c>
      <c r="Z5" s="200" t="s">
        <v>577</v>
      </c>
      <c r="AA5" s="201"/>
      <c r="AB5" s="200"/>
      <c r="AC5" s="202" t="str">
        <f t="shared" ref="AC5:AC33" si="10">IF(B5="","",IF(Y5="Ditolak","DITOLAK",IF(AND(Y5="Disetujui",Z5&lt;&gt;""),"LENGKAP",IF(Y5="Disetujui","NAMA PENYETUJU BELUM DIISI","MENUNGGU PERSETUJUAN MANUAL"))))</f>
        <v>LENGKAP</v>
      </c>
      <c r="AD5" s="231"/>
    </row>
    <row r="6" spans="1:30" s="57" customFormat="1" ht="34.200000000000003">
      <c r="A6" s="53" t="str">
        <f t="shared" si="0"/>
        <v>RPK-INV-2026-002</v>
      </c>
      <c r="B6" s="79">
        <v>46258</v>
      </c>
      <c r="C6" s="79">
        <f>IF(B6="","",IFERROR(B6+MASTER!$AF$9,""))</f>
        <v>46263</v>
      </c>
      <c r="D6" s="52" t="s">
        <v>576</v>
      </c>
      <c r="E6" s="59" t="str">
        <f>IF(D6="","",IFERROR(INDEX(PERKARA!$B$5:$B$104,MATCH(D6,PERKARA!$A$5:$A$104,0)),"ID TIDAK TERDAFTAR"))</f>
        <v>PT KKG</v>
      </c>
      <c r="F6" s="53" t="s">
        <v>280</v>
      </c>
      <c r="G6" s="197">
        <v>33500000</v>
      </c>
      <c r="H6" s="197">
        <v>0</v>
      </c>
      <c r="I6" s="197">
        <v>0</v>
      </c>
      <c r="J6" s="198">
        <f t="shared" si="1"/>
        <v>33500000</v>
      </c>
      <c r="K6" s="198">
        <f>IF(A6="","",IF(AD6="",0,AD6)+SUMIFS(PEMASUKAN!$H$5:$H$204,PEMASUKAN!$G$5:$G$204,A6))</f>
        <v>0</v>
      </c>
      <c r="L6" s="198">
        <f t="shared" si="2"/>
        <v>33500000</v>
      </c>
      <c r="M6" s="224">
        <f t="shared" ca="1" si="3"/>
        <v>0</v>
      </c>
      <c r="N6" s="58" t="str">
        <f ca="1">IF(A6="","",IF(J6=0,"NILAI BELUM DIISI",IF(L6=0,"Lunas",IF(C6="","Belum Ada Jatuh Tempo",IF(TODAY()&gt;C6,IF(K6&gt;0,"Jatuh Tempo - Dibayar Sebagian","Jatuh Tempo"),IF(K6&gt;0,"Dibayar Sebagian",IF(C6-TODAY()&lt;=MASTER!$AF$5,"Segera Jatuh Tempo","Belum Dibayar")))))))</f>
        <v>Segera Jatuh Tempo</v>
      </c>
      <c r="O6" s="53" t="str">
        <f>IF(D6="","",IFERROR(INDEX(PERKARA!$D$5:$D$104,MATCH(D6,PERKARA!$A$5:$A$104,0)),""))</f>
        <v>Fajar Roni</v>
      </c>
      <c r="P6" s="54"/>
      <c r="Q6" s="53">
        <f>IF(D6="","",IFERROR(INDEX(PERKARA!$S$5:$S$104,MATCH(D6,PERKARA!$A$5:$A$104,0)),""))</f>
        <v>0</v>
      </c>
      <c r="R6" s="53" t="s">
        <v>1021</v>
      </c>
      <c r="S6" s="229">
        <f t="shared" ca="1" si="4"/>
        <v>33500000</v>
      </c>
      <c r="T6" s="229">
        <f t="shared" ca="1" si="5"/>
        <v>0</v>
      </c>
      <c r="U6" s="229">
        <f t="shared" ca="1" si="6"/>
        <v>0</v>
      </c>
      <c r="V6" s="229">
        <f t="shared" ca="1" si="7"/>
        <v>0</v>
      </c>
      <c r="W6" s="229">
        <f t="shared" ca="1" si="8"/>
        <v>0</v>
      </c>
      <c r="X6" s="199" t="str">
        <f t="shared" si="9"/>
        <v>OK</v>
      </c>
      <c r="Y6" s="200" t="s">
        <v>646</v>
      </c>
      <c r="Z6" s="200" t="s">
        <v>577</v>
      </c>
      <c r="AA6" s="201">
        <v>46258</v>
      </c>
      <c r="AB6" s="200"/>
      <c r="AC6" s="202" t="str">
        <f t="shared" si="10"/>
        <v>LENGKAP</v>
      </c>
      <c r="AD6" s="231"/>
    </row>
    <row r="7" spans="1:30" s="57" customFormat="1">
      <c r="A7" s="53" t="str">
        <f t="shared" si="0"/>
        <v/>
      </c>
      <c r="B7" s="79"/>
      <c r="C7" s="79"/>
      <c r="D7" s="52"/>
      <c r="E7" s="59" t="str">
        <f>IF(D7="","",IFERROR(INDEX(PERKARA!$B$5:$B$104,MATCH(D7,PERKARA!$A$5:$A$104,0)),"ID TIDAK TERDAFTAR"))</f>
        <v/>
      </c>
      <c r="F7" s="53"/>
      <c r="G7" s="197"/>
      <c r="H7" s="197"/>
      <c r="I7" s="197"/>
      <c r="J7" s="198" t="str">
        <f t="shared" si="1"/>
        <v/>
      </c>
      <c r="K7" s="198" t="str">
        <f>IF(A7="","",IF(AD7="",0,AD7)+SUMIFS(PEMASUKAN!$H$5:$H$204,PEMASUKAN!$G$5:$G$204,A7))</f>
        <v/>
      </c>
      <c r="L7" s="198" t="str">
        <f t="shared" si="2"/>
        <v/>
      </c>
      <c r="M7" s="224" t="str">
        <f t="shared" ca="1" si="3"/>
        <v/>
      </c>
      <c r="N7" s="58" t="str">
        <f ca="1">IF(A7="","",IF(J7=0,"NILAI BELUM DIISI",IF(L7=0,"Lunas",IF(C7="","Belum Ada Jatuh Tempo",IF(TODAY()&gt;C7,IF(K7&gt;0,"Jatuh Tempo - Dibayar Sebagian","Jatuh Tempo"),IF(K7&gt;0,"Dibayar Sebagian",IF(C7-TODAY()&lt;=MASTER!$AF$5,"Segera Jatuh Tempo","Belum Dibayar")))))))</f>
        <v/>
      </c>
      <c r="O7" s="53" t="str">
        <f>IF(D7="","",IFERROR(INDEX(PERKARA!$D$5:$D$104,MATCH(D7,PERKARA!$A$5:$A$104,0)),""))</f>
        <v/>
      </c>
      <c r="P7" s="54"/>
      <c r="Q7" s="53" t="str">
        <f>IF(D7="","",IFERROR(INDEX(PERKARA!$S$5:$S$104,MATCH(D7,PERKARA!$A$5:$A$104,0)),""))</f>
        <v/>
      </c>
      <c r="R7" s="53"/>
      <c r="S7" s="229" t="str">
        <f t="shared" ca="1" si="4"/>
        <v/>
      </c>
      <c r="T7" s="229" t="str">
        <f t="shared" si="5"/>
        <v/>
      </c>
      <c r="U7" s="229" t="str">
        <f t="shared" si="6"/>
        <v/>
      </c>
      <c r="V7" s="229" t="str">
        <f t="shared" si="7"/>
        <v/>
      </c>
      <c r="W7" s="229" t="str">
        <f t="shared" si="8"/>
        <v/>
      </c>
      <c r="X7" s="199" t="str">
        <f t="shared" si="9"/>
        <v/>
      </c>
      <c r="Y7" s="200"/>
      <c r="Z7" s="200"/>
      <c r="AA7" s="201"/>
      <c r="AB7" s="200"/>
      <c r="AC7" s="202" t="str">
        <f t="shared" si="10"/>
        <v/>
      </c>
      <c r="AD7" s="231"/>
    </row>
    <row r="8" spans="1:30" s="57" customFormat="1">
      <c r="A8" s="53" t="str">
        <f t="shared" si="0"/>
        <v/>
      </c>
      <c r="B8" s="79"/>
      <c r="C8" s="79" t="str">
        <f>IF(B8="","",IFERROR(B8+MASTER!$AF$9,""))</f>
        <v/>
      </c>
      <c r="D8" s="52"/>
      <c r="E8" s="59" t="str">
        <f>IF(D8="","",IFERROR(INDEX(PERKARA!$B$5:$B$104,MATCH(D8,PERKARA!$A$5:$A$104,0)),"ID TIDAK TERDAFTAR"))</f>
        <v/>
      </c>
      <c r="F8" s="53"/>
      <c r="G8" s="197"/>
      <c r="H8" s="197"/>
      <c r="I8" s="197"/>
      <c r="J8" s="198" t="str">
        <f t="shared" si="1"/>
        <v/>
      </c>
      <c r="K8" s="198" t="str">
        <f>IF(A8="","",IF(AD8="",0,AD8)+SUMIFS(PEMASUKAN!$H$5:$H$204,PEMASUKAN!$G$5:$G$204,A8))</f>
        <v/>
      </c>
      <c r="L8" s="198" t="str">
        <f t="shared" si="2"/>
        <v/>
      </c>
      <c r="M8" s="224" t="str">
        <f t="shared" ca="1" si="3"/>
        <v/>
      </c>
      <c r="N8" s="58" t="str">
        <f ca="1">IF(A8="","",IF(J8=0,"NILAI BELUM DIISI",IF(L8=0,"Lunas",IF(C8="","Belum Ada Jatuh Tempo",IF(TODAY()&gt;C8,IF(K8&gt;0,"Jatuh Tempo - Dibayar Sebagian","Jatuh Tempo"),IF(K8&gt;0,"Dibayar Sebagian",IF(C8-TODAY()&lt;=MASTER!$AF$5,"Segera Jatuh Tempo","Belum Dibayar")))))))</f>
        <v/>
      </c>
      <c r="O8" s="53" t="str">
        <f>IF(D8="","",IFERROR(INDEX(PERKARA!$D$5:$D$104,MATCH(D8,PERKARA!$A$5:$A$104,0)),""))</f>
        <v/>
      </c>
      <c r="P8" s="54"/>
      <c r="Q8" s="53" t="str">
        <f>IF(D8="","",IFERROR(INDEX(PERKARA!$S$5:$S$104,MATCH(D8,PERKARA!$A$5:$A$104,0)),""))</f>
        <v/>
      </c>
      <c r="R8" s="53"/>
      <c r="S8" s="229" t="str">
        <f t="shared" ca="1" si="4"/>
        <v/>
      </c>
      <c r="T8" s="229" t="str">
        <f t="shared" si="5"/>
        <v/>
      </c>
      <c r="U8" s="229" t="str">
        <f t="shared" si="6"/>
        <v/>
      </c>
      <c r="V8" s="229" t="str">
        <f t="shared" si="7"/>
        <v/>
      </c>
      <c r="W8" s="229" t="str">
        <f t="shared" si="8"/>
        <v/>
      </c>
      <c r="X8" s="199" t="str">
        <f t="shared" si="9"/>
        <v/>
      </c>
      <c r="Y8" s="200"/>
      <c r="Z8" s="200"/>
      <c r="AA8" s="201"/>
      <c r="AB8" s="200"/>
      <c r="AC8" s="202" t="str">
        <f t="shared" si="10"/>
        <v/>
      </c>
      <c r="AD8" s="231"/>
    </row>
    <row r="9" spans="1:30" s="57" customFormat="1">
      <c r="A9" s="53" t="str">
        <f t="shared" si="0"/>
        <v/>
      </c>
      <c r="B9" s="79"/>
      <c r="C9" s="79" t="str">
        <f>IF(B9="","",IFERROR(B9+MASTER!$AF$9,""))</f>
        <v/>
      </c>
      <c r="D9" s="52"/>
      <c r="E9" s="59" t="str">
        <f>IF(D9="","",IFERROR(INDEX(PERKARA!$B$5:$B$104,MATCH(D9,PERKARA!$A$5:$A$104,0)),"ID TIDAK TERDAFTAR"))</f>
        <v/>
      </c>
      <c r="F9" s="53"/>
      <c r="G9" s="197"/>
      <c r="H9" s="197"/>
      <c r="I9" s="197"/>
      <c r="J9" s="198" t="str">
        <f t="shared" si="1"/>
        <v/>
      </c>
      <c r="K9" s="198" t="str">
        <f>IF(A9="","",IF(AD9="",0,AD9)+SUMIFS(PEMASUKAN!$H$5:$H$204,PEMASUKAN!$G$5:$G$204,A9))</f>
        <v/>
      </c>
      <c r="L9" s="198" t="str">
        <f t="shared" si="2"/>
        <v/>
      </c>
      <c r="M9" s="224" t="str">
        <f t="shared" ca="1" si="3"/>
        <v/>
      </c>
      <c r="N9" s="58" t="str">
        <f ca="1">IF(A9="","",IF(J9=0,"NILAI BELUM DIISI",IF(L9=0,"Lunas",IF(C9="","Belum Ada Jatuh Tempo",IF(TODAY()&gt;C9,IF(K9&gt;0,"Jatuh Tempo - Dibayar Sebagian","Jatuh Tempo"),IF(K9&gt;0,"Dibayar Sebagian",IF(C9-TODAY()&lt;=MASTER!$AF$5,"Segera Jatuh Tempo","Belum Dibayar")))))))</f>
        <v/>
      </c>
      <c r="O9" s="53" t="str">
        <f>IF(D9="","",IFERROR(INDEX(PERKARA!$D$5:$D$104,MATCH(D9,PERKARA!$A$5:$A$104,0)),""))</f>
        <v/>
      </c>
      <c r="P9" s="54"/>
      <c r="Q9" s="53" t="str">
        <f>IF(D9="","",IFERROR(INDEX(PERKARA!$S$5:$S$104,MATCH(D9,PERKARA!$A$5:$A$104,0)),""))</f>
        <v/>
      </c>
      <c r="R9" s="53"/>
      <c r="S9" s="229" t="str">
        <f t="shared" ca="1" si="4"/>
        <v/>
      </c>
      <c r="T9" s="229" t="str">
        <f t="shared" si="5"/>
        <v/>
      </c>
      <c r="U9" s="229" t="str">
        <f t="shared" si="6"/>
        <v/>
      </c>
      <c r="V9" s="229" t="str">
        <f t="shared" si="7"/>
        <v/>
      </c>
      <c r="W9" s="229" t="str">
        <f t="shared" si="8"/>
        <v/>
      </c>
      <c r="X9" s="199" t="str">
        <f t="shared" si="9"/>
        <v/>
      </c>
      <c r="Y9" s="200"/>
      <c r="Z9" s="200"/>
      <c r="AA9" s="201"/>
      <c r="AB9" s="200"/>
      <c r="AC9" s="202" t="str">
        <f t="shared" si="10"/>
        <v/>
      </c>
      <c r="AD9" s="231"/>
    </row>
    <row r="10" spans="1:30" s="57" customFormat="1">
      <c r="A10" s="53" t="str">
        <f t="shared" si="0"/>
        <v/>
      </c>
      <c r="B10" s="79"/>
      <c r="C10" s="79" t="str">
        <f>IF(B10="","",IFERROR(B10+MASTER!$AF$9,""))</f>
        <v/>
      </c>
      <c r="D10" s="52"/>
      <c r="E10" s="59" t="str">
        <f>IF(D10="","",IFERROR(INDEX(PERKARA!$B$5:$B$104,MATCH(D10,PERKARA!$A$5:$A$104,0)),"ID TIDAK TERDAFTAR"))</f>
        <v/>
      </c>
      <c r="F10" s="53"/>
      <c r="G10" s="197"/>
      <c r="H10" s="197"/>
      <c r="I10" s="197"/>
      <c r="J10" s="198" t="str">
        <f t="shared" si="1"/>
        <v/>
      </c>
      <c r="K10" s="198" t="str">
        <f>IF(A10="","",IF(AD10="",0,AD10)+SUMIFS(PEMASUKAN!$H$5:$H$204,PEMASUKAN!$G$5:$G$204,A10))</f>
        <v/>
      </c>
      <c r="L10" s="198" t="str">
        <f t="shared" si="2"/>
        <v/>
      </c>
      <c r="M10" s="224" t="str">
        <f t="shared" ca="1" si="3"/>
        <v/>
      </c>
      <c r="N10" s="58" t="str">
        <f ca="1">IF(A10="","",IF(J10=0,"NILAI BELUM DIISI",IF(L10=0,"Lunas",IF(C10="","Belum Ada Jatuh Tempo",IF(TODAY()&gt;C10,IF(K10&gt;0,"Jatuh Tempo - Dibayar Sebagian","Jatuh Tempo"),IF(K10&gt;0,"Dibayar Sebagian",IF(C10-TODAY()&lt;=MASTER!$AF$5,"Segera Jatuh Tempo","Belum Dibayar")))))))</f>
        <v/>
      </c>
      <c r="O10" s="53" t="str">
        <f>IF(D10="","",IFERROR(INDEX(PERKARA!$D$5:$D$104,MATCH(D10,PERKARA!$A$5:$A$104,0)),""))</f>
        <v/>
      </c>
      <c r="P10" s="54"/>
      <c r="Q10" s="53" t="str">
        <f>IF(D10="","",IFERROR(INDEX(PERKARA!$S$5:$S$104,MATCH(D10,PERKARA!$A$5:$A$104,0)),""))</f>
        <v/>
      </c>
      <c r="R10" s="53"/>
      <c r="S10" s="229" t="str">
        <f t="shared" ca="1" si="4"/>
        <v/>
      </c>
      <c r="T10" s="229" t="str">
        <f t="shared" si="5"/>
        <v/>
      </c>
      <c r="U10" s="229" t="str">
        <f t="shared" si="6"/>
        <v/>
      </c>
      <c r="V10" s="229" t="str">
        <f t="shared" si="7"/>
        <v/>
      </c>
      <c r="W10" s="229" t="str">
        <f t="shared" si="8"/>
        <v/>
      </c>
      <c r="X10" s="199" t="str">
        <f t="shared" si="9"/>
        <v/>
      </c>
      <c r="Y10" s="200"/>
      <c r="Z10" s="200"/>
      <c r="AA10" s="201"/>
      <c r="AB10" s="200"/>
      <c r="AC10" s="202" t="str">
        <f t="shared" si="10"/>
        <v/>
      </c>
      <c r="AD10" s="231"/>
    </row>
    <row r="11" spans="1:30" s="57" customFormat="1">
      <c r="A11" s="53" t="str">
        <f t="shared" si="0"/>
        <v/>
      </c>
      <c r="B11" s="79"/>
      <c r="C11" s="79" t="str">
        <f>IF(B11="","",IFERROR(B11+MASTER!$AF$9,""))</f>
        <v/>
      </c>
      <c r="D11" s="52"/>
      <c r="E11" s="59" t="str">
        <f>IF(D11="","",IFERROR(INDEX(PERKARA!$B$5:$B$104,MATCH(D11,PERKARA!$A$5:$A$104,0)),"ID TIDAK TERDAFTAR"))</f>
        <v/>
      </c>
      <c r="F11" s="53"/>
      <c r="G11" s="197"/>
      <c r="H11" s="197"/>
      <c r="I11" s="197"/>
      <c r="J11" s="198" t="str">
        <f t="shared" si="1"/>
        <v/>
      </c>
      <c r="K11" s="198" t="str">
        <f>IF(A11="","",IF(AD11="",0,AD11)+SUMIFS(PEMASUKAN!$H$5:$H$204,PEMASUKAN!$G$5:$G$204,A11))</f>
        <v/>
      </c>
      <c r="L11" s="198" t="str">
        <f t="shared" si="2"/>
        <v/>
      </c>
      <c r="M11" s="224" t="str">
        <f t="shared" ca="1" si="3"/>
        <v/>
      </c>
      <c r="N11" s="58" t="str">
        <f ca="1">IF(A11="","",IF(J11=0,"NILAI BELUM DIISI",IF(L11=0,"Lunas",IF(C11="","Belum Ada Jatuh Tempo",IF(TODAY()&gt;C11,IF(K11&gt;0,"Jatuh Tempo - Dibayar Sebagian","Jatuh Tempo"),IF(K11&gt;0,"Dibayar Sebagian",IF(C11-TODAY()&lt;=MASTER!$AF$5,"Segera Jatuh Tempo","Belum Dibayar")))))))</f>
        <v/>
      </c>
      <c r="O11" s="53" t="str">
        <f>IF(D11="","",IFERROR(INDEX(PERKARA!$D$5:$D$104,MATCH(D11,PERKARA!$A$5:$A$104,0)),""))</f>
        <v/>
      </c>
      <c r="P11" s="54"/>
      <c r="Q11" s="53" t="str">
        <f>IF(D11="","",IFERROR(INDEX(PERKARA!$S$5:$S$104,MATCH(D11,PERKARA!$A$5:$A$104,0)),""))</f>
        <v/>
      </c>
      <c r="R11" s="53"/>
      <c r="S11" s="229" t="str">
        <f t="shared" ca="1" si="4"/>
        <v/>
      </c>
      <c r="T11" s="229" t="str">
        <f t="shared" si="5"/>
        <v/>
      </c>
      <c r="U11" s="229" t="str">
        <f t="shared" si="6"/>
        <v/>
      </c>
      <c r="V11" s="229" t="str">
        <f t="shared" si="7"/>
        <v/>
      </c>
      <c r="W11" s="229" t="str">
        <f t="shared" si="8"/>
        <v/>
      </c>
      <c r="X11" s="199" t="str">
        <f t="shared" si="9"/>
        <v/>
      </c>
      <c r="Y11" s="200"/>
      <c r="Z11" s="200"/>
      <c r="AA11" s="201"/>
      <c r="AB11" s="200"/>
      <c r="AC11" s="202" t="str">
        <f t="shared" si="10"/>
        <v/>
      </c>
      <c r="AD11" s="231"/>
    </row>
    <row r="12" spans="1:30" s="57" customFormat="1">
      <c r="A12" s="53" t="str">
        <f t="shared" si="0"/>
        <v/>
      </c>
      <c r="B12" s="79"/>
      <c r="C12" s="79" t="str">
        <f>IF(B12="","",IFERROR(B12+MASTER!$AF$9,""))</f>
        <v/>
      </c>
      <c r="D12" s="52"/>
      <c r="E12" s="59" t="str">
        <f>IF(D12="","",IFERROR(INDEX(PERKARA!$B$5:$B$104,MATCH(D12,PERKARA!$A$5:$A$104,0)),"ID TIDAK TERDAFTAR"))</f>
        <v/>
      </c>
      <c r="F12" s="53"/>
      <c r="G12" s="197"/>
      <c r="H12" s="197"/>
      <c r="I12" s="197"/>
      <c r="J12" s="198" t="str">
        <f t="shared" si="1"/>
        <v/>
      </c>
      <c r="K12" s="198" t="str">
        <f>IF(A12="","",IF(AD12="",0,AD12)+SUMIFS(PEMASUKAN!$H$5:$H$204,PEMASUKAN!$G$5:$G$204,A12))</f>
        <v/>
      </c>
      <c r="L12" s="198" t="str">
        <f t="shared" si="2"/>
        <v/>
      </c>
      <c r="M12" s="224" t="str">
        <f t="shared" ca="1" si="3"/>
        <v/>
      </c>
      <c r="N12" s="58" t="str">
        <f ca="1">IF(A12="","",IF(J12=0,"NILAI BELUM DIISI",IF(L12=0,"Lunas",IF(C12="","Belum Ada Jatuh Tempo",IF(TODAY()&gt;C12,IF(K12&gt;0,"Jatuh Tempo - Dibayar Sebagian","Jatuh Tempo"),IF(K12&gt;0,"Dibayar Sebagian",IF(C12-TODAY()&lt;=MASTER!$AF$5,"Segera Jatuh Tempo","Belum Dibayar")))))))</f>
        <v/>
      </c>
      <c r="O12" s="53" t="str">
        <f>IF(D12="","",IFERROR(INDEX(PERKARA!$D$5:$D$104,MATCH(D12,PERKARA!$A$5:$A$104,0)),""))</f>
        <v/>
      </c>
      <c r="P12" s="54"/>
      <c r="Q12" s="53" t="str">
        <f>IF(D12="","",IFERROR(INDEX(PERKARA!$S$5:$S$104,MATCH(D12,PERKARA!$A$5:$A$104,0)),""))</f>
        <v/>
      </c>
      <c r="R12" s="53"/>
      <c r="S12" s="229" t="str">
        <f t="shared" ca="1" si="4"/>
        <v/>
      </c>
      <c r="T12" s="229" t="str">
        <f t="shared" si="5"/>
        <v/>
      </c>
      <c r="U12" s="229" t="str">
        <f t="shared" si="6"/>
        <v/>
      </c>
      <c r="V12" s="229" t="str">
        <f t="shared" si="7"/>
        <v/>
      </c>
      <c r="W12" s="229" t="str">
        <f t="shared" si="8"/>
        <v/>
      </c>
      <c r="X12" s="199" t="str">
        <f t="shared" si="9"/>
        <v/>
      </c>
      <c r="Y12" s="200"/>
      <c r="Z12" s="200"/>
      <c r="AA12" s="201"/>
      <c r="AB12" s="200"/>
      <c r="AC12" s="202" t="str">
        <f t="shared" si="10"/>
        <v/>
      </c>
      <c r="AD12" s="231"/>
    </row>
    <row r="13" spans="1:30" s="57" customFormat="1">
      <c r="A13" s="53" t="str">
        <f t="shared" si="0"/>
        <v/>
      </c>
      <c r="B13" s="79"/>
      <c r="C13" s="79" t="str">
        <f>IF(B13="","",IFERROR(B13+MASTER!$AF$9,""))</f>
        <v/>
      </c>
      <c r="D13" s="52"/>
      <c r="E13" s="59" t="str">
        <f>IF(D13="","",IFERROR(INDEX(PERKARA!$B$5:$B$104,MATCH(D13,PERKARA!$A$5:$A$104,0)),"ID TIDAK TERDAFTAR"))</f>
        <v/>
      </c>
      <c r="F13" s="53"/>
      <c r="G13" s="197"/>
      <c r="H13" s="197"/>
      <c r="I13" s="197"/>
      <c r="J13" s="198" t="str">
        <f t="shared" si="1"/>
        <v/>
      </c>
      <c r="K13" s="198" t="str">
        <f>IF(A13="","",IF(AD13="",0,AD13)+SUMIFS(PEMASUKAN!$H$5:$H$204,PEMASUKAN!$G$5:$G$204,A13))</f>
        <v/>
      </c>
      <c r="L13" s="198" t="str">
        <f t="shared" si="2"/>
        <v/>
      </c>
      <c r="M13" s="224" t="str">
        <f t="shared" ca="1" si="3"/>
        <v/>
      </c>
      <c r="N13" s="58" t="str">
        <f ca="1">IF(A13="","",IF(J13=0,"NILAI BELUM DIISI",IF(L13=0,"Lunas",IF(C13="","Belum Ada Jatuh Tempo",IF(TODAY()&gt;C13,IF(K13&gt;0,"Jatuh Tempo - Dibayar Sebagian","Jatuh Tempo"),IF(K13&gt;0,"Dibayar Sebagian",IF(C13-TODAY()&lt;=MASTER!$AF$5,"Segera Jatuh Tempo","Belum Dibayar")))))))</f>
        <v/>
      </c>
      <c r="O13" s="53" t="str">
        <f>IF(D13="","",IFERROR(INDEX(PERKARA!$D$5:$D$104,MATCH(D13,PERKARA!$A$5:$A$104,0)),""))</f>
        <v/>
      </c>
      <c r="P13" s="54"/>
      <c r="Q13" s="53" t="str">
        <f>IF(D13="","",IFERROR(INDEX(PERKARA!$S$5:$S$104,MATCH(D13,PERKARA!$A$5:$A$104,0)),""))</f>
        <v/>
      </c>
      <c r="R13" s="53"/>
      <c r="S13" s="229" t="str">
        <f t="shared" ca="1" si="4"/>
        <v/>
      </c>
      <c r="T13" s="229" t="str">
        <f t="shared" si="5"/>
        <v/>
      </c>
      <c r="U13" s="229" t="str">
        <f t="shared" si="6"/>
        <v/>
      </c>
      <c r="V13" s="229" t="str">
        <f t="shared" si="7"/>
        <v/>
      </c>
      <c r="W13" s="229" t="str">
        <f t="shared" si="8"/>
        <v/>
      </c>
      <c r="X13" s="199" t="str">
        <f t="shared" si="9"/>
        <v/>
      </c>
      <c r="Y13" s="200"/>
      <c r="Z13" s="200"/>
      <c r="AA13" s="201"/>
      <c r="AB13" s="200"/>
      <c r="AC13" s="202" t="str">
        <f t="shared" si="10"/>
        <v/>
      </c>
      <c r="AD13" s="231"/>
    </row>
    <row r="14" spans="1:30" s="57" customFormat="1">
      <c r="A14" s="53" t="str">
        <f t="shared" si="0"/>
        <v/>
      </c>
      <c r="B14" s="79"/>
      <c r="C14" s="79" t="str">
        <f>IF(B14="","",IFERROR(B14+MASTER!$AF$9,""))</f>
        <v/>
      </c>
      <c r="D14" s="52"/>
      <c r="E14" s="59" t="str">
        <f>IF(D14="","",IFERROR(INDEX(PERKARA!$B$5:$B$104,MATCH(D14,PERKARA!$A$5:$A$104,0)),"ID TIDAK TERDAFTAR"))</f>
        <v/>
      </c>
      <c r="F14" s="53"/>
      <c r="G14" s="197"/>
      <c r="H14" s="197"/>
      <c r="I14" s="197"/>
      <c r="J14" s="198" t="str">
        <f t="shared" si="1"/>
        <v/>
      </c>
      <c r="K14" s="198" t="str">
        <f>IF(A14="","",IF(AD14="",0,AD14)+SUMIFS(PEMASUKAN!$H$5:$H$204,PEMASUKAN!$G$5:$G$204,A14))</f>
        <v/>
      </c>
      <c r="L14" s="198" t="str">
        <f t="shared" si="2"/>
        <v/>
      </c>
      <c r="M14" s="224" t="str">
        <f t="shared" ca="1" si="3"/>
        <v/>
      </c>
      <c r="N14" s="58" t="str">
        <f ca="1">IF(A14="","",IF(J14=0,"NILAI BELUM DIISI",IF(L14=0,"Lunas",IF(C14="","Belum Ada Jatuh Tempo",IF(TODAY()&gt;C14,IF(K14&gt;0,"Jatuh Tempo - Dibayar Sebagian","Jatuh Tempo"),IF(K14&gt;0,"Dibayar Sebagian",IF(C14-TODAY()&lt;=MASTER!$AF$5,"Segera Jatuh Tempo","Belum Dibayar")))))))</f>
        <v/>
      </c>
      <c r="O14" s="53" t="str">
        <f>IF(D14="","",IFERROR(INDEX(PERKARA!$D$5:$D$104,MATCH(D14,PERKARA!$A$5:$A$104,0)),""))</f>
        <v/>
      </c>
      <c r="P14" s="54"/>
      <c r="Q14" s="53" t="str">
        <f>IF(D14="","",IFERROR(INDEX(PERKARA!$S$5:$S$104,MATCH(D14,PERKARA!$A$5:$A$104,0)),""))</f>
        <v/>
      </c>
      <c r="R14" s="53"/>
      <c r="S14" s="229" t="str">
        <f t="shared" ca="1" si="4"/>
        <v/>
      </c>
      <c r="T14" s="229" t="str">
        <f t="shared" si="5"/>
        <v/>
      </c>
      <c r="U14" s="229" t="str">
        <f t="shared" si="6"/>
        <v/>
      </c>
      <c r="V14" s="229" t="str">
        <f t="shared" si="7"/>
        <v/>
      </c>
      <c r="W14" s="229" t="str">
        <f t="shared" si="8"/>
        <v/>
      </c>
      <c r="X14" s="199" t="str">
        <f t="shared" si="9"/>
        <v/>
      </c>
      <c r="Y14" s="200"/>
      <c r="Z14" s="200"/>
      <c r="AA14" s="201"/>
      <c r="AB14" s="200"/>
      <c r="AC14" s="202" t="str">
        <f t="shared" si="10"/>
        <v/>
      </c>
      <c r="AD14" s="231"/>
    </row>
    <row r="15" spans="1:30" s="57" customFormat="1">
      <c r="A15" s="53" t="str">
        <f t="shared" si="0"/>
        <v/>
      </c>
      <c r="B15" s="79"/>
      <c r="C15" s="79" t="str">
        <f>IF(B15="","",IFERROR(B15+MASTER!$AF$9,""))</f>
        <v/>
      </c>
      <c r="D15" s="52"/>
      <c r="E15" s="59" t="str">
        <f>IF(D15="","",IFERROR(INDEX(PERKARA!$B$5:$B$104,MATCH(D15,PERKARA!$A$5:$A$104,0)),"ID TIDAK TERDAFTAR"))</f>
        <v/>
      </c>
      <c r="F15" s="53"/>
      <c r="G15" s="197"/>
      <c r="H15" s="197"/>
      <c r="I15" s="197"/>
      <c r="J15" s="198" t="str">
        <f t="shared" si="1"/>
        <v/>
      </c>
      <c r="K15" s="198" t="str">
        <f>IF(A15="","",IF(AD15="",0,AD15)+SUMIFS(PEMASUKAN!$H$5:$H$204,PEMASUKAN!$G$5:$G$204,A15))</f>
        <v/>
      </c>
      <c r="L15" s="198" t="str">
        <f t="shared" si="2"/>
        <v/>
      </c>
      <c r="M15" s="224" t="str">
        <f t="shared" ca="1" si="3"/>
        <v/>
      </c>
      <c r="N15" s="58" t="str">
        <f ca="1">IF(A15="","",IF(J15=0,"NILAI BELUM DIISI",IF(L15=0,"Lunas",IF(C15="","Belum Ada Jatuh Tempo",IF(TODAY()&gt;C15,IF(K15&gt;0,"Jatuh Tempo - Dibayar Sebagian","Jatuh Tempo"),IF(K15&gt;0,"Dibayar Sebagian",IF(C15-TODAY()&lt;=MASTER!$AF$5,"Segera Jatuh Tempo","Belum Dibayar")))))))</f>
        <v/>
      </c>
      <c r="O15" s="53" t="str">
        <f>IF(D15="","",IFERROR(INDEX(PERKARA!$D$5:$D$104,MATCH(D15,PERKARA!$A$5:$A$104,0)),""))</f>
        <v/>
      </c>
      <c r="P15" s="54"/>
      <c r="Q15" s="53" t="str">
        <f>IF(D15="","",IFERROR(INDEX(PERKARA!$S$5:$S$104,MATCH(D15,PERKARA!$A$5:$A$104,0)),""))</f>
        <v/>
      </c>
      <c r="R15" s="53"/>
      <c r="S15" s="229" t="str">
        <f t="shared" ca="1" si="4"/>
        <v/>
      </c>
      <c r="T15" s="229" t="str">
        <f t="shared" si="5"/>
        <v/>
      </c>
      <c r="U15" s="229" t="str">
        <f t="shared" si="6"/>
        <v/>
      </c>
      <c r="V15" s="229" t="str">
        <f t="shared" si="7"/>
        <v/>
      </c>
      <c r="W15" s="229" t="str">
        <f t="shared" si="8"/>
        <v/>
      </c>
      <c r="X15" s="199" t="str">
        <f t="shared" si="9"/>
        <v/>
      </c>
      <c r="Y15" s="200"/>
      <c r="Z15" s="200"/>
      <c r="AA15" s="201"/>
      <c r="AB15" s="200"/>
      <c r="AC15" s="202" t="str">
        <f t="shared" si="10"/>
        <v/>
      </c>
      <c r="AD15" s="231"/>
    </row>
    <row r="16" spans="1:30" s="57" customFormat="1">
      <c r="A16" s="53" t="str">
        <f t="shared" si="0"/>
        <v/>
      </c>
      <c r="B16" s="79"/>
      <c r="C16" s="79" t="str">
        <f>IF(B16="","",IFERROR(B16+MASTER!$AF$9,""))</f>
        <v/>
      </c>
      <c r="D16" s="52"/>
      <c r="E16" s="59" t="str">
        <f>IF(D16="","",IFERROR(INDEX(PERKARA!$B$5:$B$104,MATCH(D16,PERKARA!$A$5:$A$104,0)),"ID TIDAK TERDAFTAR"))</f>
        <v/>
      </c>
      <c r="F16" s="53"/>
      <c r="G16" s="197"/>
      <c r="H16" s="197"/>
      <c r="I16" s="197"/>
      <c r="J16" s="198" t="str">
        <f t="shared" si="1"/>
        <v/>
      </c>
      <c r="K16" s="198" t="str">
        <f>IF(A16="","",IF(AD16="",0,AD16)+SUMIFS(PEMASUKAN!$H$5:$H$204,PEMASUKAN!$G$5:$G$204,A16))</f>
        <v/>
      </c>
      <c r="L16" s="198" t="str">
        <f t="shared" si="2"/>
        <v/>
      </c>
      <c r="M16" s="224" t="str">
        <f t="shared" ca="1" si="3"/>
        <v/>
      </c>
      <c r="N16" s="58" t="str">
        <f ca="1">IF(A16="","",IF(J16=0,"NILAI BELUM DIISI",IF(L16=0,"Lunas",IF(C16="","Belum Ada Jatuh Tempo",IF(TODAY()&gt;C16,IF(K16&gt;0,"Jatuh Tempo - Dibayar Sebagian","Jatuh Tempo"),IF(K16&gt;0,"Dibayar Sebagian",IF(C16-TODAY()&lt;=MASTER!$AF$5,"Segera Jatuh Tempo","Belum Dibayar")))))))</f>
        <v/>
      </c>
      <c r="O16" s="53" t="str">
        <f>IF(D16="","",IFERROR(INDEX(PERKARA!$D$5:$D$104,MATCH(D16,PERKARA!$A$5:$A$104,0)),""))</f>
        <v/>
      </c>
      <c r="P16" s="54"/>
      <c r="Q16" s="53" t="str">
        <f>IF(D16="","",IFERROR(INDEX(PERKARA!$S$5:$S$104,MATCH(D16,PERKARA!$A$5:$A$104,0)),""))</f>
        <v/>
      </c>
      <c r="R16" s="53"/>
      <c r="S16" s="229" t="str">
        <f t="shared" ca="1" si="4"/>
        <v/>
      </c>
      <c r="T16" s="229" t="str">
        <f t="shared" si="5"/>
        <v/>
      </c>
      <c r="U16" s="229" t="str">
        <f t="shared" si="6"/>
        <v/>
      </c>
      <c r="V16" s="229" t="str">
        <f t="shared" si="7"/>
        <v/>
      </c>
      <c r="W16" s="229" t="str">
        <f t="shared" si="8"/>
        <v/>
      </c>
      <c r="X16" s="199" t="str">
        <f t="shared" si="9"/>
        <v/>
      </c>
      <c r="Y16" s="200"/>
      <c r="Z16" s="200"/>
      <c r="AA16" s="201"/>
      <c r="AB16" s="200"/>
      <c r="AC16" s="202" t="str">
        <f t="shared" si="10"/>
        <v/>
      </c>
      <c r="AD16" s="231"/>
    </row>
    <row r="17" spans="1:30" s="57" customFormat="1">
      <c r="A17" s="53" t="str">
        <f t="shared" si="0"/>
        <v/>
      </c>
      <c r="B17" s="79"/>
      <c r="C17" s="79" t="str">
        <f>IF(B17="","",IFERROR(B17+MASTER!$AF$9,""))</f>
        <v/>
      </c>
      <c r="D17" s="52"/>
      <c r="E17" s="59" t="str">
        <f>IF(D17="","",IFERROR(INDEX(PERKARA!$B$5:$B$104,MATCH(D17,PERKARA!$A$5:$A$104,0)),"ID TIDAK TERDAFTAR"))</f>
        <v/>
      </c>
      <c r="F17" s="53"/>
      <c r="G17" s="197"/>
      <c r="H17" s="197"/>
      <c r="I17" s="197"/>
      <c r="J17" s="198" t="str">
        <f t="shared" si="1"/>
        <v/>
      </c>
      <c r="K17" s="198" t="str">
        <f>IF(A17="","",IF(AD17="",0,AD17)+SUMIFS(PEMASUKAN!$H$5:$H$204,PEMASUKAN!$G$5:$G$204,A17))</f>
        <v/>
      </c>
      <c r="L17" s="198" t="str">
        <f t="shared" si="2"/>
        <v/>
      </c>
      <c r="M17" s="224" t="str">
        <f t="shared" ca="1" si="3"/>
        <v/>
      </c>
      <c r="N17" s="58" t="str">
        <f ca="1">IF(A17="","",IF(J17=0,"NILAI BELUM DIISI",IF(L17=0,"Lunas",IF(C17="","Belum Ada Jatuh Tempo",IF(TODAY()&gt;C17,IF(K17&gt;0,"Jatuh Tempo - Dibayar Sebagian","Jatuh Tempo"),IF(K17&gt;0,"Dibayar Sebagian",IF(C17-TODAY()&lt;=MASTER!$AF$5,"Segera Jatuh Tempo","Belum Dibayar")))))))</f>
        <v/>
      </c>
      <c r="O17" s="53" t="str">
        <f>IF(D17="","",IFERROR(INDEX(PERKARA!$D$5:$D$104,MATCH(D17,PERKARA!$A$5:$A$104,0)),""))</f>
        <v/>
      </c>
      <c r="P17" s="54"/>
      <c r="Q17" s="53" t="str">
        <f>IF(D17="","",IFERROR(INDEX(PERKARA!$S$5:$S$104,MATCH(D17,PERKARA!$A$5:$A$104,0)),""))</f>
        <v/>
      </c>
      <c r="R17" s="53"/>
      <c r="S17" s="229" t="str">
        <f t="shared" ca="1" si="4"/>
        <v/>
      </c>
      <c r="T17" s="229" t="str">
        <f t="shared" si="5"/>
        <v/>
      </c>
      <c r="U17" s="229" t="str">
        <f t="shared" si="6"/>
        <v/>
      </c>
      <c r="V17" s="229" t="str">
        <f t="shared" si="7"/>
        <v/>
      </c>
      <c r="W17" s="229" t="str">
        <f t="shared" si="8"/>
        <v/>
      </c>
      <c r="X17" s="199" t="str">
        <f t="shared" si="9"/>
        <v/>
      </c>
      <c r="Y17" s="200"/>
      <c r="Z17" s="200"/>
      <c r="AA17" s="201"/>
      <c r="AB17" s="200"/>
      <c r="AC17" s="202" t="str">
        <f t="shared" si="10"/>
        <v/>
      </c>
      <c r="AD17" s="231"/>
    </row>
    <row r="18" spans="1:30" s="57" customFormat="1">
      <c r="A18" s="53" t="str">
        <f t="shared" si="0"/>
        <v/>
      </c>
      <c r="B18" s="79"/>
      <c r="C18" s="79" t="str">
        <f>IF(B18="","",IFERROR(B18+MASTER!$AF$9,""))</f>
        <v/>
      </c>
      <c r="D18" s="52"/>
      <c r="E18" s="59" t="str">
        <f>IF(D18="","",IFERROR(INDEX(PERKARA!$B$5:$B$104,MATCH(D18,PERKARA!$A$5:$A$104,0)),"ID TIDAK TERDAFTAR"))</f>
        <v/>
      </c>
      <c r="F18" s="53"/>
      <c r="G18" s="197"/>
      <c r="H18" s="197"/>
      <c r="I18" s="197"/>
      <c r="J18" s="198" t="str">
        <f t="shared" si="1"/>
        <v/>
      </c>
      <c r="K18" s="198" t="str">
        <f>IF(A18="","",IF(AD18="",0,AD18)+SUMIFS(PEMASUKAN!$H$5:$H$204,PEMASUKAN!$G$5:$G$204,A18))</f>
        <v/>
      </c>
      <c r="L18" s="198" t="str">
        <f t="shared" si="2"/>
        <v/>
      </c>
      <c r="M18" s="224" t="str">
        <f t="shared" ca="1" si="3"/>
        <v/>
      </c>
      <c r="N18" s="58" t="str">
        <f ca="1">IF(A18="","",IF(J18=0,"NILAI BELUM DIISI",IF(L18=0,"Lunas",IF(C18="","Belum Ada Jatuh Tempo",IF(TODAY()&gt;C18,IF(K18&gt;0,"Jatuh Tempo - Dibayar Sebagian","Jatuh Tempo"),IF(K18&gt;0,"Dibayar Sebagian",IF(C18-TODAY()&lt;=MASTER!$AF$5,"Segera Jatuh Tempo","Belum Dibayar")))))))</f>
        <v/>
      </c>
      <c r="O18" s="53" t="str">
        <f>IF(D18="","",IFERROR(INDEX(PERKARA!$D$5:$D$104,MATCH(D18,PERKARA!$A$5:$A$104,0)),""))</f>
        <v/>
      </c>
      <c r="P18" s="54"/>
      <c r="Q18" s="53" t="str">
        <f>IF(D18="","",IFERROR(INDEX(PERKARA!$S$5:$S$104,MATCH(D18,PERKARA!$A$5:$A$104,0)),""))</f>
        <v/>
      </c>
      <c r="R18" s="53"/>
      <c r="S18" s="229" t="str">
        <f t="shared" ca="1" si="4"/>
        <v/>
      </c>
      <c r="T18" s="229" t="str">
        <f t="shared" si="5"/>
        <v/>
      </c>
      <c r="U18" s="229" t="str">
        <f t="shared" si="6"/>
        <v/>
      </c>
      <c r="V18" s="229" t="str">
        <f t="shared" si="7"/>
        <v/>
      </c>
      <c r="W18" s="229" t="str">
        <f t="shared" si="8"/>
        <v/>
      </c>
      <c r="X18" s="199" t="str">
        <f t="shared" si="9"/>
        <v/>
      </c>
      <c r="Y18" s="200"/>
      <c r="Z18" s="200"/>
      <c r="AA18" s="201"/>
      <c r="AB18" s="200"/>
      <c r="AC18" s="202" t="str">
        <f t="shared" si="10"/>
        <v/>
      </c>
      <c r="AD18" s="231"/>
    </row>
    <row r="19" spans="1:30" s="57" customFormat="1">
      <c r="A19" s="53" t="str">
        <f t="shared" si="0"/>
        <v/>
      </c>
      <c r="B19" s="79"/>
      <c r="C19" s="79" t="str">
        <f>IF(B19="","",IFERROR(B19+MASTER!$AF$9,""))</f>
        <v/>
      </c>
      <c r="D19" s="52"/>
      <c r="E19" s="59" t="str">
        <f>IF(D19="","",IFERROR(INDEX(PERKARA!$B$5:$B$104,MATCH(D19,PERKARA!$A$5:$A$104,0)),"ID TIDAK TERDAFTAR"))</f>
        <v/>
      </c>
      <c r="F19" s="53"/>
      <c r="G19" s="197"/>
      <c r="H19" s="197"/>
      <c r="I19" s="197"/>
      <c r="J19" s="198" t="str">
        <f t="shared" si="1"/>
        <v/>
      </c>
      <c r="K19" s="198" t="str">
        <f>IF(A19="","",IF(AD19="",0,AD19)+SUMIFS(PEMASUKAN!$H$5:$H$204,PEMASUKAN!$G$5:$G$204,A19))</f>
        <v/>
      </c>
      <c r="L19" s="198" t="str">
        <f t="shared" si="2"/>
        <v/>
      </c>
      <c r="M19" s="224" t="str">
        <f t="shared" ca="1" si="3"/>
        <v/>
      </c>
      <c r="N19" s="58" t="str">
        <f ca="1">IF(A19="","",IF(J19=0,"NILAI BELUM DIISI",IF(L19=0,"Lunas",IF(C19="","Belum Ada Jatuh Tempo",IF(TODAY()&gt;C19,IF(K19&gt;0,"Jatuh Tempo - Dibayar Sebagian","Jatuh Tempo"),IF(K19&gt;0,"Dibayar Sebagian",IF(C19-TODAY()&lt;=MASTER!$AF$5,"Segera Jatuh Tempo","Belum Dibayar")))))))</f>
        <v/>
      </c>
      <c r="O19" s="53" t="str">
        <f>IF(D19="","",IFERROR(INDEX(PERKARA!$D$5:$D$104,MATCH(D19,PERKARA!$A$5:$A$104,0)),""))</f>
        <v/>
      </c>
      <c r="P19" s="54"/>
      <c r="Q19" s="53" t="str">
        <f>IF(D19="","",IFERROR(INDEX(PERKARA!$S$5:$S$104,MATCH(D19,PERKARA!$A$5:$A$104,0)),""))</f>
        <v/>
      </c>
      <c r="R19" s="53"/>
      <c r="S19" s="229" t="str">
        <f t="shared" ca="1" si="4"/>
        <v/>
      </c>
      <c r="T19" s="229" t="str">
        <f t="shared" si="5"/>
        <v/>
      </c>
      <c r="U19" s="229" t="str">
        <f t="shared" si="6"/>
        <v/>
      </c>
      <c r="V19" s="229" t="str">
        <f t="shared" si="7"/>
        <v/>
      </c>
      <c r="W19" s="229" t="str">
        <f t="shared" si="8"/>
        <v/>
      </c>
      <c r="X19" s="199" t="str">
        <f t="shared" si="9"/>
        <v/>
      </c>
      <c r="Y19" s="200"/>
      <c r="Z19" s="200"/>
      <c r="AA19" s="201"/>
      <c r="AB19" s="200"/>
      <c r="AC19" s="202" t="str">
        <f t="shared" si="10"/>
        <v/>
      </c>
      <c r="AD19" s="231"/>
    </row>
    <row r="20" spans="1:30" s="57" customFormat="1">
      <c r="A20" s="53" t="str">
        <f t="shared" si="0"/>
        <v/>
      </c>
      <c r="B20" s="79"/>
      <c r="C20" s="79" t="str">
        <f>IF(B20="","",IFERROR(B20+MASTER!$AF$9,""))</f>
        <v/>
      </c>
      <c r="D20" s="52"/>
      <c r="E20" s="59" t="str">
        <f>IF(D20="","",IFERROR(INDEX(PERKARA!$B$5:$B$104,MATCH(D20,PERKARA!$A$5:$A$104,0)),"ID TIDAK TERDAFTAR"))</f>
        <v/>
      </c>
      <c r="F20" s="53"/>
      <c r="G20" s="197"/>
      <c r="H20" s="197"/>
      <c r="I20" s="197"/>
      <c r="J20" s="198" t="str">
        <f t="shared" si="1"/>
        <v/>
      </c>
      <c r="K20" s="198" t="str">
        <f>IF(A20="","",IF(AD20="",0,AD20)+SUMIFS(PEMASUKAN!$H$5:$H$204,PEMASUKAN!$G$5:$G$204,A20))</f>
        <v/>
      </c>
      <c r="L20" s="198" t="str">
        <f t="shared" si="2"/>
        <v/>
      </c>
      <c r="M20" s="224" t="str">
        <f t="shared" ca="1" si="3"/>
        <v/>
      </c>
      <c r="N20" s="58" t="str">
        <f ca="1">IF(A20="","",IF(J20=0,"NILAI BELUM DIISI",IF(L20=0,"Lunas",IF(C20="","Belum Ada Jatuh Tempo",IF(TODAY()&gt;C20,IF(K20&gt;0,"Jatuh Tempo - Dibayar Sebagian","Jatuh Tempo"),IF(K20&gt;0,"Dibayar Sebagian",IF(C20-TODAY()&lt;=MASTER!$AF$5,"Segera Jatuh Tempo","Belum Dibayar")))))))</f>
        <v/>
      </c>
      <c r="O20" s="53" t="str">
        <f>IF(D20="","",IFERROR(INDEX(PERKARA!$D$5:$D$104,MATCH(D20,PERKARA!$A$5:$A$104,0)),""))</f>
        <v/>
      </c>
      <c r="P20" s="54"/>
      <c r="Q20" s="53" t="str">
        <f>IF(D20="","",IFERROR(INDEX(PERKARA!$S$5:$S$104,MATCH(D20,PERKARA!$A$5:$A$104,0)),""))</f>
        <v/>
      </c>
      <c r="R20" s="53"/>
      <c r="S20" s="229" t="str">
        <f t="shared" ca="1" si="4"/>
        <v/>
      </c>
      <c r="T20" s="229" t="str">
        <f t="shared" si="5"/>
        <v/>
      </c>
      <c r="U20" s="229" t="str">
        <f t="shared" si="6"/>
        <v/>
      </c>
      <c r="V20" s="229" t="str">
        <f t="shared" si="7"/>
        <v/>
      </c>
      <c r="W20" s="229" t="str">
        <f t="shared" si="8"/>
        <v/>
      </c>
      <c r="X20" s="199" t="str">
        <f t="shared" si="9"/>
        <v/>
      </c>
      <c r="Y20" s="200"/>
      <c r="Z20" s="200"/>
      <c r="AA20" s="201"/>
      <c r="AB20" s="200"/>
      <c r="AC20" s="202" t="str">
        <f t="shared" si="10"/>
        <v/>
      </c>
      <c r="AD20" s="231"/>
    </row>
    <row r="21" spans="1:30" s="57" customFormat="1">
      <c r="A21" s="53" t="str">
        <f t="shared" si="0"/>
        <v/>
      </c>
      <c r="B21" s="79"/>
      <c r="C21" s="79" t="str">
        <f>IF(B21="","",IFERROR(B21+MASTER!$AF$9,""))</f>
        <v/>
      </c>
      <c r="D21" s="52"/>
      <c r="E21" s="59" t="str">
        <f>IF(D21="","",IFERROR(INDEX(PERKARA!$B$5:$B$104,MATCH(D21,PERKARA!$A$5:$A$104,0)),"ID TIDAK TERDAFTAR"))</f>
        <v/>
      </c>
      <c r="F21" s="53"/>
      <c r="G21" s="197"/>
      <c r="H21" s="197"/>
      <c r="I21" s="197"/>
      <c r="J21" s="198" t="str">
        <f t="shared" si="1"/>
        <v/>
      </c>
      <c r="K21" s="198" t="str">
        <f>IF(A21="","",IF(AD21="",0,AD21)+SUMIFS(PEMASUKAN!$H$5:$H$204,PEMASUKAN!$G$5:$G$204,A21))</f>
        <v/>
      </c>
      <c r="L21" s="198" t="str">
        <f t="shared" si="2"/>
        <v/>
      </c>
      <c r="M21" s="224" t="str">
        <f t="shared" ca="1" si="3"/>
        <v/>
      </c>
      <c r="N21" s="58" t="str">
        <f ca="1">IF(A21="","",IF(J21=0,"NILAI BELUM DIISI",IF(L21=0,"Lunas",IF(C21="","Belum Ada Jatuh Tempo",IF(TODAY()&gt;C21,IF(K21&gt;0,"Jatuh Tempo - Dibayar Sebagian","Jatuh Tempo"),IF(K21&gt;0,"Dibayar Sebagian",IF(C21-TODAY()&lt;=MASTER!$AF$5,"Segera Jatuh Tempo","Belum Dibayar")))))))</f>
        <v/>
      </c>
      <c r="O21" s="53" t="str">
        <f>IF(D21="","",IFERROR(INDEX(PERKARA!$D$5:$D$104,MATCH(D21,PERKARA!$A$5:$A$104,0)),""))</f>
        <v/>
      </c>
      <c r="P21" s="54"/>
      <c r="Q21" s="53" t="str">
        <f>IF(D21="","",IFERROR(INDEX(PERKARA!$S$5:$S$104,MATCH(D21,PERKARA!$A$5:$A$104,0)),""))</f>
        <v/>
      </c>
      <c r="R21" s="53"/>
      <c r="S21" s="229" t="str">
        <f t="shared" ca="1" si="4"/>
        <v/>
      </c>
      <c r="T21" s="229" t="str">
        <f t="shared" si="5"/>
        <v/>
      </c>
      <c r="U21" s="229" t="str">
        <f t="shared" si="6"/>
        <v/>
      </c>
      <c r="V21" s="229" t="str">
        <f t="shared" si="7"/>
        <v/>
      </c>
      <c r="W21" s="229" t="str">
        <f t="shared" si="8"/>
        <v/>
      </c>
      <c r="X21" s="199" t="str">
        <f t="shared" si="9"/>
        <v/>
      </c>
      <c r="Y21" s="200"/>
      <c r="Z21" s="200"/>
      <c r="AA21" s="201"/>
      <c r="AB21" s="200"/>
      <c r="AC21" s="202" t="str">
        <f t="shared" si="10"/>
        <v/>
      </c>
      <c r="AD21" s="231"/>
    </row>
    <row r="22" spans="1:30" s="21" customFormat="1">
      <c r="A22" s="194" t="str">
        <f t="shared" si="0"/>
        <v/>
      </c>
      <c r="B22" s="191"/>
      <c r="C22" s="191" t="str">
        <f>IF(B22="","",IFERROR(B22+MASTER!$AF$9,""))</f>
        <v/>
      </c>
      <c r="D22" s="192"/>
      <c r="E22" s="193" t="str">
        <f>IF(D22="","",IFERROR(INDEX(PERKARA!$B$5:$B$104,MATCH(D22,PERKARA!$A$5:$A$104,0)),"ID TIDAK TERDAFTAR"))</f>
        <v/>
      </c>
      <c r="F22" s="194"/>
      <c r="G22" s="195"/>
      <c r="H22" s="195"/>
      <c r="I22" s="195"/>
      <c r="J22" s="196" t="str">
        <f t="shared" si="1"/>
        <v/>
      </c>
      <c r="K22" s="196" t="str">
        <f>IF(A22="","",IF(AD22="",0,AD22)+SUMIFS(PEMASUKAN!$H$5:$H$204,PEMASUKAN!$G$5:$G$204,A22))</f>
        <v/>
      </c>
      <c r="L22" s="196" t="str">
        <f t="shared" si="2"/>
        <v/>
      </c>
      <c r="M22" s="232" t="str">
        <f t="shared" ca="1" si="3"/>
        <v/>
      </c>
      <c r="N22" s="190" t="str">
        <f ca="1">IF(A22="","",IF(J22=0,"NILAI BELUM DIISI",IF(L22=0,"Lunas",IF(C22="","Belum Ada Jatuh Tempo",IF(TODAY()&gt;C22,IF(K22&gt;0,"Jatuh Tempo - Dibayar Sebagian","Jatuh Tempo"),IF(K22&gt;0,"Dibayar Sebagian",IF(C22-TODAY()&lt;=MASTER!$AF$5,"Segera Jatuh Tempo","Belum Dibayar")))))))</f>
        <v/>
      </c>
      <c r="O22" s="194" t="str">
        <f>IF(D22="","",IFERROR(INDEX(PERKARA!$D$5:$D$104,MATCH(D22,PERKARA!$A$5:$A$104,0)),""))</f>
        <v/>
      </c>
      <c r="P22" s="233"/>
      <c r="Q22" s="194" t="str">
        <f>IF(D22="","",IFERROR(INDEX(PERKARA!$S$5:$S$104,MATCH(D22,PERKARA!$A$5:$A$104,0)),""))</f>
        <v/>
      </c>
      <c r="R22" s="194"/>
      <c r="S22" s="234" t="str">
        <f t="shared" ca="1" si="4"/>
        <v/>
      </c>
      <c r="T22" s="234" t="str">
        <f t="shared" si="5"/>
        <v/>
      </c>
      <c r="U22" s="234" t="str">
        <f t="shared" si="6"/>
        <v/>
      </c>
      <c r="V22" s="234" t="str">
        <f t="shared" si="7"/>
        <v/>
      </c>
      <c r="W22" s="234" t="str">
        <f t="shared" si="8"/>
        <v/>
      </c>
      <c r="X22" s="186" t="str">
        <f t="shared" si="9"/>
        <v/>
      </c>
      <c r="Y22" s="187"/>
      <c r="Z22" s="187"/>
      <c r="AA22" s="188"/>
      <c r="AB22" s="187"/>
      <c r="AC22" s="189" t="str">
        <f t="shared" si="10"/>
        <v/>
      </c>
      <c r="AD22" s="235"/>
    </row>
    <row r="23" spans="1:30" s="21" customFormat="1">
      <c r="A23" s="194" t="str">
        <f t="shared" si="0"/>
        <v/>
      </c>
      <c r="B23" s="191"/>
      <c r="C23" s="191" t="str">
        <f>IF(B23="","",IFERROR(B23+MASTER!$AF$9,""))</f>
        <v/>
      </c>
      <c r="D23" s="192"/>
      <c r="E23" s="193" t="str">
        <f>IF(D23="","",IFERROR(INDEX(PERKARA!$B$5:$B$104,MATCH(D23,PERKARA!$A$5:$A$104,0)),"ID TIDAK TERDAFTAR"))</f>
        <v/>
      </c>
      <c r="F23" s="194"/>
      <c r="G23" s="195"/>
      <c r="H23" s="195"/>
      <c r="I23" s="195"/>
      <c r="J23" s="196" t="str">
        <f t="shared" si="1"/>
        <v/>
      </c>
      <c r="K23" s="196" t="str">
        <f>IF(A23="","",IF(AD23="",0,AD23)+SUMIFS(PEMASUKAN!$H$5:$H$204,PEMASUKAN!$G$5:$G$204,A23))</f>
        <v/>
      </c>
      <c r="L23" s="196" t="str">
        <f t="shared" si="2"/>
        <v/>
      </c>
      <c r="M23" s="232" t="str">
        <f t="shared" ca="1" si="3"/>
        <v/>
      </c>
      <c r="N23" s="190" t="str">
        <f ca="1">IF(A23="","",IF(J23=0,"NILAI BELUM DIISI",IF(L23=0,"Lunas",IF(C23="","Belum Ada Jatuh Tempo",IF(TODAY()&gt;C23,IF(K23&gt;0,"Jatuh Tempo - Dibayar Sebagian","Jatuh Tempo"),IF(K23&gt;0,"Dibayar Sebagian",IF(C23-TODAY()&lt;=MASTER!$AF$5,"Segera Jatuh Tempo","Belum Dibayar")))))))</f>
        <v/>
      </c>
      <c r="O23" s="194" t="str">
        <f>IF(D23="","",IFERROR(INDEX(PERKARA!$D$5:$D$104,MATCH(D23,PERKARA!$A$5:$A$104,0)),""))</f>
        <v/>
      </c>
      <c r="P23" s="233"/>
      <c r="Q23" s="194" t="str">
        <f>IF(D23="","",IFERROR(INDEX(PERKARA!$S$5:$S$104,MATCH(D23,PERKARA!$A$5:$A$104,0)),""))</f>
        <v/>
      </c>
      <c r="R23" s="194"/>
      <c r="S23" s="234" t="str">
        <f t="shared" ca="1" si="4"/>
        <v/>
      </c>
      <c r="T23" s="234" t="str">
        <f t="shared" si="5"/>
        <v/>
      </c>
      <c r="U23" s="234" t="str">
        <f t="shared" si="6"/>
        <v/>
      </c>
      <c r="V23" s="234" t="str">
        <f t="shared" si="7"/>
        <v/>
      </c>
      <c r="W23" s="234" t="str">
        <f t="shared" si="8"/>
        <v/>
      </c>
      <c r="X23" s="186" t="str">
        <f t="shared" si="9"/>
        <v/>
      </c>
      <c r="Y23" s="187"/>
      <c r="Z23" s="187"/>
      <c r="AA23" s="188"/>
      <c r="AB23" s="187"/>
      <c r="AC23" s="189" t="str">
        <f t="shared" si="10"/>
        <v/>
      </c>
      <c r="AD23" s="235"/>
    </row>
    <row r="24" spans="1:30" s="21" customFormat="1">
      <c r="A24" s="194" t="str">
        <f t="shared" si="0"/>
        <v/>
      </c>
      <c r="B24" s="191"/>
      <c r="C24" s="191" t="str">
        <f>IF(B24="","",IFERROR(B24+MASTER!$AF$9,""))</f>
        <v/>
      </c>
      <c r="D24" s="192"/>
      <c r="E24" s="193" t="str">
        <f>IF(D24="","",IFERROR(INDEX(PERKARA!$B$5:$B$104,MATCH(D24,PERKARA!$A$5:$A$104,0)),"ID TIDAK TERDAFTAR"))</f>
        <v/>
      </c>
      <c r="F24" s="194"/>
      <c r="G24" s="195"/>
      <c r="H24" s="195"/>
      <c r="I24" s="195"/>
      <c r="J24" s="196" t="str">
        <f t="shared" si="1"/>
        <v/>
      </c>
      <c r="K24" s="196" t="str">
        <f>IF(A24="","",IF(AD24="",0,AD24)+SUMIFS(PEMASUKAN!$H$5:$H$204,PEMASUKAN!$G$5:$G$204,A24))</f>
        <v/>
      </c>
      <c r="L24" s="196" t="str">
        <f t="shared" si="2"/>
        <v/>
      </c>
      <c r="M24" s="232" t="str">
        <f t="shared" ca="1" si="3"/>
        <v/>
      </c>
      <c r="N24" s="190" t="str">
        <f ca="1">IF(A24="","",IF(J24=0,"NILAI BELUM DIISI",IF(L24=0,"Lunas",IF(C24="","Belum Ada Jatuh Tempo",IF(TODAY()&gt;C24,IF(K24&gt;0,"Jatuh Tempo - Dibayar Sebagian","Jatuh Tempo"),IF(K24&gt;0,"Dibayar Sebagian",IF(C24-TODAY()&lt;=MASTER!$AF$5,"Segera Jatuh Tempo","Belum Dibayar")))))))</f>
        <v/>
      </c>
      <c r="O24" s="194" t="str">
        <f>IF(D24="","",IFERROR(INDEX(PERKARA!$D$5:$D$104,MATCH(D24,PERKARA!$A$5:$A$104,0)),""))</f>
        <v/>
      </c>
      <c r="P24" s="233"/>
      <c r="Q24" s="194" t="str">
        <f>IF(D24="","",IFERROR(INDEX(PERKARA!$S$5:$S$104,MATCH(D24,PERKARA!$A$5:$A$104,0)),""))</f>
        <v/>
      </c>
      <c r="R24" s="194"/>
      <c r="S24" s="234" t="str">
        <f t="shared" ca="1" si="4"/>
        <v/>
      </c>
      <c r="T24" s="234" t="str">
        <f t="shared" si="5"/>
        <v/>
      </c>
      <c r="U24" s="234" t="str">
        <f t="shared" si="6"/>
        <v/>
      </c>
      <c r="V24" s="234" t="str">
        <f t="shared" si="7"/>
        <v/>
      </c>
      <c r="W24" s="234" t="str">
        <f t="shared" si="8"/>
        <v/>
      </c>
      <c r="X24" s="186" t="str">
        <f t="shared" si="9"/>
        <v/>
      </c>
      <c r="Y24" s="187"/>
      <c r="Z24" s="187"/>
      <c r="AA24" s="188"/>
      <c r="AB24" s="187"/>
      <c r="AC24" s="189" t="str">
        <f t="shared" si="10"/>
        <v/>
      </c>
      <c r="AD24" s="235"/>
    </row>
    <row r="25" spans="1:30" s="21" customFormat="1">
      <c r="A25" s="194" t="str">
        <f t="shared" si="0"/>
        <v/>
      </c>
      <c r="B25" s="191"/>
      <c r="C25" s="191" t="str">
        <f>IF(B25="","",IFERROR(B25+MASTER!$AF$9,""))</f>
        <v/>
      </c>
      <c r="D25" s="192"/>
      <c r="E25" s="193" t="str">
        <f>IF(D25="","",IFERROR(INDEX(PERKARA!$B$5:$B$104,MATCH(D25,PERKARA!$A$5:$A$104,0)),"ID TIDAK TERDAFTAR"))</f>
        <v/>
      </c>
      <c r="F25" s="194"/>
      <c r="G25" s="195"/>
      <c r="H25" s="195"/>
      <c r="I25" s="195"/>
      <c r="J25" s="196" t="str">
        <f t="shared" si="1"/>
        <v/>
      </c>
      <c r="K25" s="196" t="str">
        <f>IF(A25="","",IF(AD25="",0,AD25)+SUMIFS(PEMASUKAN!$H$5:$H$204,PEMASUKAN!$G$5:$G$204,A25))</f>
        <v/>
      </c>
      <c r="L25" s="196" t="str">
        <f t="shared" si="2"/>
        <v/>
      </c>
      <c r="M25" s="232" t="str">
        <f t="shared" ca="1" si="3"/>
        <v/>
      </c>
      <c r="N25" s="190" t="str">
        <f ca="1">IF(A25="","",IF(J25=0,"NILAI BELUM DIISI",IF(L25=0,"Lunas",IF(C25="","Belum Ada Jatuh Tempo",IF(TODAY()&gt;C25,IF(K25&gt;0,"Jatuh Tempo - Dibayar Sebagian","Jatuh Tempo"),IF(K25&gt;0,"Dibayar Sebagian",IF(C25-TODAY()&lt;=MASTER!$AF$5,"Segera Jatuh Tempo","Belum Dibayar")))))))</f>
        <v/>
      </c>
      <c r="O25" s="194" t="str">
        <f>IF(D25="","",IFERROR(INDEX(PERKARA!$D$5:$D$104,MATCH(D25,PERKARA!$A$5:$A$104,0)),""))</f>
        <v/>
      </c>
      <c r="P25" s="233"/>
      <c r="Q25" s="194" t="str">
        <f>IF(D25="","",IFERROR(INDEX(PERKARA!$S$5:$S$104,MATCH(D25,PERKARA!$A$5:$A$104,0)),""))</f>
        <v/>
      </c>
      <c r="R25" s="194"/>
      <c r="S25" s="234" t="str">
        <f t="shared" ca="1" si="4"/>
        <v/>
      </c>
      <c r="T25" s="234" t="str">
        <f t="shared" si="5"/>
        <v/>
      </c>
      <c r="U25" s="234" t="str">
        <f t="shared" si="6"/>
        <v/>
      </c>
      <c r="V25" s="234" t="str">
        <f t="shared" si="7"/>
        <v/>
      </c>
      <c r="W25" s="234" t="str">
        <f t="shared" si="8"/>
        <v/>
      </c>
      <c r="X25" s="186" t="str">
        <f t="shared" si="9"/>
        <v/>
      </c>
      <c r="Y25" s="187"/>
      <c r="Z25" s="187"/>
      <c r="AA25" s="188"/>
      <c r="AB25" s="187"/>
      <c r="AC25" s="189" t="str">
        <f t="shared" si="10"/>
        <v/>
      </c>
      <c r="AD25" s="235"/>
    </row>
    <row r="26" spans="1:30" s="21" customFormat="1">
      <c r="A26" s="194" t="str">
        <f t="shared" si="0"/>
        <v/>
      </c>
      <c r="B26" s="191"/>
      <c r="C26" s="191" t="str">
        <f>IF(B26="","",IFERROR(B26+MASTER!$AF$9,""))</f>
        <v/>
      </c>
      <c r="D26" s="192"/>
      <c r="E26" s="193" t="str">
        <f>IF(D26="","",IFERROR(INDEX(PERKARA!$B$5:$B$104,MATCH(D26,PERKARA!$A$5:$A$104,0)),"ID TIDAK TERDAFTAR"))</f>
        <v/>
      </c>
      <c r="F26" s="194"/>
      <c r="G26" s="195"/>
      <c r="H26" s="195"/>
      <c r="I26" s="195"/>
      <c r="J26" s="196" t="str">
        <f t="shared" si="1"/>
        <v/>
      </c>
      <c r="K26" s="196" t="str">
        <f>IF(A26="","",IF(AD26="",0,AD26)+SUMIFS(PEMASUKAN!$H$5:$H$204,PEMASUKAN!$G$5:$G$204,A26))</f>
        <v/>
      </c>
      <c r="L26" s="196" t="str">
        <f t="shared" si="2"/>
        <v/>
      </c>
      <c r="M26" s="232" t="str">
        <f t="shared" ca="1" si="3"/>
        <v/>
      </c>
      <c r="N26" s="190" t="str">
        <f ca="1">IF(A26="","",IF(J26=0,"NILAI BELUM DIISI",IF(L26=0,"Lunas",IF(C26="","Belum Ada Jatuh Tempo",IF(TODAY()&gt;C26,IF(K26&gt;0,"Jatuh Tempo - Dibayar Sebagian","Jatuh Tempo"),IF(K26&gt;0,"Dibayar Sebagian",IF(C26-TODAY()&lt;=MASTER!$AF$5,"Segera Jatuh Tempo","Belum Dibayar")))))))</f>
        <v/>
      </c>
      <c r="O26" s="194" t="str">
        <f>IF(D26="","",IFERROR(INDEX(PERKARA!$D$5:$D$104,MATCH(D26,PERKARA!$A$5:$A$104,0)),""))</f>
        <v/>
      </c>
      <c r="P26" s="233"/>
      <c r="Q26" s="194" t="str">
        <f>IF(D26="","",IFERROR(INDEX(PERKARA!$S$5:$S$104,MATCH(D26,PERKARA!$A$5:$A$104,0)),""))</f>
        <v/>
      </c>
      <c r="R26" s="194"/>
      <c r="S26" s="234" t="str">
        <f t="shared" ca="1" si="4"/>
        <v/>
      </c>
      <c r="T26" s="234" t="str">
        <f t="shared" si="5"/>
        <v/>
      </c>
      <c r="U26" s="234" t="str">
        <f t="shared" si="6"/>
        <v/>
      </c>
      <c r="V26" s="234" t="str">
        <f t="shared" si="7"/>
        <v/>
      </c>
      <c r="W26" s="234" t="str">
        <f t="shared" si="8"/>
        <v/>
      </c>
      <c r="X26" s="186" t="str">
        <f t="shared" si="9"/>
        <v/>
      </c>
      <c r="Y26" s="187"/>
      <c r="Z26" s="187"/>
      <c r="AA26" s="188"/>
      <c r="AB26" s="187"/>
      <c r="AC26" s="189" t="str">
        <f t="shared" si="10"/>
        <v/>
      </c>
      <c r="AD26" s="235"/>
    </row>
    <row r="27" spans="1:30">
      <c r="A27" s="6" t="str">
        <f t="shared" si="0"/>
        <v/>
      </c>
      <c r="B27" s="80"/>
      <c r="C27" s="80" t="str">
        <f>IF(B27="","",IFERROR(B27+MASTER!$AF$9,""))</f>
        <v/>
      </c>
      <c r="D27" s="46"/>
      <c r="E27" s="47" t="str">
        <f>IF(D27="","",IFERROR(INDEX(PERKARA!$B$5:$B$104,MATCH(D27,PERKARA!$A$5:$A$104,0)),"ID TIDAK TERDAFTAR"))</f>
        <v/>
      </c>
      <c r="F27" s="6"/>
      <c r="G27" s="72"/>
      <c r="H27" s="72"/>
      <c r="I27" s="72"/>
      <c r="J27" s="73" t="str">
        <f t="shared" si="1"/>
        <v/>
      </c>
      <c r="K27" s="73" t="str">
        <f>IF(A27="","",IF(AD27="",0,AD27)+SUMIFS(PEMASUKAN!$H$5:$H$204,PEMASUKAN!$G$5:$G$204,A27))</f>
        <v/>
      </c>
      <c r="L27" s="73" t="str">
        <f t="shared" si="2"/>
        <v/>
      </c>
      <c r="M27" s="81" t="str">
        <f t="shared" ca="1" si="3"/>
        <v/>
      </c>
      <c r="N27" s="9" t="str">
        <f ca="1">IF(A27="","",IF(J27=0,"NILAI BELUM DIISI",IF(L27=0,"Lunas",IF(C27="","Belum Ada Jatuh Tempo",IF(TODAY()&gt;C27,IF(K27&gt;0,"Jatuh Tempo - Dibayar Sebagian","Jatuh Tempo"),IF(K27&gt;0,"Dibayar Sebagian",IF(C27-TODAY()&lt;=MASTER!$AF$5,"Segera Jatuh Tempo","Belum Dibayar")))))))</f>
        <v/>
      </c>
      <c r="O27" s="6" t="str">
        <f>IF(D27="","",IFERROR(INDEX(PERKARA!$D$5:$D$104,MATCH(D27,PERKARA!$A$5:$A$104,0)),""))</f>
        <v/>
      </c>
      <c r="P27" s="10"/>
      <c r="Q27" s="6" t="str">
        <f>IF(D27="","",IFERROR(INDEX(PERKARA!$S$5:$S$104,MATCH(D27,PERKARA!$A$5:$A$104,0)),""))</f>
        <v/>
      </c>
      <c r="R27" s="6"/>
      <c r="S27" s="74" t="str">
        <f t="shared" ca="1" si="4"/>
        <v/>
      </c>
      <c r="T27" s="74" t="str">
        <f t="shared" si="5"/>
        <v/>
      </c>
      <c r="U27" s="74" t="str">
        <f t="shared" si="6"/>
        <v/>
      </c>
      <c r="V27" s="74" t="str">
        <f t="shared" si="7"/>
        <v/>
      </c>
      <c r="W27" s="74" t="str">
        <f t="shared" si="8"/>
        <v/>
      </c>
      <c r="X27" s="67" t="str">
        <f t="shared" si="9"/>
        <v/>
      </c>
      <c r="Y27" s="98"/>
      <c r="Z27" s="98"/>
      <c r="AA27" s="105"/>
      <c r="AB27" s="98"/>
      <c r="AC27" s="104" t="str">
        <f t="shared" si="10"/>
        <v/>
      </c>
      <c r="AD27" s="123"/>
    </row>
    <row r="28" spans="1:30">
      <c r="A28" s="6" t="str">
        <f t="shared" si="0"/>
        <v/>
      </c>
      <c r="B28" s="80"/>
      <c r="C28" s="80" t="str">
        <f>IF(B28="","",IFERROR(B28+MASTER!$AF$9,""))</f>
        <v/>
      </c>
      <c r="D28" s="46"/>
      <c r="E28" s="47" t="str">
        <f>IF(D28="","",IFERROR(INDEX(PERKARA!$B$5:$B$104,MATCH(D28,PERKARA!$A$5:$A$104,0)),"ID TIDAK TERDAFTAR"))</f>
        <v/>
      </c>
      <c r="F28" s="6"/>
      <c r="G28" s="72"/>
      <c r="H28" s="72"/>
      <c r="I28" s="72"/>
      <c r="J28" s="73" t="str">
        <f t="shared" si="1"/>
        <v/>
      </c>
      <c r="K28" s="73" t="str">
        <f>IF(A28="","",IF(AD28="",0,AD28)+SUMIFS(PEMASUKAN!$H$5:$H$204,PEMASUKAN!$G$5:$G$204,A28))</f>
        <v/>
      </c>
      <c r="L28" s="73" t="str">
        <f t="shared" si="2"/>
        <v/>
      </c>
      <c r="M28" s="81" t="str">
        <f t="shared" ca="1" si="3"/>
        <v/>
      </c>
      <c r="N28" s="9" t="str">
        <f ca="1">IF(A28="","",IF(J28=0,"NILAI BELUM DIISI",IF(L28=0,"Lunas",IF(C28="","Belum Ada Jatuh Tempo",IF(TODAY()&gt;C28,IF(K28&gt;0,"Jatuh Tempo - Dibayar Sebagian","Jatuh Tempo"),IF(K28&gt;0,"Dibayar Sebagian",IF(C28-TODAY()&lt;=MASTER!$AF$5,"Segera Jatuh Tempo","Belum Dibayar")))))))</f>
        <v/>
      </c>
      <c r="O28" s="6" t="str">
        <f>IF(D28="","",IFERROR(INDEX(PERKARA!$D$5:$D$104,MATCH(D28,PERKARA!$A$5:$A$104,0)),""))</f>
        <v/>
      </c>
      <c r="P28" s="10"/>
      <c r="Q28" s="6" t="str">
        <f>IF(D28="","",IFERROR(INDEX(PERKARA!$S$5:$S$104,MATCH(D28,PERKARA!$A$5:$A$104,0)),""))</f>
        <v/>
      </c>
      <c r="R28" s="6"/>
      <c r="S28" s="74" t="str">
        <f t="shared" ca="1" si="4"/>
        <v/>
      </c>
      <c r="T28" s="74" t="str">
        <f t="shared" si="5"/>
        <v/>
      </c>
      <c r="U28" s="74" t="str">
        <f t="shared" si="6"/>
        <v/>
      </c>
      <c r="V28" s="74" t="str">
        <f t="shared" si="7"/>
        <v/>
      </c>
      <c r="W28" s="74" t="str">
        <f t="shared" si="8"/>
        <v/>
      </c>
      <c r="X28" s="67" t="str">
        <f t="shared" si="9"/>
        <v/>
      </c>
      <c r="Y28" s="98"/>
      <c r="Z28" s="98"/>
      <c r="AA28" s="105"/>
      <c r="AB28" s="98"/>
      <c r="AC28" s="104" t="str">
        <f t="shared" si="10"/>
        <v/>
      </c>
      <c r="AD28" s="123"/>
    </row>
    <row r="29" spans="1:30">
      <c r="A29" s="6" t="str">
        <f t="shared" si="0"/>
        <v/>
      </c>
      <c r="B29" s="80"/>
      <c r="C29" s="80" t="str">
        <f>IF(B29="","",IFERROR(B29+MASTER!$AF$9,""))</f>
        <v/>
      </c>
      <c r="D29" s="46"/>
      <c r="E29" s="47" t="str">
        <f>IF(D29="","",IFERROR(INDEX(PERKARA!$B$5:$B$104,MATCH(D29,PERKARA!$A$5:$A$104,0)),"ID TIDAK TERDAFTAR"))</f>
        <v/>
      </c>
      <c r="F29" s="6"/>
      <c r="G29" s="72"/>
      <c r="H29" s="72"/>
      <c r="I29" s="72"/>
      <c r="J29" s="73" t="str">
        <f t="shared" si="1"/>
        <v/>
      </c>
      <c r="K29" s="73" t="str">
        <f>IF(A29="","",IF(AD29="",0,AD29)+SUMIFS(PEMASUKAN!$H$5:$H$204,PEMASUKAN!$G$5:$G$204,A29))</f>
        <v/>
      </c>
      <c r="L29" s="73" t="str">
        <f t="shared" si="2"/>
        <v/>
      </c>
      <c r="M29" s="81" t="str">
        <f t="shared" ca="1" si="3"/>
        <v/>
      </c>
      <c r="N29" s="9" t="str">
        <f ca="1">IF(A29="","",IF(J29=0,"NILAI BELUM DIISI",IF(L29=0,"Lunas",IF(C29="","Belum Ada Jatuh Tempo",IF(TODAY()&gt;C29,IF(K29&gt;0,"Jatuh Tempo - Dibayar Sebagian","Jatuh Tempo"),IF(K29&gt;0,"Dibayar Sebagian",IF(C29-TODAY()&lt;=MASTER!$AF$5,"Segera Jatuh Tempo","Belum Dibayar")))))))</f>
        <v/>
      </c>
      <c r="O29" s="6" t="str">
        <f>IF(D29="","",IFERROR(INDEX(PERKARA!$D$5:$D$104,MATCH(D29,PERKARA!$A$5:$A$104,0)),""))</f>
        <v/>
      </c>
      <c r="P29" s="10"/>
      <c r="Q29" s="6" t="str">
        <f>IF(D29="","",IFERROR(INDEX(PERKARA!$S$5:$S$104,MATCH(D29,PERKARA!$A$5:$A$104,0)),""))</f>
        <v/>
      </c>
      <c r="R29" s="6"/>
      <c r="S29" s="74" t="str">
        <f t="shared" ca="1" si="4"/>
        <v/>
      </c>
      <c r="T29" s="74" t="str">
        <f t="shared" si="5"/>
        <v/>
      </c>
      <c r="U29" s="74" t="str">
        <f t="shared" si="6"/>
        <v/>
      </c>
      <c r="V29" s="74" t="str">
        <f t="shared" si="7"/>
        <v/>
      </c>
      <c r="W29" s="74" t="str">
        <f t="shared" si="8"/>
        <v/>
      </c>
      <c r="X29" s="67" t="str">
        <f t="shared" si="9"/>
        <v/>
      </c>
      <c r="Y29" s="98"/>
      <c r="Z29" s="98"/>
      <c r="AA29" s="105"/>
      <c r="AB29" s="98"/>
      <c r="AC29" s="104" t="str">
        <f t="shared" si="10"/>
        <v/>
      </c>
      <c r="AD29" s="123"/>
    </row>
    <row r="30" spans="1:30">
      <c r="A30" s="6" t="str">
        <f t="shared" si="0"/>
        <v/>
      </c>
      <c r="B30" s="80"/>
      <c r="C30" s="80" t="str">
        <f>IF(B30="","",IFERROR(B30+MASTER!$AF$9,""))</f>
        <v/>
      </c>
      <c r="D30" s="46"/>
      <c r="E30" s="47" t="str">
        <f>IF(D30="","",IFERROR(INDEX(PERKARA!$B$5:$B$104,MATCH(D30,PERKARA!$A$5:$A$104,0)),"ID TIDAK TERDAFTAR"))</f>
        <v/>
      </c>
      <c r="F30" s="6"/>
      <c r="G30" s="72"/>
      <c r="H30" s="72"/>
      <c r="I30" s="72"/>
      <c r="J30" s="73" t="str">
        <f t="shared" si="1"/>
        <v/>
      </c>
      <c r="K30" s="73" t="str">
        <f>IF(A30="","",IF(AD30="",0,AD30)+SUMIFS(PEMASUKAN!$H$5:$H$204,PEMASUKAN!$G$5:$G$204,A30))</f>
        <v/>
      </c>
      <c r="L30" s="73" t="str">
        <f t="shared" si="2"/>
        <v/>
      </c>
      <c r="M30" s="81" t="str">
        <f t="shared" ca="1" si="3"/>
        <v/>
      </c>
      <c r="N30" s="9" t="str">
        <f ca="1">IF(A30="","",IF(J30=0,"NILAI BELUM DIISI",IF(L30=0,"Lunas",IF(C30="","Belum Ada Jatuh Tempo",IF(TODAY()&gt;C30,IF(K30&gt;0,"Jatuh Tempo - Dibayar Sebagian","Jatuh Tempo"),IF(K30&gt;0,"Dibayar Sebagian",IF(C30-TODAY()&lt;=MASTER!$AF$5,"Segera Jatuh Tempo","Belum Dibayar")))))))</f>
        <v/>
      </c>
      <c r="O30" s="6" t="str">
        <f>IF(D30="","",IFERROR(INDEX(PERKARA!$D$5:$D$104,MATCH(D30,PERKARA!$A$5:$A$104,0)),""))</f>
        <v/>
      </c>
      <c r="P30" s="10"/>
      <c r="Q30" s="6" t="str">
        <f>IF(D30="","",IFERROR(INDEX(PERKARA!$S$5:$S$104,MATCH(D30,PERKARA!$A$5:$A$104,0)),""))</f>
        <v/>
      </c>
      <c r="R30" s="6"/>
      <c r="S30" s="74" t="str">
        <f t="shared" ca="1" si="4"/>
        <v/>
      </c>
      <c r="T30" s="74" t="str">
        <f t="shared" si="5"/>
        <v/>
      </c>
      <c r="U30" s="74" t="str">
        <f t="shared" si="6"/>
        <v/>
      </c>
      <c r="V30" s="74" t="str">
        <f t="shared" si="7"/>
        <v/>
      </c>
      <c r="W30" s="74" t="str">
        <f t="shared" si="8"/>
        <v/>
      </c>
      <c r="X30" s="67" t="str">
        <f t="shared" si="9"/>
        <v/>
      </c>
      <c r="Y30" s="98"/>
      <c r="Z30" s="98"/>
      <c r="AA30" s="105"/>
      <c r="AB30" s="98"/>
      <c r="AC30" s="104" t="str">
        <f t="shared" si="10"/>
        <v/>
      </c>
      <c r="AD30" s="123"/>
    </row>
    <row r="31" spans="1:30">
      <c r="A31" s="6" t="str">
        <f t="shared" si="0"/>
        <v/>
      </c>
      <c r="B31" s="80"/>
      <c r="C31" s="80" t="str">
        <f>IF(B31="","",IFERROR(B31+MASTER!$AF$9,""))</f>
        <v/>
      </c>
      <c r="D31" s="46"/>
      <c r="E31" s="47" t="str">
        <f>IF(D31="","",IFERROR(INDEX(PERKARA!$B$5:$B$104,MATCH(D31,PERKARA!$A$5:$A$104,0)),"ID TIDAK TERDAFTAR"))</f>
        <v/>
      </c>
      <c r="F31" s="6"/>
      <c r="G31" s="72"/>
      <c r="H31" s="72"/>
      <c r="I31" s="72"/>
      <c r="J31" s="73" t="str">
        <f t="shared" si="1"/>
        <v/>
      </c>
      <c r="K31" s="73" t="str">
        <f>IF(A31="","",IF(AD31="",0,AD31)+SUMIFS(PEMASUKAN!$H$5:$H$204,PEMASUKAN!$G$5:$G$204,A31))</f>
        <v/>
      </c>
      <c r="L31" s="73" t="str">
        <f t="shared" si="2"/>
        <v/>
      </c>
      <c r="M31" s="81" t="str">
        <f t="shared" ca="1" si="3"/>
        <v/>
      </c>
      <c r="N31" s="9" t="str">
        <f ca="1">IF(A31="","",IF(J31=0,"NILAI BELUM DIISI",IF(L31=0,"Lunas",IF(C31="","Belum Ada Jatuh Tempo",IF(TODAY()&gt;C31,IF(K31&gt;0,"Jatuh Tempo - Dibayar Sebagian","Jatuh Tempo"),IF(K31&gt;0,"Dibayar Sebagian",IF(C31-TODAY()&lt;=MASTER!$AF$5,"Segera Jatuh Tempo","Belum Dibayar")))))))</f>
        <v/>
      </c>
      <c r="O31" s="6" t="str">
        <f>IF(D31="","",IFERROR(INDEX(PERKARA!$D$5:$D$104,MATCH(D31,PERKARA!$A$5:$A$104,0)),""))</f>
        <v/>
      </c>
      <c r="P31" s="10"/>
      <c r="Q31" s="6" t="str">
        <f>IF(D31="","",IFERROR(INDEX(PERKARA!$S$5:$S$104,MATCH(D31,PERKARA!$A$5:$A$104,0)),""))</f>
        <v/>
      </c>
      <c r="R31" s="6"/>
      <c r="S31" s="74" t="str">
        <f t="shared" ca="1" si="4"/>
        <v/>
      </c>
      <c r="T31" s="74" t="str">
        <f t="shared" si="5"/>
        <v/>
      </c>
      <c r="U31" s="74" t="str">
        <f t="shared" si="6"/>
        <v/>
      </c>
      <c r="V31" s="74" t="str">
        <f t="shared" si="7"/>
        <v/>
      </c>
      <c r="W31" s="74" t="str">
        <f t="shared" si="8"/>
        <v/>
      </c>
      <c r="X31" s="67" t="str">
        <f t="shared" si="9"/>
        <v/>
      </c>
      <c r="Y31" s="98"/>
      <c r="Z31" s="98"/>
      <c r="AA31" s="105"/>
      <c r="AB31" s="98"/>
      <c r="AC31" s="104" t="str">
        <f t="shared" si="10"/>
        <v/>
      </c>
      <c r="AD31" s="123"/>
    </row>
    <row r="32" spans="1:30">
      <c r="A32" s="6" t="str">
        <f t="shared" si="0"/>
        <v/>
      </c>
      <c r="B32" s="80"/>
      <c r="C32" s="80" t="str">
        <f>IF(B32="","",IFERROR(B32+MASTER!$AF$9,""))</f>
        <v/>
      </c>
      <c r="D32" s="46"/>
      <c r="E32" s="47" t="str">
        <f>IF(D32="","",IFERROR(INDEX(PERKARA!$B$5:$B$104,MATCH(D32,PERKARA!$A$5:$A$104,0)),"ID TIDAK TERDAFTAR"))</f>
        <v/>
      </c>
      <c r="F32" s="6"/>
      <c r="G32" s="72"/>
      <c r="H32" s="72"/>
      <c r="I32" s="72"/>
      <c r="J32" s="73" t="str">
        <f t="shared" si="1"/>
        <v/>
      </c>
      <c r="K32" s="73" t="str">
        <f>IF(A32="","",IF(AD32="",0,AD32)+SUMIFS(PEMASUKAN!$H$5:$H$204,PEMASUKAN!$G$5:$G$204,A32))</f>
        <v/>
      </c>
      <c r="L32" s="73" t="str">
        <f t="shared" si="2"/>
        <v/>
      </c>
      <c r="M32" s="81" t="str">
        <f t="shared" ca="1" si="3"/>
        <v/>
      </c>
      <c r="N32" s="9" t="str">
        <f ca="1">IF(A32="","",IF(J32=0,"NILAI BELUM DIISI",IF(L32=0,"Lunas",IF(C32="","Belum Ada Jatuh Tempo",IF(TODAY()&gt;C32,IF(K32&gt;0,"Jatuh Tempo - Dibayar Sebagian","Jatuh Tempo"),IF(K32&gt;0,"Dibayar Sebagian",IF(C32-TODAY()&lt;=MASTER!$AF$5,"Segera Jatuh Tempo","Belum Dibayar")))))))</f>
        <v/>
      </c>
      <c r="O32" s="6" t="str">
        <f>IF(D32="","",IFERROR(INDEX(PERKARA!$D$5:$D$104,MATCH(D32,PERKARA!$A$5:$A$104,0)),""))</f>
        <v/>
      </c>
      <c r="P32" s="10"/>
      <c r="Q32" s="6" t="str">
        <f>IF(D32="","",IFERROR(INDEX(PERKARA!$S$5:$S$104,MATCH(D32,PERKARA!$A$5:$A$104,0)),""))</f>
        <v/>
      </c>
      <c r="R32" s="6"/>
      <c r="S32" s="74" t="str">
        <f t="shared" ca="1" si="4"/>
        <v/>
      </c>
      <c r="T32" s="74" t="str">
        <f t="shared" si="5"/>
        <v/>
      </c>
      <c r="U32" s="74" t="str">
        <f t="shared" si="6"/>
        <v/>
      </c>
      <c r="V32" s="74" t="str">
        <f t="shared" si="7"/>
        <v/>
      </c>
      <c r="W32" s="74" t="str">
        <f t="shared" si="8"/>
        <v/>
      </c>
      <c r="X32" s="67" t="str">
        <f t="shared" si="9"/>
        <v/>
      </c>
      <c r="Y32" s="98"/>
      <c r="Z32" s="98"/>
      <c r="AA32" s="105"/>
      <c r="AB32" s="98"/>
      <c r="AC32" s="104" t="str">
        <f t="shared" si="10"/>
        <v/>
      </c>
      <c r="AD32" s="123"/>
    </row>
    <row r="33" spans="1:30">
      <c r="A33" s="6" t="str">
        <f t="shared" si="0"/>
        <v/>
      </c>
      <c r="B33" s="80"/>
      <c r="C33" s="80" t="str">
        <f>IF(B33="","",IFERROR(B33+MASTER!$AF$9,""))</f>
        <v/>
      </c>
      <c r="D33" s="46"/>
      <c r="E33" s="47" t="str">
        <f>IF(D33="","",IFERROR(INDEX(PERKARA!$B$5:$B$104,MATCH(D33,PERKARA!$A$5:$A$104,0)),"ID TIDAK TERDAFTAR"))</f>
        <v/>
      </c>
      <c r="F33" s="6"/>
      <c r="G33" s="72"/>
      <c r="H33" s="72"/>
      <c r="I33" s="72"/>
      <c r="J33" s="73" t="str">
        <f t="shared" si="1"/>
        <v/>
      </c>
      <c r="K33" s="73" t="str">
        <f>IF(A33="","",IF(AD33="",0,AD33)+SUMIFS(PEMASUKAN!$H$5:$H$204,PEMASUKAN!$G$5:$G$204,A33))</f>
        <v/>
      </c>
      <c r="L33" s="73" t="str">
        <f t="shared" si="2"/>
        <v/>
      </c>
      <c r="M33" s="81" t="str">
        <f t="shared" ca="1" si="3"/>
        <v/>
      </c>
      <c r="N33" s="9" t="str">
        <f ca="1">IF(A33="","",IF(J33=0,"NILAI BELUM DIISI",IF(L33=0,"Lunas",IF(C33="","Belum Ada Jatuh Tempo",IF(TODAY()&gt;C33,IF(K33&gt;0,"Jatuh Tempo - Dibayar Sebagian","Jatuh Tempo"),IF(K33&gt;0,"Dibayar Sebagian",IF(C33-TODAY()&lt;=MASTER!$AF$5,"Segera Jatuh Tempo","Belum Dibayar")))))))</f>
        <v/>
      </c>
      <c r="O33" s="6" t="str">
        <f>IF(D33="","",IFERROR(INDEX(PERKARA!$D$5:$D$104,MATCH(D33,PERKARA!$A$5:$A$104,0)),""))</f>
        <v/>
      </c>
      <c r="P33" s="10"/>
      <c r="Q33" s="6" t="str">
        <f>IF(D33="","",IFERROR(INDEX(PERKARA!$S$5:$S$104,MATCH(D33,PERKARA!$A$5:$A$104,0)),""))</f>
        <v/>
      </c>
      <c r="R33" s="6"/>
      <c r="S33" s="74" t="str">
        <f t="shared" ca="1" si="4"/>
        <v/>
      </c>
      <c r="T33" s="74" t="str">
        <f t="shared" si="5"/>
        <v/>
      </c>
      <c r="U33" s="74" t="str">
        <f t="shared" si="6"/>
        <v/>
      </c>
      <c r="V33" s="74" t="str">
        <f t="shared" si="7"/>
        <v/>
      </c>
      <c r="W33" s="74" t="str">
        <f t="shared" si="8"/>
        <v/>
      </c>
      <c r="X33" s="67" t="str">
        <f t="shared" si="9"/>
        <v/>
      </c>
      <c r="Y33" s="98"/>
      <c r="Z33" s="98"/>
      <c r="AA33" s="105"/>
      <c r="AB33" s="98"/>
      <c r="AC33" s="104" t="str">
        <f t="shared" si="10"/>
        <v/>
      </c>
      <c r="AD33" s="123"/>
    </row>
    <row r="34" spans="1:30">
      <c r="A34" s="6" t="str">
        <f t="shared" ref="A34:A65" si="11">IF(B34="","",IFERROR("RPK-INV-"&amp;TEXT(B34,"yyyy")&amp;"-"&amp;TEXT(ROW()-4,"000"),"TANGGAL TIDAK VALID"))</f>
        <v/>
      </c>
      <c r="B34" s="80"/>
      <c r="C34" s="80" t="str">
        <f>IF(B34="","",IFERROR(B34+MASTER!$AF$9,""))</f>
        <v/>
      </c>
      <c r="D34" s="46"/>
      <c r="E34" s="47" t="str">
        <f>IF(D34="","",IFERROR(INDEX(PERKARA!$B$5:$B$104,MATCH(D34,PERKARA!$A$5:$A$104,0)),"ID TIDAK TERDAFTAR"))</f>
        <v/>
      </c>
      <c r="F34" s="6"/>
      <c r="G34" s="72"/>
      <c r="H34" s="72"/>
      <c r="I34" s="72"/>
      <c r="J34" s="73" t="str">
        <f t="shared" ref="J34:J65" si="12">IF(A34="","",SUM(G34:I34))</f>
        <v/>
      </c>
      <c r="K34" s="73" t="str">
        <f>IF(A34="","",IF(AD34="",0,AD34)+SUMIFS(PEMASUKAN!$H$5:$H$204,PEMASUKAN!$G$5:$G$204,A34))</f>
        <v/>
      </c>
      <c r="L34" s="73" t="str">
        <f t="shared" ref="L34:L65" si="13">IF(A34="","",MAX(J34-K34,0))</f>
        <v/>
      </c>
      <c r="M34" s="81" t="str">
        <f t="shared" ref="M34:M65" ca="1" si="14">IF(OR(A34="",C34="",L34=0),"",MAX(TODAY()-C34,0))</f>
        <v/>
      </c>
      <c r="N34" s="9" t="str">
        <f ca="1">IF(A34="","",IF(J34=0,"NILAI BELUM DIISI",IF(L34=0,"Lunas",IF(C34="","Belum Ada Jatuh Tempo",IF(TODAY()&gt;C34,IF(K34&gt;0,"Jatuh Tempo - Dibayar Sebagian","Jatuh Tempo"),IF(K34&gt;0,"Dibayar Sebagian",IF(C34-TODAY()&lt;=MASTER!$AF$5,"Segera Jatuh Tempo","Belum Dibayar")))))))</f>
        <v/>
      </c>
      <c r="O34" s="6" t="str">
        <f>IF(D34="","",IFERROR(INDEX(PERKARA!$D$5:$D$104,MATCH(D34,PERKARA!$A$5:$A$104,0)),""))</f>
        <v/>
      </c>
      <c r="P34" s="10"/>
      <c r="Q34" s="6" t="str">
        <f>IF(D34="","",IFERROR(INDEX(PERKARA!$S$5:$S$104,MATCH(D34,PERKARA!$A$5:$A$104,0)),""))</f>
        <v/>
      </c>
      <c r="R34" s="6"/>
      <c r="S34" s="74" t="str">
        <f t="shared" ref="S34:S65" ca="1" si="15">IF(A34="","",IF(OR(C34="",TODAY()&lt;=C34),L34,0))</f>
        <v/>
      </c>
      <c r="T34" s="74" t="str">
        <f t="shared" ref="T34:T65" si="16">IF(A34="","",IF(AND(M34&gt;=1,M34&lt;=30),L34,0))</f>
        <v/>
      </c>
      <c r="U34" s="74" t="str">
        <f t="shared" ref="U34:U65" si="17">IF(A34="","",IF(AND(M34&gt;=31,M34&lt;=60),L34,0))</f>
        <v/>
      </c>
      <c r="V34" s="74" t="str">
        <f t="shared" ref="V34:V65" si="18">IF(A34="","",IF(AND(M34&gt;=61,M34&lt;=90),L34,0))</f>
        <v/>
      </c>
      <c r="W34" s="74" t="str">
        <f t="shared" ref="W34:W65" si="19">IF(A34="","",IF(M34&gt;90,L34,0))</f>
        <v/>
      </c>
      <c r="X34" s="67" t="str">
        <f t="shared" si="9"/>
        <v/>
      </c>
      <c r="Y34" s="98"/>
      <c r="Z34" s="98"/>
      <c r="AA34" s="105"/>
      <c r="AB34" s="98"/>
      <c r="AC34" s="104" t="str">
        <f t="shared" ref="AC34:AC65" si="20">IF(B34="","",IF(Y34="Ditolak","DITOLAK",IF(AND(Y34="Disetujui",Z34&lt;&gt;""),"LENGKAP",IF(Y34="Disetujui","NAMA PENYETUJU BELUM DIISI","MENUNGGU PERSETUJUAN MANUAL"))))</f>
        <v/>
      </c>
      <c r="AD34" s="123"/>
    </row>
    <row r="35" spans="1:30">
      <c r="A35" s="6" t="str">
        <f t="shared" si="11"/>
        <v/>
      </c>
      <c r="B35" s="80"/>
      <c r="C35" s="80" t="str">
        <f>IF(B35="","",IFERROR(B35+MASTER!$AF$9,""))</f>
        <v/>
      </c>
      <c r="D35" s="46"/>
      <c r="E35" s="47" t="str">
        <f>IF(D35="","",IFERROR(INDEX(PERKARA!$B$5:$B$104,MATCH(D35,PERKARA!$A$5:$A$104,0)),"ID TIDAK TERDAFTAR"))</f>
        <v/>
      </c>
      <c r="F35" s="6"/>
      <c r="G35" s="72"/>
      <c r="H35" s="72"/>
      <c r="I35" s="72"/>
      <c r="J35" s="73" t="str">
        <f t="shared" si="12"/>
        <v/>
      </c>
      <c r="K35" s="73" t="str">
        <f>IF(A35="","",IF(AD35="",0,AD35)+SUMIFS(PEMASUKAN!$H$5:$H$204,PEMASUKAN!$G$5:$G$204,A35))</f>
        <v/>
      </c>
      <c r="L35" s="73" t="str">
        <f t="shared" si="13"/>
        <v/>
      </c>
      <c r="M35" s="81" t="str">
        <f t="shared" ca="1" si="14"/>
        <v/>
      </c>
      <c r="N35" s="9" t="str">
        <f ca="1">IF(A35="","",IF(J35=0,"NILAI BELUM DIISI",IF(L35=0,"Lunas",IF(C35="","Belum Ada Jatuh Tempo",IF(TODAY()&gt;C35,IF(K35&gt;0,"Jatuh Tempo - Dibayar Sebagian","Jatuh Tempo"),IF(K35&gt;0,"Dibayar Sebagian",IF(C35-TODAY()&lt;=MASTER!$AF$5,"Segera Jatuh Tempo","Belum Dibayar")))))))</f>
        <v/>
      </c>
      <c r="O35" s="6" t="str">
        <f>IF(D35="","",IFERROR(INDEX(PERKARA!$D$5:$D$104,MATCH(D35,PERKARA!$A$5:$A$104,0)),""))</f>
        <v/>
      </c>
      <c r="P35" s="10"/>
      <c r="Q35" s="6" t="str">
        <f>IF(D35="","",IFERROR(INDEX(PERKARA!$S$5:$S$104,MATCH(D35,PERKARA!$A$5:$A$104,0)),""))</f>
        <v/>
      </c>
      <c r="R35" s="6"/>
      <c r="S35" s="74" t="str">
        <f t="shared" ca="1" si="15"/>
        <v/>
      </c>
      <c r="T35" s="74" t="str">
        <f t="shared" si="16"/>
        <v/>
      </c>
      <c r="U35" s="74" t="str">
        <f t="shared" si="17"/>
        <v/>
      </c>
      <c r="V35" s="74" t="str">
        <f t="shared" si="18"/>
        <v/>
      </c>
      <c r="W35" s="74" t="str">
        <f t="shared" si="19"/>
        <v/>
      </c>
      <c r="X35" s="67" t="str">
        <f t="shared" si="9"/>
        <v/>
      </c>
      <c r="Y35" s="98"/>
      <c r="Z35" s="98"/>
      <c r="AA35" s="105"/>
      <c r="AB35" s="98"/>
      <c r="AC35" s="104" t="str">
        <f t="shared" si="20"/>
        <v/>
      </c>
      <c r="AD35" s="123"/>
    </row>
    <row r="36" spans="1:30">
      <c r="A36" s="6" t="str">
        <f t="shared" si="11"/>
        <v/>
      </c>
      <c r="B36" s="80"/>
      <c r="C36" s="80" t="str">
        <f>IF(B36="","",IFERROR(B36+MASTER!$AF$9,""))</f>
        <v/>
      </c>
      <c r="D36" s="46"/>
      <c r="E36" s="47" t="str">
        <f>IF(D36="","",IFERROR(INDEX(PERKARA!$B$5:$B$104,MATCH(D36,PERKARA!$A$5:$A$104,0)),"ID TIDAK TERDAFTAR"))</f>
        <v/>
      </c>
      <c r="F36" s="6"/>
      <c r="G36" s="72"/>
      <c r="H36" s="72"/>
      <c r="I36" s="72"/>
      <c r="J36" s="73" t="str">
        <f t="shared" si="12"/>
        <v/>
      </c>
      <c r="K36" s="73" t="str">
        <f>IF(A36="","",IF(AD36="",0,AD36)+SUMIFS(PEMASUKAN!$H$5:$H$204,PEMASUKAN!$G$5:$G$204,A36))</f>
        <v/>
      </c>
      <c r="L36" s="73" t="str">
        <f t="shared" si="13"/>
        <v/>
      </c>
      <c r="M36" s="81" t="str">
        <f t="shared" ca="1" si="14"/>
        <v/>
      </c>
      <c r="N36" s="9" t="str">
        <f ca="1">IF(A36="","",IF(J36=0,"NILAI BELUM DIISI",IF(L36=0,"Lunas",IF(C36="","Belum Ada Jatuh Tempo",IF(TODAY()&gt;C36,IF(K36&gt;0,"Jatuh Tempo - Dibayar Sebagian","Jatuh Tempo"),IF(K36&gt;0,"Dibayar Sebagian",IF(C36-TODAY()&lt;=MASTER!$AF$5,"Segera Jatuh Tempo","Belum Dibayar")))))))</f>
        <v/>
      </c>
      <c r="O36" s="6" t="str">
        <f>IF(D36="","",IFERROR(INDEX(PERKARA!$D$5:$D$104,MATCH(D36,PERKARA!$A$5:$A$104,0)),""))</f>
        <v/>
      </c>
      <c r="P36" s="10"/>
      <c r="Q36" s="6" t="str">
        <f>IF(D36="","",IFERROR(INDEX(PERKARA!$S$5:$S$104,MATCH(D36,PERKARA!$A$5:$A$104,0)),""))</f>
        <v/>
      </c>
      <c r="R36" s="6"/>
      <c r="S36" s="74" t="str">
        <f t="shared" ca="1" si="15"/>
        <v/>
      </c>
      <c r="T36" s="74" t="str">
        <f t="shared" si="16"/>
        <v/>
      </c>
      <c r="U36" s="74" t="str">
        <f t="shared" si="17"/>
        <v/>
      </c>
      <c r="V36" s="74" t="str">
        <f t="shared" si="18"/>
        <v/>
      </c>
      <c r="W36" s="74" t="str">
        <f t="shared" si="19"/>
        <v/>
      </c>
      <c r="X36" s="67" t="str">
        <f t="shared" si="9"/>
        <v/>
      </c>
      <c r="Y36" s="98"/>
      <c r="Z36" s="98"/>
      <c r="AA36" s="105"/>
      <c r="AB36" s="98"/>
      <c r="AC36" s="104" t="str">
        <f t="shared" si="20"/>
        <v/>
      </c>
      <c r="AD36" s="123"/>
    </row>
    <row r="37" spans="1:30">
      <c r="A37" s="6" t="str">
        <f t="shared" si="11"/>
        <v/>
      </c>
      <c r="B37" s="80"/>
      <c r="C37" s="80" t="str">
        <f>IF(B37="","",IFERROR(B37+MASTER!$AF$9,""))</f>
        <v/>
      </c>
      <c r="D37" s="46"/>
      <c r="E37" s="47" t="str">
        <f>IF(D37="","",IFERROR(INDEX(PERKARA!$B$5:$B$104,MATCH(D37,PERKARA!$A$5:$A$104,0)),"ID TIDAK TERDAFTAR"))</f>
        <v/>
      </c>
      <c r="F37" s="6"/>
      <c r="G37" s="72"/>
      <c r="H37" s="72"/>
      <c r="I37" s="72"/>
      <c r="J37" s="73" t="str">
        <f t="shared" si="12"/>
        <v/>
      </c>
      <c r="K37" s="73" t="str">
        <f>IF(A37="","",IF(AD37="",0,AD37)+SUMIFS(PEMASUKAN!$H$5:$H$204,PEMASUKAN!$G$5:$G$204,A37))</f>
        <v/>
      </c>
      <c r="L37" s="73" t="str">
        <f t="shared" si="13"/>
        <v/>
      </c>
      <c r="M37" s="81" t="str">
        <f t="shared" ca="1" si="14"/>
        <v/>
      </c>
      <c r="N37" s="9" t="str">
        <f ca="1">IF(A37="","",IF(J37=0,"NILAI BELUM DIISI",IF(L37=0,"Lunas",IF(C37="","Belum Ada Jatuh Tempo",IF(TODAY()&gt;C37,IF(K37&gt;0,"Jatuh Tempo - Dibayar Sebagian","Jatuh Tempo"),IF(K37&gt;0,"Dibayar Sebagian",IF(C37-TODAY()&lt;=MASTER!$AF$5,"Segera Jatuh Tempo","Belum Dibayar")))))))</f>
        <v/>
      </c>
      <c r="O37" s="6" t="str">
        <f>IF(D37="","",IFERROR(INDEX(PERKARA!$D$5:$D$104,MATCH(D37,PERKARA!$A$5:$A$104,0)),""))</f>
        <v/>
      </c>
      <c r="P37" s="10"/>
      <c r="Q37" s="6" t="str">
        <f>IF(D37="","",IFERROR(INDEX(PERKARA!$S$5:$S$104,MATCH(D37,PERKARA!$A$5:$A$104,0)),""))</f>
        <v/>
      </c>
      <c r="R37" s="6"/>
      <c r="S37" s="74" t="str">
        <f t="shared" ca="1" si="15"/>
        <v/>
      </c>
      <c r="T37" s="74" t="str">
        <f t="shared" si="16"/>
        <v/>
      </c>
      <c r="U37" s="74" t="str">
        <f t="shared" si="17"/>
        <v/>
      </c>
      <c r="V37" s="74" t="str">
        <f t="shared" si="18"/>
        <v/>
      </c>
      <c r="W37" s="74" t="str">
        <f t="shared" si="19"/>
        <v/>
      </c>
      <c r="X37" s="67" t="str">
        <f t="shared" ref="X37:X68" si="21">IF(A37="","",IF(COUNTIF($A$5:$A$151,A37)&gt;1,"NOMOR INVOICE DUPLIKAT",IF(D37="","PERKARA BELUM DIISI",IF(E37="ID TIDAK TERDAFTAR","PERKARA TIDAK VALID",IF(K37&gt;J37,"PEMBAYARAN MELEBIHI TAGIHAN","OK")))))</f>
        <v/>
      </c>
      <c r="Y37" s="98"/>
      <c r="Z37" s="98"/>
      <c r="AA37" s="105"/>
      <c r="AB37" s="98"/>
      <c r="AC37" s="104" t="str">
        <f t="shared" si="20"/>
        <v/>
      </c>
      <c r="AD37" s="123"/>
    </row>
    <row r="38" spans="1:30">
      <c r="A38" s="6" t="str">
        <f t="shared" si="11"/>
        <v/>
      </c>
      <c r="B38" s="80"/>
      <c r="C38" s="80" t="str">
        <f>IF(B38="","",IFERROR(B38+MASTER!$AF$9,""))</f>
        <v/>
      </c>
      <c r="D38" s="46"/>
      <c r="E38" s="47" t="str">
        <f>IF(D38="","",IFERROR(INDEX(PERKARA!$B$5:$B$104,MATCH(D38,PERKARA!$A$5:$A$104,0)),"ID TIDAK TERDAFTAR"))</f>
        <v/>
      </c>
      <c r="F38" s="6"/>
      <c r="G38" s="72"/>
      <c r="H38" s="72"/>
      <c r="I38" s="72"/>
      <c r="J38" s="73" t="str">
        <f t="shared" si="12"/>
        <v/>
      </c>
      <c r="K38" s="73" t="str">
        <f>IF(A38="","",IF(AD38="",0,AD38)+SUMIFS(PEMASUKAN!$H$5:$H$204,PEMASUKAN!$G$5:$G$204,A38))</f>
        <v/>
      </c>
      <c r="L38" s="73" t="str">
        <f t="shared" si="13"/>
        <v/>
      </c>
      <c r="M38" s="81" t="str">
        <f t="shared" ca="1" si="14"/>
        <v/>
      </c>
      <c r="N38" s="9" t="str">
        <f ca="1">IF(A38="","",IF(J38=0,"NILAI BELUM DIISI",IF(L38=0,"Lunas",IF(C38="","Belum Ada Jatuh Tempo",IF(TODAY()&gt;C38,IF(K38&gt;0,"Jatuh Tempo - Dibayar Sebagian","Jatuh Tempo"),IF(K38&gt;0,"Dibayar Sebagian",IF(C38-TODAY()&lt;=MASTER!$AF$5,"Segera Jatuh Tempo","Belum Dibayar")))))))</f>
        <v/>
      </c>
      <c r="O38" s="6" t="str">
        <f>IF(D38="","",IFERROR(INDEX(PERKARA!$D$5:$D$104,MATCH(D38,PERKARA!$A$5:$A$104,0)),""))</f>
        <v/>
      </c>
      <c r="P38" s="10"/>
      <c r="Q38" s="6" t="str">
        <f>IF(D38="","",IFERROR(INDEX(PERKARA!$S$5:$S$104,MATCH(D38,PERKARA!$A$5:$A$104,0)),""))</f>
        <v/>
      </c>
      <c r="R38" s="6"/>
      <c r="S38" s="74" t="str">
        <f t="shared" ca="1" si="15"/>
        <v/>
      </c>
      <c r="T38" s="74" t="str">
        <f t="shared" si="16"/>
        <v/>
      </c>
      <c r="U38" s="74" t="str">
        <f t="shared" si="17"/>
        <v/>
      </c>
      <c r="V38" s="74" t="str">
        <f t="shared" si="18"/>
        <v/>
      </c>
      <c r="W38" s="74" t="str">
        <f t="shared" si="19"/>
        <v/>
      </c>
      <c r="X38" s="67" t="str">
        <f t="shared" si="21"/>
        <v/>
      </c>
      <c r="Y38" s="98"/>
      <c r="Z38" s="98"/>
      <c r="AA38" s="105"/>
      <c r="AB38" s="98"/>
      <c r="AC38" s="104" t="str">
        <f t="shared" si="20"/>
        <v/>
      </c>
      <c r="AD38" s="123"/>
    </row>
    <row r="39" spans="1:30">
      <c r="A39" s="6" t="str">
        <f t="shared" si="11"/>
        <v/>
      </c>
      <c r="B39" s="80"/>
      <c r="C39" s="80" t="str">
        <f>IF(B39="","",IFERROR(B39+MASTER!$AF$9,""))</f>
        <v/>
      </c>
      <c r="D39" s="46"/>
      <c r="E39" s="47" t="str">
        <f>IF(D39="","",IFERROR(INDEX(PERKARA!$B$5:$B$104,MATCH(D39,PERKARA!$A$5:$A$104,0)),"ID TIDAK TERDAFTAR"))</f>
        <v/>
      </c>
      <c r="F39" s="6"/>
      <c r="G39" s="72"/>
      <c r="H39" s="72"/>
      <c r="I39" s="72"/>
      <c r="J39" s="73" t="str">
        <f t="shared" si="12"/>
        <v/>
      </c>
      <c r="K39" s="73" t="str">
        <f>IF(A39="","",IF(AD39="",0,AD39)+SUMIFS(PEMASUKAN!$H$5:$H$204,PEMASUKAN!$G$5:$G$204,A39))</f>
        <v/>
      </c>
      <c r="L39" s="73" t="str">
        <f t="shared" si="13"/>
        <v/>
      </c>
      <c r="M39" s="81" t="str">
        <f t="shared" ca="1" si="14"/>
        <v/>
      </c>
      <c r="N39" s="9" t="str">
        <f ca="1">IF(A39="","",IF(J39=0,"NILAI BELUM DIISI",IF(L39=0,"Lunas",IF(C39="","Belum Ada Jatuh Tempo",IF(TODAY()&gt;C39,IF(K39&gt;0,"Jatuh Tempo - Dibayar Sebagian","Jatuh Tempo"),IF(K39&gt;0,"Dibayar Sebagian",IF(C39-TODAY()&lt;=MASTER!$AF$5,"Segera Jatuh Tempo","Belum Dibayar")))))))</f>
        <v/>
      </c>
      <c r="O39" s="6" t="str">
        <f>IF(D39="","",IFERROR(INDEX(PERKARA!$D$5:$D$104,MATCH(D39,PERKARA!$A$5:$A$104,0)),""))</f>
        <v/>
      </c>
      <c r="P39" s="10"/>
      <c r="Q39" s="6" t="str">
        <f>IF(D39="","",IFERROR(INDEX(PERKARA!$S$5:$S$104,MATCH(D39,PERKARA!$A$5:$A$104,0)),""))</f>
        <v/>
      </c>
      <c r="R39" s="6"/>
      <c r="S39" s="74" t="str">
        <f t="shared" ca="1" si="15"/>
        <v/>
      </c>
      <c r="T39" s="74" t="str">
        <f t="shared" si="16"/>
        <v/>
      </c>
      <c r="U39" s="74" t="str">
        <f t="shared" si="17"/>
        <v/>
      </c>
      <c r="V39" s="74" t="str">
        <f t="shared" si="18"/>
        <v/>
      </c>
      <c r="W39" s="74" t="str">
        <f t="shared" si="19"/>
        <v/>
      </c>
      <c r="X39" s="67" t="str">
        <f t="shared" si="21"/>
        <v/>
      </c>
      <c r="Y39" s="98"/>
      <c r="Z39" s="98"/>
      <c r="AA39" s="105"/>
      <c r="AB39" s="98"/>
      <c r="AC39" s="104" t="str">
        <f t="shared" si="20"/>
        <v/>
      </c>
      <c r="AD39" s="123"/>
    </row>
    <row r="40" spans="1:30">
      <c r="A40" s="6" t="str">
        <f t="shared" si="11"/>
        <v/>
      </c>
      <c r="B40" s="80"/>
      <c r="C40" s="80" t="str">
        <f>IF(B40="","",IFERROR(B40+MASTER!$AF$9,""))</f>
        <v/>
      </c>
      <c r="D40" s="46"/>
      <c r="E40" s="47" t="str">
        <f>IF(D40="","",IFERROR(INDEX(PERKARA!$B$5:$B$104,MATCH(D40,PERKARA!$A$5:$A$104,0)),"ID TIDAK TERDAFTAR"))</f>
        <v/>
      </c>
      <c r="F40" s="6"/>
      <c r="G40" s="72"/>
      <c r="H40" s="72"/>
      <c r="I40" s="72"/>
      <c r="J40" s="73" t="str">
        <f t="shared" si="12"/>
        <v/>
      </c>
      <c r="K40" s="73" t="str">
        <f>IF(A40="","",IF(AD40="",0,AD40)+SUMIFS(PEMASUKAN!$H$5:$H$204,PEMASUKAN!$G$5:$G$204,A40))</f>
        <v/>
      </c>
      <c r="L40" s="73" t="str">
        <f t="shared" si="13"/>
        <v/>
      </c>
      <c r="M40" s="81" t="str">
        <f t="shared" ca="1" si="14"/>
        <v/>
      </c>
      <c r="N40" s="9" t="str">
        <f ca="1">IF(A40="","",IF(J40=0,"NILAI BELUM DIISI",IF(L40=0,"Lunas",IF(C40="","Belum Ada Jatuh Tempo",IF(TODAY()&gt;C40,IF(K40&gt;0,"Jatuh Tempo - Dibayar Sebagian","Jatuh Tempo"),IF(K40&gt;0,"Dibayar Sebagian",IF(C40-TODAY()&lt;=MASTER!$AF$5,"Segera Jatuh Tempo","Belum Dibayar")))))))</f>
        <v/>
      </c>
      <c r="O40" s="6" t="str">
        <f>IF(D40="","",IFERROR(INDEX(PERKARA!$D$5:$D$104,MATCH(D40,PERKARA!$A$5:$A$104,0)),""))</f>
        <v/>
      </c>
      <c r="P40" s="10"/>
      <c r="Q40" s="6" t="str">
        <f>IF(D40="","",IFERROR(INDEX(PERKARA!$S$5:$S$104,MATCH(D40,PERKARA!$A$5:$A$104,0)),""))</f>
        <v/>
      </c>
      <c r="R40" s="6"/>
      <c r="S40" s="74" t="str">
        <f t="shared" ca="1" si="15"/>
        <v/>
      </c>
      <c r="T40" s="74" t="str">
        <f t="shared" si="16"/>
        <v/>
      </c>
      <c r="U40" s="74" t="str">
        <f t="shared" si="17"/>
        <v/>
      </c>
      <c r="V40" s="74" t="str">
        <f t="shared" si="18"/>
        <v/>
      </c>
      <c r="W40" s="74" t="str">
        <f t="shared" si="19"/>
        <v/>
      </c>
      <c r="X40" s="67" t="str">
        <f t="shared" si="21"/>
        <v/>
      </c>
      <c r="Y40" s="98"/>
      <c r="Z40" s="98"/>
      <c r="AA40" s="105"/>
      <c r="AB40" s="98"/>
      <c r="AC40" s="104" t="str">
        <f t="shared" si="20"/>
        <v/>
      </c>
      <c r="AD40" s="123"/>
    </row>
    <row r="41" spans="1:30">
      <c r="A41" s="6" t="str">
        <f t="shared" si="11"/>
        <v/>
      </c>
      <c r="B41" s="80"/>
      <c r="C41" s="80" t="str">
        <f>IF(B41="","",IFERROR(B41+MASTER!$AF$9,""))</f>
        <v/>
      </c>
      <c r="D41" s="46"/>
      <c r="E41" s="47" t="str">
        <f>IF(D41="","",IFERROR(INDEX(PERKARA!$B$5:$B$104,MATCH(D41,PERKARA!$A$5:$A$104,0)),"ID TIDAK TERDAFTAR"))</f>
        <v/>
      </c>
      <c r="F41" s="6"/>
      <c r="G41" s="72"/>
      <c r="H41" s="72"/>
      <c r="I41" s="72"/>
      <c r="J41" s="73" t="str">
        <f t="shared" si="12"/>
        <v/>
      </c>
      <c r="K41" s="73" t="str">
        <f>IF(A41="","",IF(AD41="",0,AD41)+SUMIFS(PEMASUKAN!$H$5:$H$204,PEMASUKAN!$G$5:$G$204,A41))</f>
        <v/>
      </c>
      <c r="L41" s="73" t="str">
        <f t="shared" si="13"/>
        <v/>
      </c>
      <c r="M41" s="81" t="str">
        <f t="shared" ca="1" si="14"/>
        <v/>
      </c>
      <c r="N41" s="9" t="str">
        <f ca="1">IF(A41="","",IF(J41=0,"NILAI BELUM DIISI",IF(L41=0,"Lunas",IF(C41="","Belum Ada Jatuh Tempo",IF(TODAY()&gt;C41,IF(K41&gt;0,"Jatuh Tempo - Dibayar Sebagian","Jatuh Tempo"),IF(K41&gt;0,"Dibayar Sebagian",IF(C41-TODAY()&lt;=MASTER!$AF$5,"Segera Jatuh Tempo","Belum Dibayar")))))))</f>
        <v/>
      </c>
      <c r="O41" s="6" t="str">
        <f>IF(D41="","",IFERROR(INDEX(PERKARA!$D$5:$D$104,MATCH(D41,PERKARA!$A$5:$A$104,0)),""))</f>
        <v/>
      </c>
      <c r="P41" s="10"/>
      <c r="Q41" s="6" t="str">
        <f>IF(D41="","",IFERROR(INDEX(PERKARA!$S$5:$S$104,MATCH(D41,PERKARA!$A$5:$A$104,0)),""))</f>
        <v/>
      </c>
      <c r="R41" s="6"/>
      <c r="S41" s="74" t="str">
        <f t="shared" ca="1" si="15"/>
        <v/>
      </c>
      <c r="T41" s="74" t="str">
        <f t="shared" si="16"/>
        <v/>
      </c>
      <c r="U41" s="74" t="str">
        <f t="shared" si="17"/>
        <v/>
      </c>
      <c r="V41" s="74" t="str">
        <f t="shared" si="18"/>
        <v/>
      </c>
      <c r="W41" s="74" t="str">
        <f t="shared" si="19"/>
        <v/>
      </c>
      <c r="X41" s="67" t="str">
        <f t="shared" si="21"/>
        <v/>
      </c>
      <c r="Y41" s="98"/>
      <c r="Z41" s="98"/>
      <c r="AA41" s="105"/>
      <c r="AB41" s="98"/>
      <c r="AC41" s="104" t="str">
        <f t="shared" si="20"/>
        <v/>
      </c>
      <c r="AD41" s="123"/>
    </row>
    <row r="42" spans="1:30">
      <c r="A42" s="6" t="str">
        <f t="shared" si="11"/>
        <v/>
      </c>
      <c r="B42" s="80"/>
      <c r="C42" s="80" t="str">
        <f>IF(B42="","",IFERROR(B42+MASTER!$AF$9,""))</f>
        <v/>
      </c>
      <c r="D42" s="46"/>
      <c r="E42" s="47" t="str">
        <f>IF(D42="","",IFERROR(INDEX(PERKARA!$B$5:$B$104,MATCH(D42,PERKARA!$A$5:$A$104,0)),"ID TIDAK TERDAFTAR"))</f>
        <v/>
      </c>
      <c r="F42" s="6"/>
      <c r="G42" s="72"/>
      <c r="H42" s="72"/>
      <c r="I42" s="72"/>
      <c r="J42" s="73" t="str">
        <f t="shared" si="12"/>
        <v/>
      </c>
      <c r="K42" s="73" t="str">
        <f>IF(A42="","",IF(AD42="",0,AD42)+SUMIFS(PEMASUKAN!$H$5:$H$204,PEMASUKAN!$G$5:$G$204,A42))</f>
        <v/>
      </c>
      <c r="L42" s="73" t="str">
        <f t="shared" si="13"/>
        <v/>
      </c>
      <c r="M42" s="81" t="str">
        <f t="shared" ca="1" si="14"/>
        <v/>
      </c>
      <c r="N42" s="9" t="str">
        <f ca="1">IF(A42="","",IF(J42=0,"NILAI BELUM DIISI",IF(L42=0,"Lunas",IF(C42="","Belum Ada Jatuh Tempo",IF(TODAY()&gt;C42,IF(K42&gt;0,"Jatuh Tempo - Dibayar Sebagian","Jatuh Tempo"),IF(K42&gt;0,"Dibayar Sebagian",IF(C42-TODAY()&lt;=MASTER!$AF$5,"Segera Jatuh Tempo","Belum Dibayar")))))))</f>
        <v/>
      </c>
      <c r="O42" s="6" t="str">
        <f>IF(D42="","",IFERROR(INDEX(PERKARA!$D$5:$D$104,MATCH(D42,PERKARA!$A$5:$A$104,0)),""))</f>
        <v/>
      </c>
      <c r="P42" s="10"/>
      <c r="Q42" s="6" t="str">
        <f>IF(D42="","",IFERROR(INDEX(PERKARA!$S$5:$S$104,MATCH(D42,PERKARA!$A$5:$A$104,0)),""))</f>
        <v/>
      </c>
      <c r="R42" s="6"/>
      <c r="S42" s="74" t="str">
        <f t="shared" ca="1" si="15"/>
        <v/>
      </c>
      <c r="T42" s="74" t="str">
        <f t="shared" si="16"/>
        <v/>
      </c>
      <c r="U42" s="74" t="str">
        <f t="shared" si="17"/>
        <v/>
      </c>
      <c r="V42" s="74" t="str">
        <f t="shared" si="18"/>
        <v/>
      </c>
      <c r="W42" s="74" t="str">
        <f t="shared" si="19"/>
        <v/>
      </c>
      <c r="X42" s="67" t="str">
        <f t="shared" si="21"/>
        <v/>
      </c>
      <c r="Y42" s="98"/>
      <c r="Z42" s="98"/>
      <c r="AA42" s="105"/>
      <c r="AB42" s="98"/>
      <c r="AC42" s="104" t="str">
        <f t="shared" si="20"/>
        <v/>
      </c>
      <c r="AD42" s="123"/>
    </row>
    <row r="43" spans="1:30">
      <c r="A43" s="6" t="str">
        <f t="shared" si="11"/>
        <v/>
      </c>
      <c r="B43" s="80"/>
      <c r="C43" s="80" t="str">
        <f>IF(B43="","",IFERROR(B43+MASTER!$AF$9,""))</f>
        <v/>
      </c>
      <c r="D43" s="46"/>
      <c r="E43" s="47" t="str">
        <f>IF(D43="","",IFERROR(INDEX(PERKARA!$B$5:$B$104,MATCH(D43,PERKARA!$A$5:$A$104,0)),"ID TIDAK TERDAFTAR"))</f>
        <v/>
      </c>
      <c r="F43" s="6"/>
      <c r="G43" s="72"/>
      <c r="H43" s="72"/>
      <c r="I43" s="72"/>
      <c r="J43" s="73" t="str">
        <f t="shared" si="12"/>
        <v/>
      </c>
      <c r="K43" s="73" t="str">
        <f>IF(A43="","",IF(AD43="",0,AD43)+SUMIFS(PEMASUKAN!$H$5:$H$204,PEMASUKAN!$G$5:$G$204,A43))</f>
        <v/>
      </c>
      <c r="L43" s="73" t="str">
        <f t="shared" si="13"/>
        <v/>
      </c>
      <c r="M43" s="81" t="str">
        <f t="shared" ca="1" si="14"/>
        <v/>
      </c>
      <c r="N43" s="9" t="str">
        <f ca="1">IF(A43="","",IF(J43=0,"NILAI BELUM DIISI",IF(L43=0,"Lunas",IF(C43="","Belum Ada Jatuh Tempo",IF(TODAY()&gt;C43,IF(K43&gt;0,"Jatuh Tempo - Dibayar Sebagian","Jatuh Tempo"),IF(K43&gt;0,"Dibayar Sebagian",IF(C43-TODAY()&lt;=MASTER!$AF$5,"Segera Jatuh Tempo","Belum Dibayar")))))))</f>
        <v/>
      </c>
      <c r="O43" s="6" t="str">
        <f>IF(D43="","",IFERROR(INDEX(PERKARA!$D$5:$D$104,MATCH(D43,PERKARA!$A$5:$A$104,0)),""))</f>
        <v/>
      </c>
      <c r="P43" s="10"/>
      <c r="Q43" s="6" t="str">
        <f>IF(D43="","",IFERROR(INDEX(PERKARA!$S$5:$S$104,MATCH(D43,PERKARA!$A$5:$A$104,0)),""))</f>
        <v/>
      </c>
      <c r="R43" s="6"/>
      <c r="S43" s="74" t="str">
        <f t="shared" ca="1" si="15"/>
        <v/>
      </c>
      <c r="T43" s="74" t="str">
        <f t="shared" si="16"/>
        <v/>
      </c>
      <c r="U43" s="74" t="str">
        <f t="shared" si="17"/>
        <v/>
      </c>
      <c r="V43" s="74" t="str">
        <f t="shared" si="18"/>
        <v/>
      </c>
      <c r="W43" s="74" t="str">
        <f t="shared" si="19"/>
        <v/>
      </c>
      <c r="X43" s="67" t="str">
        <f t="shared" si="21"/>
        <v/>
      </c>
      <c r="Y43" s="98"/>
      <c r="Z43" s="98"/>
      <c r="AA43" s="105"/>
      <c r="AB43" s="98"/>
      <c r="AC43" s="104" t="str">
        <f t="shared" si="20"/>
        <v/>
      </c>
      <c r="AD43" s="123"/>
    </row>
    <row r="44" spans="1:30">
      <c r="A44" s="6" t="str">
        <f t="shared" si="11"/>
        <v/>
      </c>
      <c r="B44" s="80"/>
      <c r="C44" s="80" t="str">
        <f>IF(B44="","",IFERROR(B44+MASTER!$AF$9,""))</f>
        <v/>
      </c>
      <c r="D44" s="46"/>
      <c r="E44" s="47" t="str">
        <f>IF(D44="","",IFERROR(INDEX(PERKARA!$B$5:$B$104,MATCH(D44,PERKARA!$A$5:$A$104,0)),"ID TIDAK TERDAFTAR"))</f>
        <v/>
      </c>
      <c r="F44" s="6"/>
      <c r="G44" s="72"/>
      <c r="H44" s="72"/>
      <c r="I44" s="72"/>
      <c r="J44" s="73" t="str">
        <f t="shared" si="12"/>
        <v/>
      </c>
      <c r="K44" s="73" t="str">
        <f>IF(A44="","",IF(AD44="",0,AD44)+SUMIFS(PEMASUKAN!$H$5:$H$204,PEMASUKAN!$G$5:$G$204,A44))</f>
        <v/>
      </c>
      <c r="L44" s="73" t="str">
        <f t="shared" si="13"/>
        <v/>
      </c>
      <c r="M44" s="81" t="str">
        <f t="shared" ca="1" si="14"/>
        <v/>
      </c>
      <c r="N44" s="9" t="str">
        <f ca="1">IF(A44="","",IF(J44=0,"NILAI BELUM DIISI",IF(L44=0,"Lunas",IF(C44="","Belum Ada Jatuh Tempo",IF(TODAY()&gt;C44,IF(K44&gt;0,"Jatuh Tempo - Dibayar Sebagian","Jatuh Tempo"),IF(K44&gt;0,"Dibayar Sebagian",IF(C44-TODAY()&lt;=MASTER!$AF$5,"Segera Jatuh Tempo","Belum Dibayar")))))))</f>
        <v/>
      </c>
      <c r="O44" s="6" t="str">
        <f>IF(D44="","",IFERROR(INDEX(PERKARA!$D$5:$D$104,MATCH(D44,PERKARA!$A$5:$A$104,0)),""))</f>
        <v/>
      </c>
      <c r="P44" s="10"/>
      <c r="Q44" s="6" t="str">
        <f>IF(D44="","",IFERROR(INDEX(PERKARA!$S$5:$S$104,MATCH(D44,PERKARA!$A$5:$A$104,0)),""))</f>
        <v/>
      </c>
      <c r="R44" s="6"/>
      <c r="S44" s="74" t="str">
        <f t="shared" ca="1" si="15"/>
        <v/>
      </c>
      <c r="T44" s="74" t="str">
        <f t="shared" si="16"/>
        <v/>
      </c>
      <c r="U44" s="74" t="str">
        <f t="shared" si="17"/>
        <v/>
      </c>
      <c r="V44" s="74" t="str">
        <f t="shared" si="18"/>
        <v/>
      </c>
      <c r="W44" s="74" t="str">
        <f t="shared" si="19"/>
        <v/>
      </c>
      <c r="X44" s="67" t="str">
        <f t="shared" si="21"/>
        <v/>
      </c>
      <c r="Y44" s="98"/>
      <c r="Z44" s="98"/>
      <c r="AA44" s="105"/>
      <c r="AB44" s="98"/>
      <c r="AC44" s="104" t="str">
        <f t="shared" si="20"/>
        <v/>
      </c>
      <c r="AD44" s="123"/>
    </row>
    <row r="45" spans="1:30">
      <c r="A45" s="6" t="str">
        <f t="shared" si="11"/>
        <v/>
      </c>
      <c r="B45" s="80"/>
      <c r="C45" s="80" t="str">
        <f>IF(B45="","",IFERROR(B45+MASTER!$AF$9,""))</f>
        <v/>
      </c>
      <c r="D45" s="46"/>
      <c r="E45" s="47" t="str">
        <f>IF(D45="","",IFERROR(INDEX(PERKARA!$B$5:$B$104,MATCH(D45,PERKARA!$A$5:$A$104,0)),"ID TIDAK TERDAFTAR"))</f>
        <v/>
      </c>
      <c r="F45" s="6"/>
      <c r="G45" s="72"/>
      <c r="H45" s="72"/>
      <c r="I45" s="72"/>
      <c r="J45" s="73" t="str">
        <f t="shared" si="12"/>
        <v/>
      </c>
      <c r="K45" s="73" t="str">
        <f>IF(A45="","",IF(AD45="",0,AD45)+SUMIFS(PEMASUKAN!$H$5:$H$204,PEMASUKAN!$G$5:$G$204,A45))</f>
        <v/>
      </c>
      <c r="L45" s="73" t="str">
        <f t="shared" si="13"/>
        <v/>
      </c>
      <c r="M45" s="81" t="str">
        <f t="shared" ca="1" si="14"/>
        <v/>
      </c>
      <c r="N45" s="9" t="str">
        <f ca="1">IF(A45="","",IF(J45=0,"NILAI BELUM DIISI",IF(L45=0,"Lunas",IF(C45="","Belum Ada Jatuh Tempo",IF(TODAY()&gt;C45,IF(K45&gt;0,"Jatuh Tempo - Dibayar Sebagian","Jatuh Tempo"),IF(K45&gt;0,"Dibayar Sebagian",IF(C45-TODAY()&lt;=MASTER!$AF$5,"Segera Jatuh Tempo","Belum Dibayar")))))))</f>
        <v/>
      </c>
      <c r="O45" s="6" t="str">
        <f>IF(D45="","",IFERROR(INDEX(PERKARA!$D$5:$D$104,MATCH(D45,PERKARA!$A$5:$A$104,0)),""))</f>
        <v/>
      </c>
      <c r="P45" s="10"/>
      <c r="Q45" s="6" t="str">
        <f>IF(D45="","",IFERROR(INDEX(PERKARA!$S$5:$S$104,MATCH(D45,PERKARA!$A$5:$A$104,0)),""))</f>
        <v/>
      </c>
      <c r="R45" s="6"/>
      <c r="S45" s="74" t="str">
        <f t="shared" ca="1" si="15"/>
        <v/>
      </c>
      <c r="T45" s="74" t="str">
        <f t="shared" si="16"/>
        <v/>
      </c>
      <c r="U45" s="74" t="str">
        <f t="shared" si="17"/>
        <v/>
      </c>
      <c r="V45" s="74" t="str">
        <f t="shared" si="18"/>
        <v/>
      </c>
      <c r="W45" s="74" t="str">
        <f t="shared" si="19"/>
        <v/>
      </c>
      <c r="X45" s="67" t="str">
        <f t="shared" si="21"/>
        <v/>
      </c>
      <c r="Y45" s="98"/>
      <c r="Z45" s="98"/>
      <c r="AA45" s="105"/>
      <c r="AB45" s="98"/>
      <c r="AC45" s="104" t="str">
        <f t="shared" si="20"/>
        <v/>
      </c>
      <c r="AD45" s="123"/>
    </row>
    <row r="46" spans="1:30">
      <c r="A46" s="6" t="str">
        <f t="shared" si="11"/>
        <v/>
      </c>
      <c r="B46" s="80"/>
      <c r="C46" s="80" t="str">
        <f>IF(B46="","",IFERROR(B46+MASTER!$AF$9,""))</f>
        <v/>
      </c>
      <c r="D46" s="46"/>
      <c r="E46" s="47" t="str">
        <f>IF(D46="","",IFERROR(INDEX(PERKARA!$B$5:$B$104,MATCH(D46,PERKARA!$A$5:$A$104,0)),"ID TIDAK TERDAFTAR"))</f>
        <v/>
      </c>
      <c r="F46" s="6"/>
      <c r="G46" s="72"/>
      <c r="H46" s="72"/>
      <c r="I46" s="72"/>
      <c r="J46" s="73" t="str">
        <f t="shared" si="12"/>
        <v/>
      </c>
      <c r="K46" s="73" t="str">
        <f>IF(A46="","",IF(AD46="",0,AD46)+SUMIFS(PEMASUKAN!$H$5:$H$204,PEMASUKAN!$G$5:$G$204,A46))</f>
        <v/>
      </c>
      <c r="L46" s="73" t="str">
        <f t="shared" si="13"/>
        <v/>
      </c>
      <c r="M46" s="81" t="str">
        <f t="shared" ca="1" si="14"/>
        <v/>
      </c>
      <c r="N46" s="9" t="str">
        <f ca="1">IF(A46="","",IF(J46=0,"NILAI BELUM DIISI",IF(L46=0,"Lunas",IF(C46="","Belum Ada Jatuh Tempo",IF(TODAY()&gt;C46,IF(K46&gt;0,"Jatuh Tempo - Dibayar Sebagian","Jatuh Tempo"),IF(K46&gt;0,"Dibayar Sebagian",IF(C46-TODAY()&lt;=MASTER!$AF$5,"Segera Jatuh Tempo","Belum Dibayar")))))))</f>
        <v/>
      </c>
      <c r="O46" s="6" t="str">
        <f>IF(D46="","",IFERROR(INDEX(PERKARA!$D$5:$D$104,MATCH(D46,PERKARA!$A$5:$A$104,0)),""))</f>
        <v/>
      </c>
      <c r="P46" s="10"/>
      <c r="Q46" s="6" t="str">
        <f>IF(D46="","",IFERROR(INDEX(PERKARA!$S$5:$S$104,MATCH(D46,PERKARA!$A$5:$A$104,0)),""))</f>
        <v/>
      </c>
      <c r="R46" s="6"/>
      <c r="S46" s="74" t="str">
        <f t="shared" ca="1" si="15"/>
        <v/>
      </c>
      <c r="T46" s="74" t="str">
        <f t="shared" si="16"/>
        <v/>
      </c>
      <c r="U46" s="74" t="str">
        <f t="shared" si="17"/>
        <v/>
      </c>
      <c r="V46" s="74" t="str">
        <f t="shared" si="18"/>
        <v/>
      </c>
      <c r="W46" s="74" t="str">
        <f t="shared" si="19"/>
        <v/>
      </c>
      <c r="X46" s="67" t="str">
        <f t="shared" si="21"/>
        <v/>
      </c>
      <c r="Y46" s="98"/>
      <c r="Z46" s="98"/>
      <c r="AA46" s="105"/>
      <c r="AB46" s="98"/>
      <c r="AC46" s="104" t="str">
        <f t="shared" si="20"/>
        <v/>
      </c>
      <c r="AD46" s="123"/>
    </row>
    <row r="47" spans="1:30">
      <c r="A47" s="6" t="str">
        <f t="shared" si="11"/>
        <v/>
      </c>
      <c r="B47" s="80"/>
      <c r="C47" s="80" t="str">
        <f>IF(B47="","",IFERROR(B47+MASTER!$AF$9,""))</f>
        <v/>
      </c>
      <c r="D47" s="46"/>
      <c r="E47" s="47" t="str">
        <f>IF(D47="","",IFERROR(INDEX(PERKARA!$B$5:$B$104,MATCH(D47,PERKARA!$A$5:$A$104,0)),"ID TIDAK TERDAFTAR"))</f>
        <v/>
      </c>
      <c r="F47" s="6"/>
      <c r="G47" s="72"/>
      <c r="H47" s="72"/>
      <c r="I47" s="72"/>
      <c r="J47" s="73" t="str">
        <f t="shared" si="12"/>
        <v/>
      </c>
      <c r="K47" s="73" t="str">
        <f>IF(A47="","",IF(AD47="",0,AD47)+SUMIFS(PEMASUKAN!$H$5:$H$204,PEMASUKAN!$G$5:$G$204,A47))</f>
        <v/>
      </c>
      <c r="L47" s="73" t="str">
        <f t="shared" si="13"/>
        <v/>
      </c>
      <c r="M47" s="81" t="str">
        <f t="shared" ca="1" si="14"/>
        <v/>
      </c>
      <c r="N47" s="9" t="str">
        <f ca="1">IF(A47="","",IF(J47=0,"NILAI BELUM DIISI",IF(L47=0,"Lunas",IF(C47="","Belum Ada Jatuh Tempo",IF(TODAY()&gt;C47,IF(K47&gt;0,"Jatuh Tempo - Dibayar Sebagian","Jatuh Tempo"),IF(K47&gt;0,"Dibayar Sebagian",IF(C47-TODAY()&lt;=MASTER!$AF$5,"Segera Jatuh Tempo","Belum Dibayar")))))))</f>
        <v/>
      </c>
      <c r="O47" s="6" t="str">
        <f>IF(D47="","",IFERROR(INDEX(PERKARA!$D$5:$D$104,MATCH(D47,PERKARA!$A$5:$A$104,0)),""))</f>
        <v/>
      </c>
      <c r="P47" s="10"/>
      <c r="Q47" s="6" t="str">
        <f>IF(D47="","",IFERROR(INDEX(PERKARA!$S$5:$S$104,MATCH(D47,PERKARA!$A$5:$A$104,0)),""))</f>
        <v/>
      </c>
      <c r="R47" s="6"/>
      <c r="S47" s="74" t="str">
        <f t="shared" ca="1" si="15"/>
        <v/>
      </c>
      <c r="T47" s="74" t="str">
        <f t="shared" si="16"/>
        <v/>
      </c>
      <c r="U47" s="74" t="str">
        <f t="shared" si="17"/>
        <v/>
      </c>
      <c r="V47" s="74" t="str">
        <f t="shared" si="18"/>
        <v/>
      </c>
      <c r="W47" s="74" t="str">
        <f t="shared" si="19"/>
        <v/>
      </c>
      <c r="X47" s="67" t="str">
        <f t="shared" si="21"/>
        <v/>
      </c>
      <c r="Y47" s="98"/>
      <c r="Z47" s="98"/>
      <c r="AA47" s="105"/>
      <c r="AB47" s="98"/>
      <c r="AC47" s="104" t="str">
        <f t="shared" si="20"/>
        <v/>
      </c>
      <c r="AD47" s="123"/>
    </row>
    <row r="48" spans="1:30">
      <c r="A48" s="6" t="str">
        <f t="shared" si="11"/>
        <v/>
      </c>
      <c r="B48" s="80"/>
      <c r="C48" s="80" t="str">
        <f>IF(B48="","",IFERROR(B48+MASTER!$AF$9,""))</f>
        <v/>
      </c>
      <c r="D48" s="46"/>
      <c r="E48" s="47" t="str">
        <f>IF(D48="","",IFERROR(INDEX(PERKARA!$B$5:$B$104,MATCH(D48,PERKARA!$A$5:$A$104,0)),"ID TIDAK TERDAFTAR"))</f>
        <v/>
      </c>
      <c r="F48" s="6"/>
      <c r="G48" s="72"/>
      <c r="H48" s="72"/>
      <c r="I48" s="72"/>
      <c r="J48" s="73" t="str">
        <f t="shared" si="12"/>
        <v/>
      </c>
      <c r="K48" s="73" t="str">
        <f>IF(A48="","",IF(AD48="",0,AD48)+SUMIFS(PEMASUKAN!$H$5:$H$204,PEMASUKAN!$G$5:$G$204,A48))</f>
        <v/>
      </c>
      <c r="L48" s="73" t="str">
        <f t="shared" si="13"/>
        <v/>
      </c>
      <c r="M48" s="81" t="str">
        <f t="shared" ca="1" si="14"/>
        <v/>
      </c>
      <c r="N48" s="9" t="str">
        <f ca="1">IF(A48="","",IF(J48=0,"NILAI BELUM DIISI",IF(L48=0,"Lunas",IF(C48="","Belum Ada Jatuh Tempo",IF(TODAY()&gt;C48,IF(K48&gt;0,"Jatuh Tempo - Dibayar Sebagian","Jatuh Tempo"),IF(K48&gt;0,"Dibayar Sebagian",IF(C48-TODAY()&lt;=MASTER!$AF$5,"Segera Jatuh Tempo","Belum Dibayar")))))))</f>
        <v/>
      </c>
      <c r="O48" s="6" t="str">
        <f>IF(D48="","",IFERROR(INDEX(PERKARA!$D$5:$D$104,MATCH(D48,PERKARA!$A$5:$A$104,0)),""))</f>
        <v/>
      </c>
      <c r="P48" s="10"/>
      <c r="Q48" s="6" t="str">
        <f>IF(D48="","",IFERROR(INDEX(PERKARA!$S$5:$S$104,MATCH(D48,PERKARA!$A$5:$A$104,0)),""))</f>
        <v/>
      </c>
      <c r="R48" s="6"/>
      <c r="S48" s="74" t="str">
        <f t="shared" ca="1" si="15"/>
        <v/>
      </c>
      <c r="T48" s="74" t="str">
        <f t="shared" si="16"/>
        <v/>
      </c>
      <c r="U48" s="74" t="str">
        <f t="shared" si="17"/>
        <v/>
      </c>
      <c r="V48" s="74" t="str">
        <f t="shared" si="18"/>
        <v/>
      </c>
      <c r="W48" s="74" t="str">
        <f t="shared" si="19"/>
        <v/>
      </c>
      <c r="X48" s="67" t="str">
        <f t="shared" si="21"/>
        <v/>
      </c>
      <c r="Y48" s="98"/>
      <c r="Z48" s="98"/>
      <c r="AA48" s="105"/>
      <c r="AB48" s="98"/>
      <c r="AC48" s="104" t="str">
        <f t="shared" si="20"/>
        <v/>
      </c>
      <c r="AD48" s="123"/>
    </row>
    <row r="49" spans="1:30">
      <c r="A49" s="6" t="str">
        <f t="shared" si="11"/>
        <v/>
      </c>
      <c r="B49" s="80"/>
      <c r="C49" s="80" t="str">
        <f>IF(B49="","",IFERROR(B49+MASTER!$AF$9,""))</f>
        <v/>
      </c>
      <c r="D49" s="46"/>
      <c r="E49" s="47" t="str">
        <f>IF(D49="","",IFERROR(INDEX(PERKARA!$B$5:$B$104,MATCH(D49,PERKARA!$A$5:$A$104,0)),"ID TIDAK TERDAFTAR"))</f>
        <v/>
      </c>
      <c r="F49" s="6"/>
      <c r="G49" s="72"/>
      <c r="H49" s="72"/>
      <c r="I49" s="72"/>
      <c r="J49" s="73" t="str">
        <f t="shared" si="12"/>
        <v/>
      </c>
      <c r="K49" s="73" t="str">
        <f>IF(A49="","",IF(AD49="",0,AD49)+SUMIFS(PEMASUKAN!$H$5:$H$204,PEMASUKAN!$G$5:$G$204,A49))</f>
        <v/>
      </c>
      <c r="L49" s="73" t="str">
        <f t="shared" si="13"/>
        <v/>
      </c>
      <c r="M49" s="81" t="str">
        <f t="shared" ca="1" si="14"/>
        <v/>
      </c>
      <c r="N49" s="9" t="str">
        <f ca="1">IF(A49="","",IF(J49=0,"NILAI BELUM DIISI",IF(L49=0,"Lunas",IF(C49="","Belum Ada Jatuh Tempo",IF(TODAY()&gt;C49,IF(K49&gt;0,"Jatuh Tempo - Dibayar Sebagian","Jatuh Tempo"),IF(K49&gt;0,"Dibayar Sebagian",IF(C49-TODAY()&lt;=MASTER!$AF$5,"Segera Jatuh Tempo","Belum Dibayar")))))))</f>
        <v/>
      </c>
      <c r="O49" s="6" t="str">
        <f>IF(D49="","",IFERROR(INDEX(PERKARA!$D$5:$D$104,MATCH(D49,PERKARA!$A$5:$A$104,0)),""))</f>
        <v/>
      </c>
      <c r="P49" s="10"/>
      <c r="Q49" s="6" t="str">
        <f>IF(D49="","",IFERROR(INDEX(PERKARA!$S$5:$S$104,MATCH(D49,PERKARA!$A$5:$A$104,0)),""))</f>
        <v/>
      </c>
      <c r="R49" s="6"/>
      <c r="S49" s="74" t="str">
        <f t="shared" ca="1" si="15"/>
        <v/>
      </c>
      <c r="T49" s="74" t="str">
        <f t="shared" si="16"/>
        <v/>
      </c>
      <c r="U49" s="74" t="str">
        <f t="shared" si="17"/>
        <v/>
      </c>
      <c r="V49" s="74" t="str">
        <f t="shared" si="18"/>
        <v/>
      </c>
      <c r="W49" s="74" t="str">
        <f t="shared" si="19"/>
        <v/>
      </c>
      <c r="X49" s="67" t="str">
        <f t="shared" si="21"/>
        <v/>
      </c>
      <c r="Y49" s="98"/>
      <c r="Z49" s="98"/>
      <c r="AA49" s="105"/>
      <c r="AB49" s="98"/>
      <c r="AC49" s="104" t="str">
        <f t="shared" si="20"/>
        <v/>
      </c>
      <c r="AD49" s="123"/>
    </row>
    <row r="50" spans="1:30">
      <c r="A50" s="6" t="str">
        <f t="shared" si="11"/>
        <v/>
      </c>
      <c r="B50" s="80"/>
      <c r="C50" s="80" t="str">
        <f>IF(B50="","",IFERROR(B50+MASTER!$AF$9,""))</f>
        <v/>
      </c>
      <c r="D50" s="46"/>
      <c r="E50" s="47" t="str">
        <f>IF(D50="","",IFERROR(INDEX(PERKARA!$B$5:$B$104,MATCH(D50,PERKARA!$A$5:$A$104,0)),"ID TIDAK TERDAFTAR"))</f>
        <v/>
      </c>
      <c r="F50" s="6"/>
      <c r="G50" s="72"/>
      <c r="H50" s="72"/>
      <c r="I50" s="72"/>
      <c r="J50" s="73" t="str">
        <f t="shared" si="12"/>
        <v/>
      </c>
      <c r="K50" s="73" t="str">
        <f>IF(A50="","",IF(AD50="",0,AD50)+SUMIFS(PEMASUKAN!$H$5:$H$204,PEMASUKAN!$G$5:$G$204,A50))</f>
        <v/>
      </c>
      <c r="L50" s="73" t="str">
        <f t="shared" si="13"/>
        <v/>
      </c>
      <c r="M50" s="81" t="str">
        <f t="shared" ca="1" si="14"/>
        <v/>
      </c>
      <c r="N50" s="9" t="str">
        <f ca="1">IF(A50="","",IF(J50=0,"NILAI BELUM DIISI",IF(L50=0,"Lunas",IF(C50="","Belum Ada Jatuh Tempo",IF(TODAY()&gt;C50,IF(K50&gt;0,"Jatuh Tempo - Dibayar Sebagian","Jatuh Tempo"),IF(K50&gt;0,"Dibayar Sebagian",IF(C50-TODAY()&lt;=MASTER!$AF$5,"Segera Jatuh Tempo","Belum Dibayar")))))))</f>
        <v/>
      </c>
      <c r="O50" s="6" t="str">
        <f>IF(D50="","",IFERROR(INDEX(PERKARA!$D$5:$D$104,MATCH(D50,PERKARA!$A$5:$A$104,0)),""))</f>
        <v/>
      </c>
      <c r="P50" s="10"/>
      <c r="Q50" s="6" t="str">
        <f>IF(D50="","",IFERROR(INDEX(PERKARA!$S$5:$S$104,MATCH(D50,PERKARA!$A$5:$A$104,0)),""))</f>
        <v/>
      </c>
      <c r="R50" s="6"/>
      <c r="S50" s="74" t="str">
        <f t="shared" ca="1" si="15"/>
        <v/>
      </c>
      <c r="T50" s="74" t="str">
        <f t="shared" si="16"/>
        <v/>
      </c>
      <c r="U50" s="74" t="str">
        <f t="shared" si="17"/>
        <v/>
      </c>
      <c r="V50" s="74" t="str">
        <f t="shared" si="18"/>
        <v/>
      </c>
      <c r="W50" s="74" t="str">
        <f t="shared" si="19"/>
        <v/>
      </c>
      <c r="X50" s="67" t="str">
        <f t="shared" si="21"/>
        <v/>
      </c>
      <c r="Y50" s="98"/>
      <c r="Z50" s="98"/>
      <c r="AA50" s="105"/>
      <c r="AB50" s="98"/>
      <c r="AC50" s="104" t="str">
        <f t="shared" si="20"/>
        <v/>
      </c>
      <c r="AD50" s="123"/>
    </row>
    <row r="51" spans="1:30">
      <c r="A51" s="6" t="str">
        <f t="shared" si="11"/>
        <v/>
      </c>
      <c r="B51" s="80"/>
      <c r="C51" s="80" t="str">
        <f>IF(B51="","",IFERROR(B51+MASTER!$AF$9,""))</f>
        <v/>
      </c>
      <c r="D51" s="46"/>
      <c r="E51" s="47" t="str">
        <f>IF(D51="","",IFERROR(INDEX(PERKARA!$B$5:$B$104,MATCH(D51,PERKARA!$A$5:$A$104,0)),"ID TIDAK TERDAFTAR"))</f>
        <v/>
      </c>
      <c r="F51" s="6"/>
      <c r="G51" s="72"/>
      <c r="H51" s="72"/>
      <c r="I51" s="72"/>
      <c r="J51" s="73" t="str">
        <f t="shared" si="12"/>
        <v/>
      </c>
      <c r="K51" s="73" t="str">
        <f>IF(A51="","",IF(AD51="",0,AD51)+SUMIFS(PEMASUKAN!$H$5:$H$204,PEMASUKAN!$G$5:$G$204,A51))</f>
        <v/>
      </c>
      <c r="L51" s="73" t="str">
        <f t="shared" si="13"/>
        <v/>
      </c>
      <c r="M51" s="81" t="str">
        <f t="shared" ca="1" si="14"/>
        <v/>
      </c>
      <c r="N51" s="9" t="str">
        <f ca="1">IF(A51="","",IF(J51=0,"NILAI BELUM DIISI",IF(L51=0,"Lunas",IF(C51="","Belum Ada Jatuh Tempo",IF(TODAY()&gt;C51,IF(K51&gt;0,"Jatuh Tempo - Dibayar Sebagian","Jatuh Tempo"),IF(K51&gt;0,"Dibayar Sebagian",IF(C51-TODAY()&lt;=MASTER!$AF$5,"Segera Jatuh Tempo","Belum Dibayar")))))))</f>
        <v/>
      </c>
      <c r="O51" s="6" t="str">
        <f>IF(D51="","",IFERROR(INDEX(PERKARA!$D$5:$D$104,MATCH(D51,PERKARA!$A$5:$A$104,0)),""))</f>
        <v/>
      </c>
      <c r="P51" s="10"/>
      <c r="Q51" s="6" t="str">
        <f>IF(D51="","",IFERROR(INDEX(PERKARA!$S$5:$S$104,MATCH(D51,PERKARA!$A$5:$A$104,0)),""))</f>
        <v/>
      </c>
      <c r="R51" s="6"/>
      <c r="S51" s="74" t="str">
        <f t="shared" ca="1" si="15"/>
        <v/>
      </c>
      <c r="T51" s="74" t="str">
        <f t="shared" si="16"/>
        <v/>
      </c>
      <c r="U51" s="74" t="str">
        <f t="shared" si="17"/>
        <v/>
      </c>
      <c r="V51" s="74" t="str">
        <f t="shared" si="18"/>
        <v/>
      </c>
      <c r="W51" s="74" t="str">
        <f t="shared" si="19"/>
        <v/>
      </c>
      <c r="X51" s="67" t="str">
        <f t="shared" si="21"/>
        <v/>
      </c>
      <c r="Y51" s="98"/>
      <c r="Z51" s="98"/>
      <c r="AA51" s="105"/>
      <c r="AB51" s="98"/>
      <c r="AC51" s="104" t="str">
        <f t="shared" si="20"/>
        <v/>
      </c>
      <c r="AD51" s="123"/>
    </row>
    <row r="52" spans="1:30">
      <c r="A52" s="6" t="str">
        <f t="shared" si="11"/>
        <v/>
      </c>
      <c r="B52" s="80"/>
      <c r="C52" s="80" t="str">
        <f>IF(B52="","",IFERROR(B52+MASTER!$AF$9,""))</f>
        <v/>
      </c>
      <c r="D52" s="46"/>
      <c r="E52" s="47" t="str">
        <f>IF(D52="","",IFERROR(INDEX(PERKARA!$B$5:$B$104,MATCH(D52,PERKARA!$A$5:$A$104,0)),"ID TIDAK TERDAFTAR"))</f>
        <v/>
      </c>
      <c r="F52" s="6"/>
      <c r="G52" s="72"/>
      <c r="H52" s="72"/>
      <c r="I52" s="72"/>
      <c r="J52" s="73" t="str">
        <f t="shared" si="12"/>
        <v/>
      </c>
      <c r="K52" s="73" t="str">
        <f>IF(A52="","",IF(AD52="",0,AD52)+SUMIFS(PEMASUKAN!$H$5:$H$204,PEMASUKAN!$G$5:$G$204,A52))</f>
        <v/>
      </c>
      <c r="L52" s="73" t="str">
        <f t="shared" si="13"/>
        <v/>
      </c>
      <c r="M52" s="81" t="str">
        <f t="shared" ca="1" si="14"/>
        <v/>
      </c>
      <c r="N52" s="9" t="str">
        <f ca="1">IF(A52="","",IF(J52=0,"NILAI BELUM DIISI",IF(L52=0,"Lunas",IF(C52="","Belum Ada Jatuh Tempo",IF(TODAY()&gt;C52,IF(K52&gt;0,"Jatuh Tempo - Dibayar Sebagian","Jatuh Tempo"),IF(K52&gt;0,"Dibayar Sebagian",IF(C52-TODAY()&lt;=MASTER!$AF$5,"Segera Jatuh Tempo","Belum Dibayar")))))))</f>
        <v/>
      </c>
      <c r="O52" s="6" t="str">
        <f>IF(D52="","",IFERROR(INDEX(PERKARA!$D$5:$D$104,MATCH(D52,PERKARA!$A$5:$A$104,0)),""))</f>
        <v/>
      </c>
      <c r="P52" s="10"/>
      <c r="Q52" s="6" t="str">
        <f>IF(D52="","",IFERROR(INDEX(PERKARA!$S$5:$S$104,MATCH(D52,PERKARA!$A$5:$A$104,0)),""))</f>
        <v/>
      </c>
      <c r="R52" s="6"/>
      <c r="S52" s="74" t="str">
        <f t="shared" ca="1" si="15"/>
        <v/>
      </c>
      <c r="T52" s="74" t="str">
        <f t="shared" si="16"/>
        <v/>
      </c>
      <c r="U52" s="74" t="str">
        <f t="shared" si="17"/>
        <v/>
      </c>
      <c r="V52" s="74" t="str">
        <f t="shared" si="18"/>
        <v/>
      </c>
      <c r="W52" s="74" t="str">
        <f t="shared" si="19"/>
        <v/>
      </c>
      <c r="X52" s="67" t="str">
        <f t="shared" si="21"/>
        <v/>
      </c>
      <c r="Y52" s="98"/>
      <c r="Z52" s="98"/>
      <c r="AA52" s="105"/>
      <c r="AB52" s="98"/>
      <c r="AC52" s="104" t="str">
        <f t="shared" si="20"/>
        <v/>
      </c>
      <c r="AD52" s="123"/>
    </row>
    <row r="53" spans="1:30">
      <c r="A53" s="6" t="str">
        <f t="shared" si="11"/>
        <v/>
      </c>
      <c r="B53" s="80"/>
      <c r="C53" s="80" t="str">
        <f>IF(B53="","",IFERROR(B53+MASTER!$AF$9,""))</f>
        <v/>
      </c>
      <c r="D53" s="46"/>
      <c r="E53" s="47" t="str">
        <f>IF(D53="","",IFERROR(INDEX(PERKARA!$B$5:$B$104,MATCH(D53,PERKARA!$A$5:$A$104,0)),"ID TIDAK TERDAFTAR"))</f>
        <v/>
      </c>
      <c r="F53" s="6"/>
      <c r="G53" s="72"/>
      <c r="H53" s="72"/>
      <c r="I53" s="72"/>
      <c r="J53" s="73" t="str">
        <f t="shared" si="12"/>
        <v/>
      </c>
      <c r="K53" s="73" t="str">
        <f>IF(A53="","",IF(AD53="",0,AD53)+SUMIFS(PEMASUKAN!$H$5:$H$204,PEMASUKAN!$G$5:$G$204,A53))</f>
        <v/>
      </c>
      <c r="L53" s="73" t="str">
        <f t="shared" si="13"/>
        <v/>
      </c>
      <c r="M53" s="81" t="str">
        <f t="shared" ca="1" si="14"/>
        <v/>
      </c>
      <c r="N53" s="9" t="str">
        <f ca="1">IF(A53="","",IF(J53=0,"NILAI BELUM DIISI",IF(L53=0,"Lunas",IF(C53="","Belum Ada Jatuh Tempo",IF(TODAY()&gt;C53,IF(K53&gt;0,"Jatuh Tempo - Dibayar Sebagian","Jatuh Tempo"),IF(K53&gt;0,"Dibayar Sebagian",IF(C53-TODAY()&lt;=MASTER!$AF$5,"Segera Jatuh Tempo","Belum Dibayar")))))))</f>
        <v/>
      </c>
      <c r="O53" s="6" t="str">
        <f>IF(D53="","",IFERROR(INDEX(PERKARA!$D$5:$D$104,MATCH(D53,PERKARA!$A$5:$A$104,0)),""))</f>
        <v/>
      </c>
      <c r="P53" s="10"/>
      <c r="Q53" s="6" t="str">
        <f>IF(D53="","",IFERROR(INDEX(PERKARA!$S$5:$S$104,MATCH(D53,PERKARA!$A$5:$A$104,0)),""))</f>
        <v/>
      </c>
      <c r="R53" s="6"/>
      <c r="S53" s="74" t="str">
        <f t="shared" ca="1" si="15"/>
        <v/>
      </c>
      <c r="T53" s="74" t="str">
        <f t="shared" si="16"/>
        <v/>
      </c>
      <c r="U53" s="74" t="str">
        <f t="shared" si="17"/>
        <v/>
      </c>
      <c r="V53" s="74" t="str">
        <f t="shared" si="18"/>
        <v/>
      </c>
      <c r="W53" s="74" t="str">
        <f t="shared" si="19"/>
        <v/>
      </c>
      <c r="X53" s="67" t="str">
        <f t="shared" si="21"/>
        <v/>
      </c>
      <c r="Y53" s="98"/>
      <c r="Z53" s="98"/>
      <c r="AA53" s="105"/>
      <c r="AB53" s="98"/>
      <c r="AC53" s="104" t="str">
        <f t="shared" si="20"/>
        <v/>
      </c>
      <c r="AD53" s="123"/>
    </row>
    <row r="54" spans="1:30">
      <c r="A54" s="6" t="str">
        <f t="shared" si="11"/>
        <v/>
      </c>
      <c r="B54" s="80"/>
      <c r="C54" s="80" t="str">
        <f>IF(B54="","",IFERROR(B54+MASTER!$AF$9,""))</f>
        <v/>
      </c>
      <c r="D54" s="46"/>
      <c r="E54" s="47" t="str">
        <f>IF(D54="","",IFERROR(INDEX(PERKARA!$B$5:$B$104,MATCH(D54,PERKARA!$A$5:$A$104,0)),"ID TIDAK TERDAFTAR"))</f>
        <v/>
      </c>
      <c r="F54" s="6"/>
      <c r="G54" s="72"/>
      <c r="H54" s="72"/>
      <c r="I54" s="72"/>
      <c r="J54" s="73" t="str">
        <f t="shared" si="12"/>
        <v/>
      </c>
      <c r="K54" s="73" t="str">
        <f>IF(A54="","",IF(AD54="",0,AD54)+SUMIFS(PEMASUKAN!$H$5:$H$204,PEMASUKAN!$G$5:$G$204,A54))</f>
        <v/>
      </c>
      <c r="L54" s="73" t="str">
        <f t="shared" si="13"/>
        <v/>
      </c>
      <c r="M54" s="81" t="str">
        <f t="shared" ca="1" si="14"/>
        <v/>
      </c>
      <c r="N54" s="9" t="str">
        <f ca="1">IF(A54="","",IF(J54=0,"NILAI BELUM DIISI",IF(L54=0,"Lunas",IF(C54="","Belum Ada Jatuh Tempo",IF(TODAY()&gt;C54,IF(K54&gt;0,"Jatuh Tempo - Dibayar Sebagian","Jatuh Tempo"),IF(K54&gt;0,"Dibayar Sebagian",IF(C54-TODAY()&lt;=MASTER!$AF$5,"Segera Jatuh Tempo","Belum Dibayar")))))))</f>
        <v/>
      </c>
      <c r="O54" s="6" t="str">
        <f>IF(D54="","",IFERROR(INDEX(PERKARA!$D$5:$D$104,MATCH(D54,PERKARA!$A$5:$A$104,0)),""))</f>
        <v/>
      </c>
      <c r="P54" s="10"/>
      <c r="Q54" s="6" t="str">
        <f>IF(D54="","",IFERROR(INDEX(PERKARA!$S$5:$S$104,MATCH(D54,PERKARA!$A$5:$A$104,0)),""))</f>
        <v/>
      </c>
      <c r="R54" s="6"/>
      <c r="S54" s="74" t="str">
        <f t="shared" ca="1" si="15"/>
        <v/>
      </c>
      <c r="T54" s="74" t="str">
        <f t="shared" si="16"/>
        <v/>
      </c>
      <c r="U54" s="74" t="str">
        <f t="shared" si="17"/>
        <v/>
      </c>
      <c r="V54" s="74" t="str">
        <f t="shared" si="18"/>
        <v/>
      </c>
      <c r="W54" s="74" t="str">
        <f t="shared" si="19"/>
        <v/>
      </c>
      <c r="X54" s="67" t="str">
        <f t="shared" si="21"/>
        <v/>
      </c>
      <c r="Y54" s="98"/>
      <c r="Z54" s="98"/>
      <c r="AA54" s="105"/>
      <c r="AB54" s="98"/>
      <c r="AC54" s="104" t="str">
        <f t="shared" si="20"/>
        <v/>
      </c>
      <c r="AD54" s="123"/>
    </row>
    <row r="55" spans="1:30">
      <c r="A55" s="6" t="str">
        <f t="shared" si="11"/>
        <v/>
      </c>
      <c r="B55" s="80"/>
      <c r="C55" s="80" t="str">
        <f>IF(B55="","",IFERROR(B55+MASTER!$AF$9,""))</f>
        <v/>
      </c>
      <c r="D55" s="46"/>
      <c r="E55" s="47" t="str">
        <f>IF(D55="","",IFERROR(INDEX(PERKARA!$B$5:$B$104,MATCH(D55,PERKARA!$A$5:$A$104,0)),"ID TIDAK TERDAFTAR"))</f>
        <v/>
      </c>
      <c r="F55" s="6"/>
      <c r="G55" s="72"/>
      <c r="H55" s="72"/>
      <c r="I55" s="72"/>
      <c r="J55" s="73" t="str">
        <f t="shared" si="12"/>
        <v/>
      </c>
      <c r="K55" s="73" t="str">
        <f>IF(A55="","",IF(AD55="",0,AD55)+SUMIFS(PEMASUKAN!$H$5:$H$204,PEMASUKAN!$G$5:$G$204,A55))</f>
        <v/>
      </c>
      <c r="L55" s="73" t="str">
        <f t="shared" si="13"/>
        <v/>
      </c>
      <c r="M55" s="81" t="str">
        <f t="shared" ca="1" si="14"/>
        <v/>
      </c>
      <c r="N55" s="9" t="str">
        <f ca="1">IF(A55="","",IF(J55=0,"NILAI BELUM DIISI",IF(L55=0,"Lunas",IF(C55="","Belum Ada Jatuh Tempo",IF(TODAY()&gt;C55,IF(K55&gt;0,"Jatuh Tempo - Dibayar Sebagian","Jatuh Tempo"),IF(K55&gt;0,"Dibayar Sebagian",IF(C55-TODAY()&lt;=MASTER!$AF$5,"Segera Jatuh Tempo","Belum Dibayar")))))))</f>
        <v/>
      </c>
      <c r="O55" s="6" t="str">
        <f>IF(D55="","",IFERROR(INDEX(PERKARA!$D$5:$D$104,MATCH(D55,PERKARA!$A$5:$A$104,0)),""))</f>
        <v/>
      </c>
      <c r="P55" s="10"/>
      <c r="Q55" s="6" t="str">
        <f>IF(D55="","",IFERROR(INDEX(PERKARA!$S$5:$S$104,MATCH(D55,PERKARA!$A$5:$A$104,0)),""))</f>
        <v/>
      </c>
      <c r="R55" s="6"/>
      <c r="S55" s="74" t="str">
        <f t="shared" ca="1" si="15"/>
        <v/>
      </c>
      <c r="T55" s="74" t="str">
        <f t="shared" si="16"/>
        <v/>
      </c>
      <c r="U55" s="74" t="str">
        <f t="shared" si="17"/>
        <v/>
      </c>
      <c r="V55" s="74" t="str">
        <f t="shared" si="18"/>
        <v/>
      </c>
      <c r="W55" s="74" t="str">
        <f t="shared" si="19"/>
        <v/>
      </c>
      <c r="X55" s="67" t="str">
        <f t="shared" si="21"/>
        <v/>
      </c>
      <c r="Y55" s="98"/>
      <c r="Z55" s="98"/>
      <c r="AA55" s="105"/>
      <c r="AB55" s="98"/>
      <c r="AC55" s="104" t="str">
        <f t="shared" si="20"/>
        <v/>
      </c>
      <c r="AD55" s="123"/>
    </row>
    <row r="56" spans="1:30">
      <c r="A56" s="6" t="str">
        <f t="shared" si="11"/>
        <v/>
      </c>
      <c r="B56" s="80"/>
      <c r="C56" s="80" t="str">
        <f>IF(B56="","",IFERROR(B56+MASTER!$AF$9,""))</f>
        <v/>
      </c>
      <c r="D56" s="46"/>
      <c r="E56" s="47" t="str">
        <f>IF(D56="","",IFERROR(INDEX(PERKARA!$B$5:$B$104,MATCH(D56,PERKARA!$A$5:$A$104,0)),"ID TIDAK TERDAFTAR"))</f>
        <v/>
      </c>
      <c r="F56" s="6"/>
      <c r="G56" s="72"/>
      <c r="H56" s="72"/>
      <c r="I56" s="72"/>
      <c r="J56" s="73" t="str">
        <f t="shared" si="12"/>
        <v/>
      </c>
      <c r="K56" s="73" t="str">
        <f>IF(A56="","",IF(AD56="",0,AD56)+SUMIFS(PEMASUKAN!$H$5:$H$204,PEMASUKAN!$G$5:$G$204,A56))</f>
        <v/>
      </c>
      <c r="L56" s="73" t="str">
        <f t="shared" si="13"/>
        <v/>
      </c>
      <c r="M56" s="81" t="str">
        <f t="shared" ca="1" si="14"/>
        <v/>
      </c>
      <c r="N56" s="9" t="str">
        <f ca="1">IF(A56="","",IF(J56=0,"NILAI BELUM DIISI",IF(L56=0,"Lunas",IF(C56="","Belum Ada Jatuh Tempo",IF(TODAY()&gt;C56,IF(K56&gt;0,"Jatuh Tempo - Dibayar Sebagian","Jatuh Tempo"),IF(K56&gt;0,"Dibayar Sebagian",IF(C56-TODAY()&lt;=MASTER!$AF$5,"Segera Jatuh Tempo","Belum Dibayar")))))))</f>
        <v/>
      </c>
      <c r="O56" s="6" t="str">
        <f>IF(D56="","",IFERROR(INDEX(PERKARA!$D$5:$D$104,MATCH(D56,PERKARA!$A$5:$A$104,0)),""))</f>
        <v/>
      </c>
      <c r="P56" s="10"/>
      <c r="Q56" s="6" t="str">
        <f>IF(D56="","",IFERROR(INDEX(PERKARA!$S$5:$S$104,MATCH(D56,PERKARA!$A$5:$A$104,0)),""))</f>
        <v/>
      </c>
      <c r="R56" s="6"/>
      <c r="S56" s="74" t="str">
        <f t="shared" ca="1" si="15"/>
        <v/>
      </c>
      <c r="T56" s="74" t="str">
        <f t="shared" si="16"/>
        <v/>
      </c>
      <c r="U56" s="74" t="str">
        <f t="shared" si="17"/>
        <v/>
      </c>
      <c r="V56" s="74" t="str">
        <f t="shared" si="18"/>
        <v/>
      </c>
      <c r="W56" s="74" t="str">
        <f t="shared" si="19"/>
        <v/>
      </c>
      <c r="X56" s="67" t="str">
        <f t="shared" si="21"/>
        <v/>
      </c>
      <c r="Y56" s="98"/>
      <c r="Z56" s="98"/>
      <c r="AA56" s="105"/>
      <c r="AB56" s="98"/>
      <c r="AC56" s="104" t="str">
        <f t="shared" si="20"/>
        <v/>
      </c>
      <c r="AD56" s="123"/>
    </row>
    <row r="57" spans="1:30">
      <c r="A57" s="6" t="str">
        <f t="shared" si="11"/>
        <v/>
      </c>
      <c r="B57" s="80"/>
      <c r="C57" s="80" t="str">
        <f>IF(B57="","",IFERROR(B57+MASTER!$AF$9,""))</f>
        <v/>
      </c>
      <c r="D57" s="46"/>
      <c r="E57" s="47" t="str">
        <f>IF(D57="","",IFERROR(INDEX(PERKARA!$B$5:$B$104,MATCH(D57,PERKARA!$A$5:$A$104,0)),"ID TIDAK TERDAFTAR"))</f>
        <v/>
      </c>
      <c r="F57" s="6"/>
      <c r="G57" s="72"/>
      <c r="H57" s="72"/>
      <c r="I57" s="72"/>
      <c r="J57" s="73" t="str">
        <f t="shared" si="12"/>
        <v/>
      </c>
      <c r="K57" s="73" t="str">
        <f>IF(A57="","",IF(AD57="",0,AD57)+SUMIFS(PEMASUKAN!$H$5:$H$204,PEMASUKAN!$G$5:$G$204,A57))</f>
        <v/>
      </c>
      <c r="L57" s="73" t="str">
        <f t="shared" si="13"/>
        <v/>
      </c>
      <c r="M57" s="81" t="str">
        <f t="shared" ca="1" si="14"/>
        <v/>
      </c>
      <c r="N57" s="9" t="str">
        <f ca="1">IF(A57="","",IF(J57=0,"NILAI BELUM DIISI",IF(L57=0,"Lunas",IF(C57="","Belum Ada Jatuh Tempo",IF(TODAY()&gt;C57,IF(K57&gt;0,"Jatuh Tempo - Dibayar Sebagian","Jatuh Tempo"),IF(K57&gt;0,"Dibayar Sebagian",IF(C57-TODAY()&lt;=MASTER!$AF$5,"Segera Jatuh Tempo","Belum Dibayar")))))))</f>
        <v/>
      </c>
      <c r="O57" s="6" t="str">
        <f>IF(D57="","",IFERROR(INDEX(PERKARA!$D$5:$D$104,MATCH(D57,PERKARA!$A$5:$A$104,0)),""))</f>
        <v/>
      </c>
      <c r="P57" s="10"/>
      <c r="Q57" s="6" t="str">
        <f>IF(D57="","",IFERROR(INDEX(PERKARA!$S$5:$S$104,MATCH(D57,PERKARA!$A$5:$A$104,0)),""))</f>
        <v/>
      </c>
      <c r="R57" s="6"/>
      <c r="S57" s="74" t="str">
        <f t="shared" ca="1" si="15"/>
        <v/>
      </c>
      <c r="T57" s="74" t="str">
        <f t="shared" si="16"/>
        <v/>
      </c>
      <c r="U57" s="74" t="str">
        <f t="shared" si="17"/>
        <v/>
      </c>
      <c r="V57" s="74" t="str">
        <f t="shared" si="18"/>
        <v/>
      </c>
      <c r="W57" s="74" t="str">
        <f t="shared" si="19"/>
        <v/>
      </c>
      <c r="X57" s="67" t="str">
        <f t="shared" si="21"/>
        <v/>
      </c>
      <c r="Y57" s="98"/>
      <c r="Z57" s="98"/>
      <c r="AA57" s="105"/>
      <c r="AB57" s="98"/>
      <c r="AC57" s="104" t="str">
        <f t="shared" si="20"/>
        <v/>
      </c>
      <c r="AD57" s="123"/>
    </row>
    <row r="58" spans="1:30">
      <c r="A58" s="6" t="str">
        <f t="shared" si="11"/>
        <v/>
      </c>
      <c r="B58" s="80"/>
      <c r="C58" s="80" t="str">
        <f>IF(B58="","",IFERROR(B58+MASTER!$AF$9,""))</f>
        <v/>
      </c>
      <c r="D58" s="46"/>
      <c r="E58" s="47" t="str">
        <f>IF(D58="","",IFERROR(INDEX(PERKARA!$B$5:$B$104,MATCH(D58,PERKARA!$A$5:$A$104,0)),"ID TIDAK TERDAFTAR"))</f>
        <v/>
      </c>
      <c r="F58" s="6"/>
      <c r="G58" s="72"/>
      <c r="H58" s="72"/>
      <c r="I58" s="72"/>
      <c r="J58" s="73" t="str">
        <f t="shared" si="12"/>
        <v/>
      </c>
      <c r="K58" s="73" t="str">
        <f>IF(A58="","",IF(AD58="",0,AD58)+SUMIFS(PEMASUKAN!$H$5:$H$204,PEMASUKAN!$G$5:$G$204,A58))</f>
        <v/>
      </c>
      <c r="L58" s="73" t="str">
        <f t="shared" si="13"/>
        <v/>
      </c>
      <c r="M58" s="81" t="str">
        <f t="shared" ca="1" si="14"/>
        <v/>
      </c>
      <c r="N58" s="9" t="str">
        <f ca="1">IF(A58="","",IF(J58=0,"NILAI BELUM DIISI",IF(L58=0,"Lunas",IF(C58="","Belum Ada Jatuh Tempo",IF(TODAY()&gt;C58,IF(K58&gt;0,"Jatuh Tempo - Dibayar Sebagian","Jatuh Tempo"),IF(K58&gt;0,"Dibayar Sebagian",IF(C58-TODAY()&lt;=MASTER!$AF$5,"Segera Jatuh Tempo","Belum Dibayar")))))))</f>
        <v/>
      </c>
      <c r="O58" s="6" t="str">
        <f>IF(D58="","",IFERROR(INDEX(PERKARA!$D$5:$D$104,MATCH(D58,PERKARA!$A$5:$A$104,0)),""))</f>
        <v/>
      </c>
      <c r="P58" s="10"/>
      <c r="Q58" s="6" t="str">
        <f>IF(D58="","",IFERROR(INDEX(PERKARA!$S$5:$S$104,MATCH(D58,PERKARA!$A$5:$A$104,0)),""))</f>
        <v/>
      </c>
      <c r="R58" s="6"/>
      <c r="S58" s="74" t="str">
        <f t="shared" ca="1" si="15"/>
        <v/>
      </c>
      <c r="T58" s="74" t="str">
        <f t="shared" si="16"/>
        <v/>
      </c>
      <c r="U58" s="74" t="str">
        <f t="shared" si="17"/>
        <v/>
      </c>
      <c r="V58" s="74" t="str">
        <f t="shared" si="18"/>
        <v/>
      </c>
      <c r="W58" s="74" t="str">
        <f t="shared" si="19"/>
        <v/>
      </c>
      <c r="X58" s="67" t="str">
        <f t="shared" si="21"/>
        <v/>
      </c>
      <c r="Y58" s="98"/>
      <c r="Z58" s="98"/>
      <c r="AA58" s="105"/>
      <c r="AB58" s="98"/>
      <c r="AC58" s="104" t="str">
        <f t="shared" si="20"/>
        <v/>
      </c>
      <c r="AD58" s="123"/>
    </row>
    <row r="59" spans="1:30">
      <c r="A59" s="6" t="str">
        <f t="shared" si="11"/>
        <v/>
      </c>
      <c r="B59" s="80"/>
      <c r="C59" s="80" t="str">
        <f>IF(B59="","",IFERROR(B59+MASTER!$AF$9,""))</f>
        <v/>
      </c>
      <c r="D59" s="46"/>
      <c r="E59" s="47" t="str">
        <f>IF(D59="","",IFERROR(INDEX(PERKARA!$B$5:$B$104,MATCH(D59,PERKARA!$A$5:$A$104,0)),"ID TIDAK TERDAFTAR"))</f>
        <v/>
      </c>
      <c r="F59" s="6"/>
      <c r="G59" s="72"/>
      <c r="H59" s="72"/>
      <c r="I59" s="72"/>
      <c r="J59" s="73" t="str">
        <f t="shared" si="12"/>
        <v/>
      </c>
      <c r="K59" s="73" t="str">
        <f>IF(A59="","",IF(AD59="",0,AD59)+SUMIFS(PEMASUKAN!$H$5:$H$204,PEMASUKAN!$G$5:$G$204,A59))</f>
        <v/>
      </c>
      <c r="L59" s="73" t="str">
        <f t="shared" si="13"/>
        <v/>
      </c>
      <c r="M59" s="81" t="str">
        <f t="shared" ca="1" si="14"/>
        <v/>
      </c>
      <c r="N59" s="9" t="str">
        <f ca="1">IF(A59="","",IF(J59=0,"NILAI BELUM DIISI",IF(L59=0,"Lunas",IF(C59="","Belum Ada Jatuh Tempo",IF(TODAY()&gt;C59,IF(K59&gt;0,"Jatuh Tempo - Dibayar Sebagian","Jatuh Tempo"),IF(K59&gt;0,"Dibayar Sebagian",IF(C59-TODAY()&lt;=MASTER!$AF$5,"Segera Jatuh Tempo","Belum Dibayar")))))))</f>
        <v/>
      </c>
      <c r="O59" s="6" t="str">
        <f>IF(D59="","",IFERROR(INDEX(PERKARA!$D$5:$D$104,MATCH(D59,PERKARA!$A$5:$A$104,0)),""))</f>
        <v/>
      </c>
      <c r="P59" s="10"/>
      <c r="Q59" s="6" t="str">
        <f>IF(D59="","",IFERROR(INDEX(PERKARA!$S$5:$S$104,MATCH(D59,PERKARA!$A$5:$A$104,0)),""))</f>
        <v/>
      </c>
      <c r="R59" s="6"/>
      <c r="S59" s="74" t="str">
        <f t="shared" ca="1" si="15"/>
        <v/>
      </c>
      <c r="T59" s="74" t="str">
        <f t="shared" si="16"/>
        <v/>
      </c>
      <c r="U59" s="74" t="str">
        <f t="shared" si="17"/>
        <v/>
      </c>
      <c r="V59" s="74" t="str">
        <f t="shared" si="18"/>
        <v/>
      </c>
      <c r="W59" s="74" t="str">
        <f t="shared" si="19"/>
        <v/>
      </c>
      <c r="X59" s="67" t="str">
        <f t="shared" si="21"/>
        <v/>
      </c>
      <c r="Y59" s="98"/>
      <c r="Z59" s="98"/>
      <c r="AA59" s="105"/>
      <c r="AB59" s="98"/>
      <c r="AC59" s="104" t="str">
        <f t="shared" si="20"/>
        <v/>
      </c>
      <c r="AD59" s="123"/>
    </row>
    <row r="60" spans="1:30">
      <c r="A60" s="6" t="str">
        <f t="shared" si="11"/>
        <v/>
      </c>
      <c r="B60" s="80"/>
      <c r="C60" s="80" t="str">
        <f>IF(B60="","",IFERROR(B60+MASTER!$AF$9,""))</f>
        <v/>
      </c>
      <c r="D60" s="46"/>
      <c r="E60" s="47" t="str">
        <f>IF(D60="","",IFERROR(INDEX(PERKARA!$B$5:$B$104,MATCH(D60,PERKARA!$A$5:$A$104,0)),"ID TIDAK TERDAFTAR"))</f>
        <v/>
      </c>
      <c r="F60" s="6"/>
      <c r="G60" s="72"/>
      <c r="H60" s="72"/>
      <c r="I60" s="72"/>
      <c r="J60" s="73" t="str">
        <f t="shared" si="12"/>
        <v/>
      </c>
      <c r="K60" s="73" t="str">
        <f>IF(A60="","",IF(AD60="",0,AD60)+SUMIFS(PEMASUKAN!$H$5:$H$204,PEMASUKAN!$G$5:$G$204,A60))</f>
        <v/>
      </c>
      <c r="L60" s="73" t="str">
        <f t="shared" si="13"/>
        <v/>
      </c>
      <c r="M60" s="81" t="str">
        <f t="shared" ca="1" si="14"/>
        <v/>
      </c>
      <c r="N60" s="9" t="str">
        <f ca="1">IF(A60="","",IF(J60=0,"NILAI BELUM DIISI",IF(L60=0,"Lunas",IF(C60="","Belum Ada Jatuh Tempo",IF(TODAY()&gt;C60,IF(K60&gt;0,"Jatuh Tempo - Dibayar Sebagian","Jatuh Tempo"),IF(K60&gt;0,"Dibayar Sebagian",IF(C60-TODAY()&lt;=MASTER!$AF$5,"Segera Jatuh Tempo","Belum Dibayar")))))))</f>
        <v/>
      </c>
      <c r="O60" s="6" t="str">
        <f>IF(D60="","",IFERROR(INDEX(PERKARA!$D$5:$D$104,MATCH(D60,PERKARA!$A$5:$A$104,0)),""))</f>
        <v/>
      </c>
      <c r="P60" s="10"/>
      <c r="Q60" s="6" t="str">
        <f>IF(D60="","",IFERROR(INDEX(PERKARA!$S$5:$S$104,MATCH(D60,PERKARA!$A$5:$A$104,0)),""))</f>
        <v/>
      </c>
      <c r="R60" s="6"/>
      <c r="S60" s="74" t="str">
        <f t="shared" ca="1" si="15"/>
        <v/>
      </c>
      <c r="T60" s="74" t="str">
        <f t="shared" si="16"/>
        <v/>
      </c>
      <c r="U60" s="74" t="str">
        <f t="shared" si="17"/>
        <v/>
      </c>
      <c r="V60" s="74" t="str">
        <f t="shared" si="18"/>
        <v/>
      </c>
      <c r="W60" s="74" t="str">
        <f t="shared" si="19"/>
        <v/>
      </c>
      <c r="X60" s="67" t="str">
        <f t="shared" si="21"/>
        <v/>
      </c>
      <c r="Y60" s="98"/>
      <c r="Z60" s="98"/>
      <c r="AA60" s="105"/>
      <c r="AB60" s="98"/>
      <c r="AC60" s="104" t="str">
        <f t="shared" si="20"/>
        <v/>
      </c>
      <c r="AD60" s="123"/>
    </row>
    <row r="61" spans="1:30">
      <c r="A61" s="6" t="str">
        <f t="shared" si="11"/>
        <v/>
      </c>
      <c r="B61" s="80"/>
      <c r="C61" s="80" t="str">
        <f>IF(B61="","",IFERROR(B61+MASTER!$AF$9,""))</f>
        <v/>
      </c>
      <c r="D61" s="46"/>
      <c r="E61" s="47" t="str">
        <f>IF(D61="","",IFERROR(INDEX(PERKARA!$B$5:$B$104,MATCH(D61,PERKARA!$A$5:$A$104,0)),"ID TIDAK TERDAFTAR"))</f>
        <v/>
      </c>
      <c r="F61" s="6"/>
      <c r="G61" s="72"/>
      <c r="H61" s="72"/>
      <c r="I61" s="72"/>
      <c r="J61" s="73" t="str">
        <f t="shared" si="12"/>
        <v/>
      </c>
      <c r="K61" s="73" t="str">
        <f>IF(A61="","",IF(AD61="",0,AD61)+SUMIFS(PEMASUKAN!$H$5:$H$204,PEMASUKAN!$G$5:$G$204,A61))</f>
        <v/>
      </c>
      <c r="L61" s="73" t="str">
        <f t="shared" si="13"/>
        <v/>
      </c>
      <c r="M61" s="81" t="str">
        <f t="shared" ca="1" si="14"/>
        <v/>
      </c>
      <c r="N61" s="9" t="str">
        <f ca="1">IF(A61="","",IF(J61=0,"NILAI BELUM DIISI",IF(L61=0,"Lunas",IF(C61="","Belum Ada Jatuh Tempo",IF(TODAY()&gt;C61,IF(K61&gt;0,"Jatuh Tempo - Dibayar Sebagian","Jatuh Tempo"),IF(K61&gt;0,"Dibayar Sebagian",IF(C61-TODAY()&lt;=MASTER!$AF$5,"Segera Jatuh Tempo","Belum Dibayar")))))))</f>
        <v/>
      </c>
      <c r="O61" s="6" t="str">
        <f>IF(D61="","",IFERROR(INDEX(PERKARA!$D$5:$D$104,MATCH(D61,PERKARA!$A$5:$A$104,0)),""))</f>
        <v/>
      </c>
      <c r="P61" s="10"/>
      <c r="Q61" s="6" t="str">
        <f>IF(D61="","",IFERROR(INDEX(PERKARA!$S$5:$S$104,MATCH(D61,PERKARA!$A$5:$A$104,0)),""))</f>
        <v/>
      </c>
      <c r="R61" s="6"/>
      <c r="S61" s="74" t="str">
        <f t="shared" ca="1" si="15"/>
        <v/>
      </c>
      <c r="T61" s="74" t="str">
        <f t="shared" si="16"/>
        <v/>
      </c>
      <c r="U61" s="74" t="str">
        <f t="shared" si="17"/>
        <v/>
      </c>
      <c r="V61" s="74" t="str">
        <f t="shared" si="18"/>
        <v/>
      </c>
      <c r="W61" s="74" t="str">
        <f t="shared" si="19"/>
        <v/>
      </c>
      <c r="X61" s="67" t="str">
        <f t="shared" si="21"/>
        <v/>
      </c>
      <c r="Y61" s="98"/>
      <c r="Z61" s="98"/>
      <c r="AA61" s="105"/>
      <c r="AB61" s="98"/>
      <c r="AC61" s="104" t="str">
        <f t="shared" si="20"/>
        <v/>
      </c>
      <c r="AD61" s="123"/>
    </row>
    <row r="62" spans="1:30">
      <c r="A62" s="6" t="str">
        <f t="shared" si="11"/>
        <v/>
      </c>
      <c r="B62" s="80"/>
      <c r="C62" s="80" t="str">
        <f>IF(B62="","",IFERROR(B62+MASTER!$AF$9,""))</f>
        <v/>
      </c>
      <c r="D62" s="46"/>
      <c r="E62" s="47" t="str">
        <f>IF(D62="","",IFERROR(INDEX(PERKARA!$B$5:$B$104,MATCH(D62,PERKARA!$A$5:$A$104,0)),"ID TIDAK TERDAFTAR"))</f>
        <v/>
      </c>
      <c r="F62" s="6"/>
      <c r="G62" s="72"/>
      <c r="H62" s="72"/>
      <c r="I62" s="72"/>
      <c r="J62" s="73" t="str">
        <f t="shared" si="12"/>
        <v/>
      </c>
      <c r="K62" s="73" t="str">
        <f>IF(A62="","",IF(AD62="",0,AD62)+SUMIFS(PEMASUKAN!$H$5:$H$204,PEMASUKAN!$G$5:$G$204,A62))</f>
        <v/>
      </c>
      <c r="L62" s="73" t="str">
        <f t="shared" si="13"/>
        <v/>
      </c>
      <c r="M62" s="81" t="str">
        <f t="shared" ca="1" si="14"/>
        <v/>
      </c>
      <c r="N62" s="9" t="str">
        <f ca="1">IF(A62="","",IF(J62=0,"NILAI BELUM DIISI",IF(L62=0,"Lunas",IF(C62="","Belum Ada Jatuh Tempo",IF(TODAY()&gt;C62,IF(K62&gt;0,"Jatuh Tempo - Dibayar Sebagian","Jatuh Tempo"),IF(K62&gt;0,"Dibayar Sebagian",IF(C62-TODAY()&lt;=MASTER!$AF$5,"Segera Jatuh Tempo","Belum Dibayar")))))))</f>
        <v/>
      </c>
      <c r="O62" s="6" t="str">
        <f>IF(D62="","",IFERROR(INDEX(PERKARA!$D$5:$D$104,MATCH(D62,PERKARA!$A$5:$A$104,0)),""))</f>
        <v/>
      </c>
      <c r="P62" s="10"/>
      <c r="Q62" s="6" t="str">
        <f>IF(D62="","",IFERROR(INDEX(PERKARA!$S$5:$S$104,MATCH(D62,PERKARA!$A$5:$A$104,0)),""))</f>
        <v/>
      </c>
      <c r="R62" s="6"/>
      <c r="S62" s="74" t="str">
        <f t="shared" ca="1" si="15"/>
        <v/>
      </c>
      <c r="T62" s="74" t="str">
        <f t="shared" si="16"/>
        <v/>
      </c>
      <c r="U62" s="74" t="str">
        <f t="shared" si="17"/>
        <v/>
      </c>
      <c r="V62" s="74" t="str">
        <f t="shared" si="18"/>
        <v/>
      </c>
      <c r="W62" s="74" t="str">
        <f t="shared" si="19"/>
        <v/>
      </c>
      <c r="X62" s="67" t="str">
        <f t="shared" si="21"/>
        <v/>
      </c>
      <c r="Y62" s="98"/>
      <c r="Z62" s="98"/>
      <c r="AA62" s="105"/>
      <c r="AB62" s="98"/>
      <c r="AC62" s="104" t="str">
        <f t="shared" si="20"/>
        <v/>
      </c>
      <c r="AD62" s="123"/>
    </row>
    <row r="63" spans="1:30">
      <c r="A63" s="6" t="str">
        <f t="shared" si="11"/>
        <v/>
      </c>
      <c r="B63" s="80"/>
      <c r="C63" s="80" t="str">
        <f>IF(B63="","",IFERROR(B63+MASTER!$AF$9,""))</f>
        <v/>
      </c>
      <c r="D63" s="46"/>
      <c r="E63" s="47" t="str">
        <f>IF(D63="","",IFERROR(INDEX(PERKARA!$B$5:$B$104,MATCH(D63,PERKARA!$A$5:$A$104,0)),"ID TIDAK TERDAFTAR"))</f>
        <v/>
      </c>
      <c r="F63" s="6"/>
      <c r="G63" s="72"/>
      <c r="H63" s="72"/>
      <c r="I63" s="72"/>
      <c r="J63" s="73" t="str">
        <f t="shared" si="12"/>
        <v/>
      </c>
      <c r="K63" s="73" t="str">
        <f>IF(A63="","",IF(AD63="",0,AD63)+SUMIFS(PEMASUKAN!$H$5:$H$204,PEMASUKAN!$G$5:$G$204,A63))</f>
        <v/>
      </c>
      <c r="L63" s="73" t="str">
        <f t="shared" si="13"/>
        <v/>
      </c>
      <c r="M63" s="81" t="str">
        <f t="shared" ca="1" si="14"/>
        <v/>
      </c>
      <c r="N63" s="9" t="str">
        <f ca="1">IF(A63="","",IF(J63=0,"NILAI BELUM DIISI",IF(L63=0,"Lunas",IF(C63="","Belum Ada Jatuh Tempo",IF(TODAY()&gt;C63,IF(K63&gt;0,"Jatuh Tempo - Dibayar Sebagian","Jatuh Tempo"),IF(K63&gt;0,"Dibayar Sebagian",IF(C63-TODAY()&lt;=MASTER!$AF$5,"Segera Jatuh Tempo","Belum Dibayar")))))))</f>
        <v/>
      </c>
      <c r="O63" s="6" t="str">
        <f>IF(D63="","",IFERROR(INDEX(PERKARA!$D$5:$D$104,MATCH(D63,PERKARA!$A$5:$A$104,0)),""))</f>
        <v/>
      </c>
      <c r="P63" s="10"/>
      <c r="Q63" s="6" t="str">
        <f>IF(D63="","",IFERROR(INDEX(PERKARA!$S$5:$S$104,MATCH(D63,PERKARA!$A$5:$A$104,0)),""))</f>
        <v/>
      </c>
      <c r="R63" s="6"/>
      <c r="S63" s="74" t="str">
        <f t="shared" ca="1" si="15"/>
        <v/>
      </c>
      <c r="T63" s="74" t="str">
        <f t="shared" si="16"/>
        <v/>
      </c>
      <c r="U63" s="74" t="str">
        <f t="shared" si="17"/>
        <v/>
      </c>
      <c r="V63" s="74" t="str">
        <f t="shared" si="18"/>
        <v/>
      </c>
      <c r="W63" s="74" t="str">
        <f t="shared" si="19"/>
        <v/>
      </c>
      <c r="X63" s="67" t="str">
        <f t="shared" si="21"/>
        <v/>
      </c>
      <c r="Y63" s="98"/>
      <c r="Z63" s="98"/>
      <c r="AA63" s="105"/>
      <c r="AB63" s="98"/>
      <c r="AC63" s="104" t="str">
        <f t="shared" si="20"/>
        <v/>
      </c>
      <c r="AD63" s="123"/>
    </row>
    <row r="64" spans="1:30">
      <c r="A64" s="6" t="str">
        <f t="shared" si="11"/>
        <v/>
      </c>
      <c r="B64" s="80"/>
      <c r="C64" s="80" t="str">
        <f>IF(B64="","",IFERROR(B64+MASTER!$AF$9,""))</f>
        <v/>
      </c>
      <c r="D64" s="46"/>
      <c r="E64" s="47" t="str">
        <f>IF(D64="","",IFERROR(INDEX(PERKARA!$B$5:$B$104,MATCH(D64,PERKARA!$A$5:$A$104,0)),"ID TIDAK TERDAFTAR"))</f>
        <v/>
      </c>
      <c r="F64" s="6"/>
      <c r="G64" s="72"/>
      <c r="H64" s="72"/>
      <c r="I64" s="72"/>
      <c r="J64" s="73" t="str">
        <f t="shared" si="12"/>
        <v/>
      </c>
      <c r="K64" s="73" t="str">
        <f>IF(A64="","",IF(AD64="",0,AD64)+SUMIFS(PEMASUKAN!$H$5:$H$204,PEMASUKAN!$G$5:$G$204,A64))</f>
        <v/>
      </c>
      <c r="L64" s="73" t="str">
        <f t="shared" si="13"/>
        <v/>
      </c>
      <c r="M64" s="81" t="str">
        <f t="shared" ca="1" si="14"/>
        <v/>
      </c>
      <c r="N64" s="9" t="str">
        <f ca="1">IF(A64="","",IF(J64=0,"NILAI BELUM DIISI",IF(L64=0,"Lunas",IF(C64="","Belum Ada Jatuh Tempo",IF(TODAY()&gt;C64,IF(K64&gt;0,"Jatuh Tempo - Dibayar Sebagian","Jatuh Tempo"),IF(K64&gt;0,"Dibayar Sebagian",IF(C64-TODAY()&lt;=MASTER!$AF$5,"Segera Jatuh Tempo","Belum Dibayar")))))))</f>
        <v/>
      </c>
      <c r="O64" s="6" t="str">
        <f>IF(D64="","",IFERROR(INDEX(PERKARA!$D$5:$D$104,MATCH(D64,PERKARA!$A$5:$A$104,0)),""))</f>
        <v/>
      </c>
      <c r="P64" s="10"/>
      <c r="Q64" s="6" t="str">
        <f>IF(D64="","",IFERROR(INDEX(PERKARA!$S$5:$S$104,MATCH(D64,PERKARA!$A$5:$A$104,0)),""))</f>
        <v/>
      </c>
      <c r="R64" s="6"/>
      <c r="S64" s="74" t="str">
        <f t="shared" ca="1" si="15"/>
        <v/>
      </c>
      <c r="T64" s="74" t="str">
        <f t="shared" si="16"/>
        <v/>
      </c>
      <c r="U64" s="74" t="str">
        <f t="shared" si="17"/>
        <v/>
      </c>
      <c r="V64" s="74" t="str">
        <f t="shared" si="18"/>
        <v/>
      </c>
      <c r="W64" s="74" t="str">
        <f t="shared" si="19"/>
        <v/>
      </c>
      <c r="X64" s="67" t="str">
        <f t="shared" si="21"/>
        <v/>
      </c>
      <c r="Y64" s="98"/>
      <c r="Z64" s="98"/>
      <c r="AA64" s="105"/>
      <c r="AB64" s="98"/>
      <c r="AC64" s="104" t="str">
        <f t="shared" si="20"/>
        <v/>
      </c>
      <c r="AD64" s="123"/>
    </row>
    <row r="65" spans="1:30">
      <c r="A65" s="6" t="str">
        <f t="shared" si="11"/>
        <v/>
      </c>
      <c r="B65" s="80"/>
      <c r="C65" s="80" t="str">
        <f>IF(B65="","",IFERROR(B65+MASTER!$AF$9,""))</f>
        <v/>
      </c>
      <c r="D65" s="46"/>
      <c r="E65" s="47" t="str">
        <f>IF(D65="","",IFERROR(INDEX(PERKARA!$B$5:$B$104,MATCH(D65,PERKARA!$A$5:$A$104,0)),"ID TIDAK TERDAFTAR"))</f>
        <v/>
      </c>
      <c r="F65" s="6"/>
      <c r="G65" s="72"/>
      <c r="H65" s="72"/>
      <c r="I65" s="72"/>
      <c r="J65" s="73" t="str">
        <f t="shared" si="12"/>
        <v/>
      </c>
      <c r="K65" s="73" t="str">
        <f>IF(A65="","",IF(AD65="",0,AD65)+SUMIFS(PEMASUKAN!$H$5:$H$204,PEMASUKAN!$G$5:$G$204,A65))</f>
        <v/>
      </c>
      <c r="L65" s="73" t="str">
        <f t="shared" si="13"/>
        <v/>
      </c>
      <c r="M65" s="81" t="str">
        <f t="shared" ca="1" si="14"/>
        <v/>
      </c>
      <c r="N65" s="9" t="str">
        <f ca="1">IF(A65="","",IF(J65=0,"NILAI BELUM DIISI",IF(L65=0,"Lunas",IF(C65="","Belum Ada Jatuh Tempo",IF(TODAY()&gt;C65,IF(K65&gt;0,"Jatuh Tempo - Dibayar Sebagian","Jatuh Tempo"),IF(K65&gt;0,"Dibayar Sebagian",IF(C65-TODAY()&lt;=MASTER!$AF$5,"Segera Jatuh Tempo","Belum Dibayar")))))))</f>
        <v/>
      </c>
      <c r="O65" s="6" t="str">
        <f>IF(D65="","",IFERROR(INDEX(PERKARA!$D$5:$D$104,MATCH(D65,PERKARA!$A$5:$A$104,0)),""))</f>
        <v/>
      </c>
      <c r="P65" s="10"/>
      <c r="Q65" s="6" t="str">
        <f>IF(D65="","",IFERROR(INDEX(PERKARA!$S$5:$S$104,MATCH(D65,PERKARA!$A$5:$A$104,0)),""))</f>
        <v/>
      </c>
      <c r="R65" s="6"/>
      <c r="S65" s="74" t="str">
        <f t="shared" ca="1" si="15"/>
        <v/>
      </c>
      <c r="T65" s="74" t="str">
        <f t="shared" si="16"/>
        <v/>
      </c>
      <c r="U65" s="74" t="str">
        <f t="shared" si="17"/>
        <v/>
      </c>
      <c r="V65" s="74" t="str">
        <f t="shared" si="18"/>
        <v/>
      </c>
      <c r="W65" s="74" t="str">
        <f t="shared" si="19"/>
        <v/>
      </c>
      <c r="X65" s="67" t="str">
        <f t="shared" si="21"/>
        <v/>
      </c>
      <c r="Y65" s="98"/>
      <c r="Z65" s="98"/>
      <c r="AA65" s="105"/>
      <c r="AB65" s="98"/>
      <c r="AC65" s="104" t="str">
        <f t="shared" si="20"/>
        <v/>
      </c>
      <c r="AD65" s="123"/>
    </row>
    <row r="66" spans="1:30">
      <c r="A66" s="6" t="str">
        <f t="shared" ref="A66:A97" si="22">IF(B66="","",IFERROR("RPK-INV-"&amp;TEXT(B66,"yyyy")&amp;"-"&amp;TEXT(ROW()-4,"000"),"TANGGAL TIDAK VALID"))</f>
        <v/>
      </c>
      <c r="B66" s="80"/>
      <c r="C66" s="80" t="str">
        <f>IF(B66="","",IFERROR(B66+MASTER!$AF$9,""))</f>
        <v/>
      </c>
      <c r="D66" s="46"/>
      <c r="E66" s="47" t="str">
        <f>IF(D66="","",IFERROR(INDEX(PERKARA!$B$5:$B$104,MATCH(D66,PERKARA!$A$5:$A$104,0)),"ID TIDAK TERDAFTAR"))</f>
        <v/>
      </c>
      <c r="F66" s="6"/>
      <c r="G66" s="72"/>
      <c r="H66" s="72"/>
      <c r="I66" s="72"/>
      <c r="J66" s="73" t="str">
        <f t="shared" ref="J66:J97" si="23">IF(A66="","",SUM(G66:I66))</f>
        <v/>
      </c>
      <c r="K66" s="73" t="str">
        <f>IF(A66="","",IF(AD66="",0,AD66)+SUMIFS(PEMASUKAN!$H$5:$H$204,PEMASUKAN!$G$5:$G$204,A66))</f>
        <v/>
      </c>
      <c r="L66" s="73" t="str">
        <f t="shared" ref="L66:L97" si="24">IF(A66="","",MAX(J66-K66,0))</f>
        <v/>
      </c>
      <c r="M66" s="81" t="str">
        <f t="shared" ref="M66:M97" ca="1" si="25">IF(OR(A66="",C66="",L66=0),"",MAX(TODAY()-C66,0))</f>
        <v/>
      </c>
      <c r="N66" s="9" t="str">
        <f ca="1">IF(A66="","",IF(J66=0,"NILAI BELUM DIISI",IF(L66=0,"Lunas",IF(C66="","Belum Ada Jatuh Tempo",IF(TODAY()&gt;C66,IF(K66&gt;0,"Jatuh Tempo - Dibayar Sebagian","Jatuh Tempo"),IF(K66&gt;0,"Dibayar Sebagian",IF(C66-TODAY()&lt;=MASTER!$AF$5,"Segera Jatuh Tempo","Belum Dibayar")))))))</f>
        <v/>
      </c>
      <c r="O66" s="6" t="str">
        <f>IF(D66="","",IFERROR(INDEX(PERKARA!$D$5:$D$104,MATCH(D66,PERKARA!$A$5:$A$104,0)),""))</f>
        <v/>
      </c>
      <c r="P66" s="10"/>
      <c r="Q66" s="6" t="str">
        <f>IF(D66="","",IFERROR(INDEX(PERKARA!$S$5:$S$104,MATCH(D66,PERKARA!$A$5:$A$104,0)),""))</f>
        <v/>
      </c>
      <c r="R66" s="6"/>
      <c r="S66" s="74" t="str">
        <f t="shared" ref="S66:S97" ca="1" si="26">IF(A66="","",IF(OR(C66="",TODAY()&lt;=C66),L66,0))</f>
        <v/>
      </c>
      <c r="T66" s="74" t="str">
        <f t="shared" ref="T66:T97" si="27">IF(A66="","",IF(AND(M66&gt;=1,M66&lt;=30),L66,0))</f>
        <v/>
      </c>
      <c r="U66" s="74" t="str">
        <f t="shared" ref="U66:U97" si="28">IF(A66="","",IF(AND(M66&gt;=31,M66&lt;=60),L66,0))</f>
        <v/>
      </c>
      <c r="V66" s="74" t="str">
        <f t="shared" ref="V66:V97" si="29">IF(A66="","",IF(AND(M66&gt;=61,M66&lt;=90),L66,0))</f>
        <v/>
      </c>
      <c r="W66" s="74" t="str">
        <f t="shared" ref="W66:W97" si="30">IF(A66="","",IF(M66&gt;90,L66,0))</f>
        <v/>
      </c>
      <c r="X66" s="67" t="str">
        <f t="shared" si="21"/>
        <v/>
      </c>
      <c r="Y66" s="98"/>
      <c r="Z66" s="98"/>
      <c r="AA66" s="105"/>
      <c r="AB66" s="98"/>
      <c r="AC66" s="104" t="str">
        <f t="shared" ref="AC66:AC97" si="31">IF(B66="","",IF(Y66="Ditolak","DITOLAK",IF(AND(Y66="Disetujui",Z66&lt;&gt;""),"LENGKAP",IF(Y66="Disetujui","NAMA PENYETUJU BELUM DIISI","MENUNGGU PERSETUJUAN MANUAL"))))</f>
        <v/>
      </c>
      <c r="AD66" s="123"/>
    </row>
    <row r="67" spans="1:30">
      <c r="A67" s="6" t="str">
        <f t="shared" si="22"/>
        <v/>
      </c>
      <c r="B67" s="80"/>
      <c r="C67" s="80" t="str">
        <f>IF(B67="","",IFERROR(B67+MASTER!$AF$9,""))</f>
        <v/>
      </c>
      <c r="D67" s="46"/>
      <c r="E67" s="47" t="str">
        <f>IF(D67="","",IFERROR(INDEX(PERKARA!$B$5:$B$104,MATCH(D67,PERKARA!$A$5:$A$104,0)),"ID TIDAK TERDAFTAR"))</f>
        <v/>
      </c>
      <c r="F67" s="6"/>
      <c r="G67" s="72"/>
      <c r="H67" s="72"/>
      <c r="I67" s="72"/>
      <c r="J67" s="73" t="str">
        <f t="shared" si="23"/>
        <v/>
      </c>
      <c r="K67" s="73" t="str">
        <f>IF(A67="","",IF(AD67="",0,AD67)+SUMIFS(PEMASUKAN!$H$5:$H$204,PEMASUKAN!$G$5:$G$204,A67))</f>
        <v/>
      </c>
      <c r="L67" s="73" t="str">
        <f t="shared" si="24"/>
        <v/>
      </c>
      <c r="M67" s="81" t="str">
        <f t="shared" ca="1" si="25"/>
        <v/>
      </c>
      <c r="N67" s="9" t="str">
        <f ca="1">IF(A67="","",IF(J67=0,"NILAI BELUM DIISI",IF(L67=0,"Lunas",IF(C67="","Belum Ada Jatuh Tempo",IF(TODAY()&gt;C67,IF(K67&gt;0,"Jatuh Tempo - Dibayar Sebagian","Jatuh Tempo"),IF(K67&gt;0,"Dibayar Sebagian",IF(C67-TODAY()&lt;=MASTER!$AF$5,"Segera Jatuh Tempo","Belum Dibayar")))))))</f>
        <v/>
      </c>
      <c r="O67" s="6" t="str">
        <f>IF(D67="","",IFERROR(INDEX(PERKARA!$D$5:$D$104,MATCH(D67,PERKARA!$A$5:$A$104,0)),""))</f>
        <v/>
      </c>
      <c r="P67" s="10"/>
      <c r="Q67" s="6" t="str">
        <f>IF(D67="","",IFERROR(INDEX(PERKARA!$S$5:$S$104,MATCH(D67,PERKARA!$A$5:$A$104,0)),""))</f>
        <v/>
      </c>
      <c r="R67" s="6"/>
      <c r="S67" s="74" t="str">
        <f t="shared" ca="1" si="26"/>
        <v/>
      </c>
      <c r="T67" s="74" t="str">
        <f t="shared" si="27"/>
        <v/>
      </c>
      <c r="U67" s="74" t="str">
        <f t="shared" si="28"/>
        <v/>
      </c>
      <c r="V67" s="74" t="str">
        <f t="shared" si="29"/>
        <v/>
      </c>
      <c r="W67" s="74" t="str">
        <f t="shared" si="30"/>
        <v/>
      </c>
      <c r="X67" s="67" t="str">
        <f t="shared" si="21"/>
        <v/>
      </c>
      <c r="Y67" s="98"/>
      <c r="Z67" s="98"/>
      <c r="AA67" s="105"/>
      <c r="AB67" s="98"/>
      <c r="AC67" s="104" t="str">
        <f t="shared" si="31"/>
        <v/>
      </c>
      <c r="AD67" s="123"/>
    </row>
    <row r="68" spans="1:30">
      <c r="A68" s="6" t="str">
        <f t="shared" si="22"/>
        <v/>
      </c>
      <c r="B68" s="80"/>
      <c r="C68" s="80" t="str">
        <f>IF(B68="","",IFERROR(B68+MASTER!$AF$9,""))</f>
        <v/>
      </c>
      <c r="D68" s="46"/>
      <c r="E68" s="47" t="str">
        <f>IF(D68="","",IFERROR(INDEX(PERKARA!$B$5:$B$104,MATCH(D68,PERKARA!$A$5:$A$104,0)),"ID TIDAK TERDAFTAR"))</f>
        <v/>
      </c>
      <c r="F68" s="6"/>
      <c r="G68" s="72"/>
      <c r="H68" s="72"/>
      <c r="I68" s="72"/>
      <c r="J68" s="73" t="str">
        <f t="shared" si="23"/>
        <v/>
      </c>
      <c r="K68" s="73" t="str">
        <f>IF(A68="","",IF(AD68="",0,AD68)+SUMIFS(PEMASUKAN!$H$5:$H$204,PEMASUKAN!$G$5:$G$204,A68))</f>
        <v/>
      </c>
      <c r="L68" s="73" t="str">
        <f t="shared" si="24"/>
        <v/>
      </c>
      <c r="M68" s="81" t="str">
        <f t="shared" ca="1" si="25"/>
        <v/>
      </c>
      <c r="N68" s="9" t="str">
        <f ca="1">IF(A68="","",IF(J68=0,"NILAI BELUM DIISI",IF(L68=0,"Lunas",IF(C68="","Belum Ada Jatuh Tempo",IF(TODAY()&gt;C68,IF(K68&gt;0,"Jatuh Tempo - Dibayar Sebagian","Jatuh Tempo"),IF(K68&gt;0,"Dibayar Sebagian",IF(C68-TODAY()&lt;=MASTER!$AF$5,"Segera Jatuh Tempo","Belum Dibayar")))))))</f>
        <v/>
      </c>
      <c r="O68" s="6" t="str">
        <f>IF(D68="","",IFERROR(INDEX(PERKARA!$D$5:$D$104,MATCH(D68,PERKARA!$A$5:$A$104,0)),""))</f>
        <v/>
      </c>
      <c r="P68" s="10"/>
      <c r="Q68" s="6" t="str">
        <f>IF(D68="","",IFERROR(INDEX(PERKARA!$S$5:$S$104,MATCH(D68,PERKARA!$A$5:$A$104,0)),""))</f>
        <v/>
      </c>
      <c r="R68" s="6"/>
      <c r="S68" s="74" t="str">
        <f t="shared" ca="1" si="26"/>
        <v/>
      </c>
      <c r="T68" s="74" t="str">
        <f t="shared" si="27"/>
        <v/>
      </c>
      <c r="U68" s="74" t="str">
        <f t="shared" si="28"/>
        <v/>
      </c>
      <c r="V68" s="74" t="str">
        <f t="shared" si="29"/>
        <v/>
      </c>
      <c r="W68" s="74" t="str">
        <f t="shared" si="30"/>
        <v/>
      </c>
      <c r="X68" s="67" t="str">
        <f t="shared" si="21"/>
        <v/>
      </c>
      <c r="Y68" s="98"/>
      <c r="Z68" s="98"/>
      <c r="AA68" s="105"/>
      <c r="AB68" s="98"/>
      <c r="AC68" s="104" t="str">
        <f t="shared" si="31"/>
        <v/>
      </c>
      <c r="AD68" s="123"/>
    </row>
    <row r="69" spans="1:30">
      <c r="A69" s="6" t="str">
        <f t="shared" si="22"/>
        <v/>
      </c>
      <c r="B69" s="80"/>
      <c r="C69" s="80" t="str">
        <f>IF(B69="","",IFERROR(B69+MASTER!$AF$9,""))</f>
        <v/>
      </c>
      <c r="D69" s="46"/>
      <c r="E69" s="47" t="str">
        <f>IF(D69="","",IFERROR(INDEX(PERKARA!$B$5:$B$104,MATCH(D69,PERKARA!$A$5:$A$104,0)),"ID TIDAK TERDAFTAR"))</f>
        <v/>
      </c>
      <c r="F69" s="6"/>
      <c r="G69" s="72"/>
      <c r="H69" s="72"/>
      <c r="I69" s="72"/>
      <c r="J69" s="73" t="str">
        <f t="shared" si="23"/>
        <v/>
      </c>
      <c r="K69" s="73" t="str">
        <f>IF(A69="","",IF(AD69="",0,AD69)+SUMIFS(PEMASUKAN!$H$5:$H$204,PEMASUKAN!$G$5:$G$204,A69))</f>
        <v/>
      </c>
      <c r="L69" s="73" t="str">
        <f t="shared" si="24"/>
        <v/>
      </c>
      <c r="M69" s="81" t="str">
        <f t="shared" ca="1" si="25"/>
        <v/>
      </c>
      <c r="N69" s="9" t="str">
        <f ca="1">IF(A69="","",IF(J69=0,"NILAI BELUM DIISI",IF(L69=0,"Lunas",IF(C69="","Belum Ada Jatuh Tempo",IF(TODAY()&gt;C69,IF(K69&gt;0,"Jatuh Tempo - Dibayar Sebagian","Jatuh Tempo"),IF(K69&gt;0,"Dibayar Sebagian",IF(C69-TODAY()&lt;=MASTER!$AF$5,"Segera Jatuh Tempo","Belum Dibayar")))))))</f>
        <v/>
      </c>
      <c r="O69" s="6" t="str">
        <f>IF(D69="","",IFERROR(INDEX(PERKARA!$D$5:$D$104,MATCH(D69,PERKARA!$A$5:$A$104,0)),""))</f>
        <v/>
      </c>
      <c r="P69" s="10"/>
      <c r="Q69" s="6" t="str">
        <f>IF(D69="","",IFERROR(INDEX(PERKARA!$S$5:$S$104,MATCH(D69,PERKARA!$A$5:$A$104,0)),""))</f>
        <v/>
      </c>
      <c r="R69" s="6"/>
      <c r="S69" s="74" t="str">
        <f t="shared" ca="1" si="26"/>
        <v/>
      </c>
      <c r="T69" s="74" t="str">
        <f t="shared" si="27"/>
        <v/>
      </c>
      <c r="U69" s="74" t="str">
        <f t="shared" si="28"/>
        <v/>
      </c>
      <c r="V69" s="74" t="str">
        <f t="shared" si="29"/>
        <v/>
      </c>
      <c r="W69" s="74" t="str">
        <f t="shared" si="30"/>
        <v/>
      </c>
      <c r="X69" s="67" t="str">
        <f t="shared" ref="X69:X100" si="32">IF(A69="","",IF(COUNTIF($A$5:$A$151,A69)&gt;1,"NOMOR INVOICE DUPLIKAT",IF(D69="","PERKARA BELUM DIISI",IF(E69="ID TIDAK TERDAFTAR","PERKARA TIDAK VALID",IF(K69&gt;J69,"PEMBAYARAN MELEBIHI TAGIHAN","OK")))))</f>
        <v/>
      </c>
      <c r="Y69" s="98"/>
      <c r="Z69" s="98"/>
      <c r="AA69" s="105"/>
      <c r="AB69" s="98"/>
      <c r="AC69" s="104" t="str">
        <f t="shared" si="31"/>
        <v/>
      </c>
      <c r="AD69" s="123"/>
    </row>
    <row r="70" spans="1:30">
      <c r="A70" s="6" t="str">
        <f t="shared" si="22"/>
        <v/>
      </c>
      <c r="B70" s="80"/>
      <c r="C70" s="80" t="str">
        <f>IF(B70="","",IFERROR(B70+MASTER!$AF$9,""))</f>
        <v/>
      </c>
      <c r="D70" s="46"/>
      <c r="E70" s="47" t="str">
        <f>IF(D70="","",IFERROR(INDEX(PERKARA!$B$5:$B$104,MATCH(D70,PERKARA!$A$5:$A$104,0)),"ID TIDAK TERDAFTAR"))</f>
        <v/>
      </c>
      <c r="F70" s="6"/>
      <c r="G70" s="72"/>
      <c r="H70" s="72"/>
      <c r="I70" s="72"/>
      <c r="J70" s="73" t="str">
        <f t="shared" si="23"/>
        <v/>
      </c>
      <c r="K70" s="73" t="str">
        <f>IF(A70="","",IF(AD70="",0,AD70)+SUMIFS(PEMASUKAN!$H$5:$H$204,PEMASUKAN!$G$5:$G$204,A70))</f>
        <v/>
      </c>
      <c r="L70" s="73" t="str">
        <f t="shared" si="24"/>
        <v/>
      </c>
      <c r="M70" s="81" t="str">
        <f t="shared" ca="1" si="25"/>
        <v/>
      </c>
      <c r="N70" s="9" t="str">
        <f ca="1">IF(A70="","",IF(J70=0,"NILAI BELUM DIISI",IF(L70=0,"Lunas",IF(C70="","Belum Ada Jatuh Tempo",IF(TODAY()&gt;C70,IF(K70&gt;0,"Jatuh Tempo - Dibayar Sebagian","Jatuh Tempo"),IF(K70&gt;0,"Dibayar Sebagian",IF(C70-TODAY()&lt;=MASTER!$AF$5,"Segera Jatuh Tempo","Belum Dibayar")))))))</f>
        <v/>
      </c>
      <c r="O70" s="6" t="str">
        <f>IF(D70="","",IFERROR(INDEX(PERKARA!$D$5:$D$104,MATCH(D70,PERKARA!$A$5:$A$104,0)),""))</f>
        <v/>
      </c>
      <c r="P70" s="10"/>
      <c r="Q70" s="6" t="str">
        <f>IF(D70="","",IFERROR(INDEX(PERKARA!$S$5:$S$104,MATCH(D70,PERKARA!$A$5:$A$104,0)),""))</f>
        <v/>
      </c>
      <c r="R70" s="6"/>
      <c r="S70" s="74" t="str">
        <f t="shared" ca="1" si="26"/>
        <v/>
      </c>
      <c r="T70" s="74" t="str">
        <f t="shared" si="27"/>
        <v/>
      </c>
      <c r="U70" s="74" t="str">
        <f t="shared" si="28"/>
        <v/>
      </c>
      <c r="V70" s="74" t="str">
        <f t="shared" si="29"/>
        <v/>
      </c>
      <c r="W70" s="74" t="str">
        <f t="shared" si="30"/>
        <v/>
      </c>
      <c r="X70" s="67" t="str">
        <f t="shared" si="32"/>
        <v/>
      </c>
      <c r="Y70" s="98"/>
      <c r="Z70" s="98"/>
      <c r="AA70" s="105"/>
      <c r="AB70" s="98"/>
      <c r="AC70" s="104" t="str">
        <f t="shared" si="31"/>
        <v/>
      </c>
      <c r="AD70" s="123"/>
    </row>
    <row r="71" spans="1:30">
      <c r="A71" s="6" t="str">
        <f t="shared" si="22"/>
        <v/>
      </c>
      <c r="B71" s="80"/>
      <c r="C71" s="80" t="str">
        <f>IF(B71="","",IFERROR(B71+MASTER!$AF$9,""))</f>
        <v/>
      </c>
      <c r="D71" s="46"/>
      <c r="E71" s="47" t="str">
        <f>IF(D71="","",IFERROR(INDEX(PERKARA!$B$5:$B$104,MATCH(D71,PERKARA!$A$5:$A$104,0)),"ID TIDAK TERDAFTAR"))</f>
        <v/>
      </c>
      <c r="F71" s="6"/>
      <c r="G71" s="72"/>
      <c r="H71" s="72"/>
      <c r="I71" s="72"/>
      <c r="J71" s="73" t="str">
        <f t="shared" si="23"/>
        <v/>
      </c>
      <c r="K71" s="73" t="str">
        <f>IF(A71="","",IF(AD71="",0,AD71)+SUMIFS(PEMASUKAN!$H$5:$H$204,PEMASUKAN!$G$5:$G$204,A71))</f>
        <v/>
      </c>
      <c r="L71" s="73" t="str">
        <f t="shared" si="24"/>
        <v/>
      </c>
      <c r="M71" s="81" t="str">
        <f t="shared" ca="1" si="25"/>
        <v/>
      </c>
      <c r="N71" s="9" t="str">
        <f ca="1">IF(A71="","",IF(J71=0,"NILAI BELUM DIISI",IF(L71=0,"Lunas",IF(C71="","Belum Ada Jatuh Tempo",IF(TODAY()&gt;C71,IF(K71&gt;0,"Jatuh Tempo - Dibayar Sebagian","Jatuh Tempo"),IF(K71&gt;0,"Dibayar Sebagian",IF(C71-TODAY()&lt;=MASTER!$AF$5,"Segera Jatuh Tempo","Belum Dibayar")))))))</f>
        <v/>
      </c>
      <c r="O71" s="6" t="str">
        <f>IF(D71="","",IFERROR(INDEX(PERKARA!$D$5:$D$104,MATCH(D71,PERKARA!$A$5:$A$104,0)),""))</f>
        <v/>
      </c>
      <c r="P71" s="10"/>
      <c r="Q71" s="6" t="str">
        <f>IF(D71="","",IFERROR(INDEX(PERKARA!$S$5:$S$104,MATCH(D71,PERKARA!$A$5:$A$104,0)),""))</f>
        <v/>
      </c>
      <c r="R71" s="6"/>
      <c r="S71" s="74" t="str">
        <f t="shared" ca="1" si="26"/>
        <v/>
      </c>
      <c r="T71" s="74" t="str">
        <f t="shared" si="27"/>
        <v/>
      </c>
      <c r="U71" s="74" t="str">
        <f t="shared" si="28"/>
        <v/>
      </c>
      <c r="V71" s="74" t="str">
        <f t="shared" si="29"/>
        <v/>
      </c>
      <c r="W71" s="74" t="str">
        <f t="shared" si="30"/>
        <v/>
      </c>
      <c r="X71" s="67" t="str">
        <f t="shared" si="32"/>
        <v/>
      </c>
      <c r="Y71" s="98"/>
      <c r="Z71" s="98"/>
      <c r="AA71" s="105"/>
      <c r="AB71" s="98"/>
      <c r="AC71" s="104" t="str">
        <f t="shared" si="31"/>
        <v/>
      </c>
      <c r="AD71" s="123"/>
    </row>
    <row r="72" spans="1:30">
      <c r="A72" s="6" t="str">
        <f t="shared" si="22"/>
        <v/>
      </c>
      <c r="B72" s="80"/>
      <c r="C72" s="80" t="str">
        <f>IF(B72="","",IFERROR(B72+MASTER!$AF$9,""))</f>
        <v/>
      </c>
      <c r="D72" s="46"/>
      <c r="E72" s="47" t="str">
        <f>IF(D72="","",IFERROR(INDEX(PERKARA!$B$5:$B$104,MATCH(D72,PERKARA!$A$5:$A$104,0)),"ID TIDAK TERDAFTAR"))</f>
        <v/>
      </c>
      <c r="F72" s="6"/>
      <c r="G72" s="72"/>
      <c r="H72" s="72"/>
      <c r="I72" s="72"/>
      <c r="J72" s="73" t="str">
        <f t="shared" si="23"/>
        <v/>
      </c>
      <c r="K72" s="73" t="str">
        <f>IF(A72="","",IF(AD72="",0,AD72)+SUMIFS(PEMASUKAN!$H$5:$H$204,PEMASUKAN!$G$5:$G$204,A72))</f>
        <v/>
      </c>
      <c r="L72" s="73" t="str">
        <f t="shared" si="24"/>
        <v/>
      </c>
      <c r="M72" s="81" t="str">
        <f t="shared" ca="1" si="25"/>
        <v/>
      </c>
      <c r="N72" s="9" t="str">
        <f ca="1">IF(A72="","",IF(J72=0,"NILAI BELUM DIISI",IF(L72=0,"Lunas",IF(C72="","Belum Ada Jatuh Tempo",IF(TODAY()&gt;C72,IF(K72&gt;0,"Jatuh Tempo - Dibayar Sebagian","Jatuh Tempo"),IF(K72&gt;0,"Dibayar Sebagian",IF(C72-TODAY()&lt;=MASTER!$AF$5,"Segera Jatuh Tempo","Belum Dibayar")))))))</f>
        <v/>
      </c>
      <c r="O72" s="6" t="str">
        <f>IF(D72="","",IFERROR(INDEX(PERKARA!$D$5:$D$104,MATCH(D72,PERKARA!$A$5:$A$104,0)),""))</f>
        <v/>
      </c>
      <c r="P72" s="10"/>
      <c r="Q72" s="6" t="str">
        <f>IF(D72="","",IFERROR(INDEX(PERKARA!$S$5:$S$104,MATCH(D72,PERKARA!$A$5:$A$104,0)),""))</f>
        <v/>
      </c>
      <c r="R72" s="6"/>
      <c r="S72" s="74" t="str">
        <f t="shared" ca="1" si="26"/>
        <v/>
      </c>
      <c r="T72" s="74" t="str">
        <f t="shared" si="27"/>
        <v/>
      </c>
      <c r="U72" s="74" t="str">
        <f t="shared" si="28"/>
        <v/>
      </c>
      <c r="V72" s="74" t="str">
        <f t="shared" si="29"/>
        <v/>
      </c>
      <c r="W72" s="74" t="str">
        <f t="shared" si="30"/>
        <v/>
      </c>
      <c r="X72" s="67" t="str">
        <f t="shared" si="32"/>
        <v/>
      </c>
      <c r="Y72" s="98"/>
      <c r="Z72" s="98"/>
      <c r="AA72" s="105"/>
      <c r="AB72" s="98"/>
      <c r="AC72" s="104" t="str">
        <f t="shared" si="31"/>
        <v/>
      </c>
      <c r="AD72" s="123"/>
    </row>
    <row r="73" spans="1:30">
      <c r="A73" s="6" t="str">
        <f t="shared" si="22"/>
        <v/>
      </c>
      <c r="B73" s="80"/>
      <c r="C73" s="80" t="str">
        <f>IF(B73="","",IFERROR(B73+MASTER!$AF$9,""))</f>
        <v/>
      </c>
      <c r="D73" s="46"/>
      <c r="E73" s="47" t="str">
        <f>IF(D73="","",IFERROR(INDEX(PERKARA!$B$5:$B$104,MATCH(D73,PERKARA!$A$5:$A$104,0)),"ID TIDAK TERDAFTAR"))</f>
        <v/>
      </c>
      <c r="F73" s="6"/>
      <c r="G73" s="72"/>
      <c r="H73" s="72"/>
      <c r="I73" s="72"/>
      <c r="J73" s="73" t="str">
        <f t="shared" si="23"/>
        <v/>
      </c>
      <c r="K73" s="73" t="str">
        <f>IF(A73="","",IF(AD73="",0,AD73)+SUMIFS(PEMASUKAN!$H$5:$H$204,PEMASUKAN!$G$5:$G$204,A73))</f>
        <v/>
      </c>
      <c r="L73" s="73" t="str">
        <f t="shared" si="24"/>
        <v/>
      </c>
      <c r="M73" s="81" t="str">
        <f t="shared" ca="1" si="25"/>
        <v/>
      </c>
      <c r="N73" s="9" t="str">
        <f ca="1">IF(A73="","",IF(J73=0,"NILAI BELUM DIISI",IF(L73=0,"Lunas",IF(C73="","Belum Ada Jatuh Tempo",IF(TODAY()&gt;C73,IF(K73&gt;0,"Jatuh Tempo - Dibayar Sebagian","Jatuh Tempo"),IF(K73&gt;0,"Dibayar Sebagian",IF(C73-TODAY()&lt;=MASTER!$AF$5,"Segera Jatuh Tempo","Belum Dibayar")))))))</f>
        <v/>
      </c>
      <c r="O73" s="6" t="str">
        <f>IF(D73="","",IFERROR(INDEX(PERKARA!$D$5:$D$104,MATCH(D73,PERKARA!$A$5:$A$104,0)),""))</f>
        <v/>
      </c>
      <c r="P73" s="10"/>
      <c r="Q73" s="6" t="str">
        <f>IF(D73="","",IFERROR(INDEX(PERKARA!$S$5:$S$104,MATCH(D73,PERKARA!$A$5:$A$104,0)),""))</f>
        <v/>
      </c>
      <c r="R73" s="6"/>
      <c r="S73" s="74" t="str">
        <f t="shared" ca="1" si="26"/>
        <v/>
      </c>
      <c r="T73" s="74" t="str">
        <f t="shared" si="27"/>
        <v/>
      </c>
      <c r="U73" s="74" t="str">
        <f t="shared" si="28"/>
        <v/>
      </c>
      <c r="V73" s="74" t="str">
        <f t="shared" si="29"/>
        <v/>
      </c>
      <c r="W73" s="74" t="str">
        <f t="shared" si="30"/>
        <v/>
      </c>
      <c r="X73" s="67" t="str">
        <f t="shared" si="32"/>
        <v/>
      </c>
      <c r="Y73" s="98"/>
      <c r="Z73" s="98"/>
      <c r="AA73" s="105"/>
      <c r="AB73" s="98"/>
      <c r="AC73" s="104" t="str">
        <f t="shared" si="31"/>
        <v/>
      </c>
      <c r="AD73" s="123"/>
    </row>
    <row r="74" spans="1:30">
      <c r="A74" s="6" t="str">
        <f t="shared" si="22"/>
        <v/>
      </c>
      <c r="B74" s="80"/>
      <c r="C74" s="80" t="str">
        <f>IF(B74="","",IFERROR(B74+MASTER!$AF$9,""))</f>
        <v/>
      </c>
      <c r="D74" s="46"/>
      <c r="E74" s="47" t="str">
        <f>IF(D74="","",IFERROR(INDEX(PERKARA!$B$5:$B$104,MATCH(D74,PERKARA!$A$5:$A$104,0)),"ID TIDAK TERDAFTAR"))</f>
        <v/>
      </c>
      <c r="F74" s="6"/>
      <c r="G74" s="72"/>
      <c r="H74" s="72"/>
      <c r="I74" s="72"/>
      <c r="J74" s="73" t="str">
        <f t="shared" si="23"/>
        <v/>
      </c>
      <c r="K74" s="73" t="str">
        <f>IF(A74="","",IF(AD74="",0,AD74)+SUMIFS(PEMASUKAN!$H$5:$H$204,PEMASUKAN!$G$5:$G$204,A74))</f>
        <v/>
      </c>
      <c r="L74" s="73" t="str">
        <f t="shared" si="24"/>
        <v/>
      </c>
      <c r="M74" s="81" t="str">
        <f t="shared" ca="1" si="25"/>
        <v/>
      </c>
      <c r="N74" s="9" t="str">
        <f ca="1">IF(A74="","",IF(J74=0,"NILAI BELUM DIISI",IF(L74=0,"Lunas",IF(C74="","Belum Ada Jatuh Tempo",IF(TODAY()&gt;C74,IF(K74&gt;0,"Jatuh Tempo - Dibayar Sebagian","Jatuh Tempo"),IF(K74&gt;0,"Dibayar Sebagian",IF(C74-TODAY()&lt;=MASTER!$AF$5,"Segera Jatuh Tempo","Belum Dibayar")))))))</f>
        <v/>
      </c>
      <c r="O74" s="6" t="str">
        <f>IF(D74="","",IFERROR(INDEX(PERKARA!$D$5:$D$104,MATCH(D74,PERKARA!$A$5:$A$104,0)),""))</f>
        <v/>
      </c>
      <c r="P74" s="10"/>
      <c r="Q74" s="6" t="str">
        <f>IF(D74="","",IFERROR(INDEX(PERKARA!$S$5:$S$104,MATCH(D74,PERKARA!$A$5:$A$104,0)),""))</f>
        <v/>
      </c>
      <c r="R74" s="6"/>
      <c r="S74" s="74" t="str">
        <f t="shared" ca="1" si="26"/>
        <v/>
      </c>
      <c r="T74" s="74" t="str">
        <f t="shared" si="27"/>
        <v/>
      </c>
      <c r="U74" s="74" t="str">
        <f t="shared" si="28"/>
        <v/>
      </c>
      <c r="V74" s="74" t="str">
        <f t="shared" si="29"/>
        <v/>
      </c>
      <c r="W74" s="74" t="str">
        <f t="shared" si="30"/>
        <v/>
      </c>
      <c r="X74" s="67" t="str">
        <f t="shared" si="32"/>
        <v/>
      </c>
      <c r="Y74" s="98"/>
      <c r="Z74" s="98"/>
      <c r="AA74" s="105"/>
      <c r="AB74" s="98"/>
      <c r="AC74" s="104" t="str">
        <f t="shared" si="31"/>
        <v/>
      </c>
      <c r="AD74" s="123"/>
    </row>
    <row r="75" spans="1:30">
      <c r="A75" s="6" t="str">
        <f t="shared" si="22"/>
        <v/>
      </c>
      <c r="B75" s="80"/>
      <c r="C75" s="80" t="str">
        <f>IF(B75="","",IFERROR(B75+MASTER!$AF$9,""))</f>
        <v/>
      </c>
      <c r="D75" s="46"/>
      <c r="E75" s="47" t="str">
        <f>IF(D75="","",IFERROR(INDEX(PERKARA!$B$5:$B$104,MATCH(D75,PERKARA!$A$5:$A$104,0)),"ID TIDAK TERDAFTAR"))</f>
        <v/>
      </c>
      <c r="F75" s="6"/>
      <c r="G75" s="72"/>
      <c r="H75" s="72"/>
      <c r="I75" s="72"/>
      <c r="J75" s="73" t="str">
        <f t="shared" si="23"/>
        <v/>
      </c>
      <c r="K75" s="73" t="str">
        <f>IF(A75="","",IF(AD75="",0,AD75)+SUMIFS(PEMASUKAN!$H$5:$H$204,PEMASUKAN!$G$5:$G$204,A75))</f>
        <v/>
      </c>
      <c r="L75" s="73" t="str">
        <f t="shared" si="24"/>
        <v/>
      </c>
      <c r="M75" s="81" t="str">
        <f t="shared" ca="1" si="25"/>
        <v/>
      </c>
      <c r="N75" s="9" t="str">
        <f ca="1">IF(A75="","",IF(J75=0,"NILAI BELUM DIISI",IF(L75=0,"Lunas",IF(C75="","Belum Ada Jatuh Tempo",IF(TODAY()&gt;C75,IF(K75&gt;0,"Jatuh Tempo - Dibayar Sebagian","Jatuh Tempo"),IF(K75&gt;0,"Dibayar Sebagian",IF(C75-TODAY()&lt;=MASTER!$AF$5,"Segera Jatuh Tempo","Belum Dibayar")))))))</f>
        <v/>
      </c>
      <c r="O75" s="6" t="str">
        <f>IF(D75="","",IFERROR(INDEX(PERKARA!$D$5:$D$104,MATCH(D75,PERKARA!$A$5:$A$104,0)),""))</f>
        <v/>
      </c>
      <c r="P75" s="10"/>
      <c r="Q75" s="6" t="str">
        <f>IF(D75="","",IFERROR(INDEX(PERKARA!$S$5:$S$104,MATCH(D75,PERKARA!$A$5:$A$104,0)),""))</f>
        <v/>
      </c>
      <c r="R75" s="6"/>
      <c r="S75" s="74" t="str">
        <f t="shared" ca="1" si="26"/>
        <v/>
      </c>
      <c r="T75" s="74" t="str">
        <f t="shared" si="27"/>
        <v/>
      </c>
      <c r="U75" s="74" t="str">
        <f t="shared" si="28"/>
        <v/>
      </c>
      <c r="V75" s="74" t="str">
        <f t="shared" si="29"/>
        <v/>
      </c>
      <c r="W75" s="74" t="str">
        <f t="shared" si="30"/>
        <v/>
      </c>
      <c r="X75" s="67" t="str">
        <f t="shared" si="32"/>
        <v/>
      </c>
      <c r="Y75" s="98"/>
      <c r="Z75" s="98"/>
      <c r="AA75" s="105"/>
      <c r="AB75" s="98"/>
      <c r="AC75" s="104" t="str">
        <f t="shared" si="31"/>
        <v/>
      </c>
      <c r="AD75" s="123"/>
    </row>
    <row r="76" spans="1:30">
      <c r="A76" s="6" t="str">
        <f t="shared" si="22"/>
        <v/>
      </c>
      <c r="B76" s="80"/>
      <c r="C76" s="80" t="str">
        <f>IF(B76="","",IFERROR(B76+MASTER!$AF$9,""))</f>
        <v/>
      </c>
      <c r="D76" s="46"/>
      <c r="E76" s="47" t="str">
        <f>IF(D76="","",IFERROR(INDEX(PERKARA!$B$5:$B$104,MATCH(D76,PERKARA!$A$5:$A$104,0)),"ID TIDAK TERDAFTAR"))</f>
        <v/>
      </c>
      <c r="F76" s="6"/>
      <c r="G76" s="72"/>
      <c r="H76" s="72"/>
      <c r="I76" s="72"/>
      <c r="J76" s="73" t="str">
        <f t="shared" si="23"/>
        <v/>
      </c>
      <c r="K76" s="73" t="str">
        <f>IF(A76="","",IF(AD76="",0,AD76)+SUMIFS(PEMASUKAN!$H$5:$H$204,PEMASUKAN!$G$5:$G$204,A76))</f>
        <v/>
      </c>
      <c r="L76" s="73" t="str">
        <f t="shared" si="24"/>
        <v/>
      </c>
      <c r="M76" s="81" t="str">
        <f t="shared" ca="1" si="25"/>
        <v/>
      </c>
      <c r="N76" s="9" t="str">
        <f ca="1">IF(A76="","",IF(J76=0,"NILAI BELUM DIISI",IF(L76=0,"Lunas",IF(C76="","Belum Ada Jatuh Tempo",IF(TODAY()&gt;C76,IF(K76&gt;0,"Jatuh Tempo - Dibayar Sebagian","Jatuh Tempo"),IF(K76&gt;0,"Dibayar Sebagian",IF(C76-TODAY()&lt;=MASTER!$AF$5,"Segera Jatuh Tempo","Belum Dibayar")))))))</f>
        <v/>
      </c>
      <c r="O76" s="6" t="str">
        <f>IF(D76="","",IFERROR(INDEX(PERKARA!$D$5:$D$104,MATCH(D76,PERKARA!$A$5:$A$104,0)),""))</f>
        <v/>
      </c>
      <c r="P76" s="10"/>
      <c r="Q76" s="6" t="str">
        <f>IF(D76="","",IFERROR(INDEX(PERKARA!$S$5:$S$104,MATCH(D76,PERKARA!$A$5:$A$104,0)),""))</f>
        <v/>
      </c>
      <c r="R76" s="6"/>
      <c r="S76" s="74" t="str">
        <f t="shared" ca="1" si="26"/>
        <v/>
      </c>
      <c r="T76" s="74" t="str">
        <f t="shared" si="27"/>
        <v/>
      </c>
      <c r="U76" s="74" t="str">
        <f t="shared" si="28"/>
        <v/>
      </c>
      <c r="V76" s="74" t="str">
        <f t="shared" si="29"/>
        <v/>
      </c>
      <c r="W76" s="74" t="str">
        <f t="shared" si="30"/>
        <v/>
      </c>
      <c r="X76" s="67" t="str">
        <f t="shared" si="32"/>
        <v/>
      </c>
      <c r="Y76" s="98"/>
      <c r="Z76" s="98"/>
      <c r="AA76" s="105"/>
      <c r="AB76" s="98"/>
      <c r="AC76" s="104" t="str">
        <f t="shared" si="31"/>
        <v/>
      </c>
      <c r="AD76" s="123"/>
    </row>
    <row r="77" spans="1:30">
      <c r="A77" s="6" t="str">
        <f t="shared" si="22"/>
        <v/>
      </c>
      <c r="B77" s="80"/>
      <c r="C77" s="80" t="str">
        <f>IF(B77="","",IFERROR(B77+MASTER!$AF$9,""))</f>
        <v/>
      </c>
      <c r="D77" s="46"/>
      <c r="E77" s="47" t="str">
        <f>IF(D77="","",IFERROR(INDEX(PERKARA!$B$5:$B$104,MATCH(D77,PERKARA!$A$5:$A$104,0)),"ID TIDAK TERDAFTAR"))</f>
        <v/>
      </c>
      <c r="F77" s="6"/>
      <c r="G77" s="72"/>
      <c r="H77" s="72"/>
      <c r="I77" s="72"/>
      <c r="J77" s="73" t="str">
        <f t="shared" si="23"/>
        <v/>
      </c>
      <c r="K77" s="73" t="str">
        <f>IF(A77="","",IF(AD77="",0,AD77)+SUMIFS(PEMASUKAN!$H$5:$H$204,PEMASUKAN!$G$5:$G$204,A77))</f>
        <v/>
      </c>
      <c r="L77" s="73" t="str">
        <f t="shared" si="24"/>
        <v/>
      </c>
      <c r="M77" s="81" t="str">
        <f t="shared" ca="1" si="25"/>
        <v/>
      </c>
      <c r="N77" s="9" t="str">
        <f ca="1">IF(A77="","",IF(J77=0,"NILAI BELUM DIISI",IF(L77=0,"Lunas",IF(C77="","Belum Ada Jatuh Tempo",IF(TODAY()&gt;C77,IF(K77&gt;0,"Jatuh Tempo - Dibayar Sebagian","Jatuh Tempo"),IF(K77&gt;0,"Dibayar Sebagian",IF(C77-TODAY()&lt;=MASTER!$AF$5,"Segera Jatuh Tempo","Belum Dibayar")))))))</f>
        <v/>
      </c>
      <c r="O77" s="6" t="str">
        <f>IF(D77="","",IFERROR(INDEX(PERKARA!$D$5:$D$104,MATCH(D77,PERKARA!$A$5:$A$104,0)),""))</f>
        <v/>
      </c>
      <c r="P77" s="10"/>
      <c r="Q77" s="6" t="str">
        <f>IF(D77="","",IFERROR(INDEX(PERKARA!$S$5:$S$104,MATCH(D77,PERKARA!$A$5:$A$104,0)),""))</f>
        <v/>
      </c>
      <c r="R77" s="6"/>
      <c r="S77" s="74" t="str">
        <f t="shared" ca="1" si="26"/>
        <v/>
      </c>
      <c r="T77" s="74" t="str">
        <f t="shared" si="27"/>
        <v/>
      </c>
      <c r="U77" s="74" t="str">
        <f t="shared" si="28"/>
        <v/>
      </c>
      <c r="V77" s="74" t="str">
        <f t="shared" si="29"/>
        <v/>
      </c>
      <c r="W77" s="74" t="str">
        <f t="shared" si="30"/>
        <v/>
      </c>
      <c r="X77" s="67" t="str">
        <f t="shared" si="32"/>
        <v/>
      </c>
      <c r="Y77" s="98"/>
      <c r="Z77" s="98"/>
      <c r="AA77" s="105"/>
      <c r="AB77" s="98"/>
      <c r="AC77" s="104" t="str">
        <f t="shared" si="31"/>
        <v/>
      </c>
      <c r="AD77" s="123"/>
    </row>
    <row r="78" spans="1:30">
      <c r="A78" s="6" t="str">
        <f t="shared" si="22"/>
        <v/>
      </c>
      <c r="B78" s="80"/>
      <c r="C78" s="80" t="str">
        <f>IF(B78="","",IFERROR(B78+MASTER!$AF$9,""))</f>
        <v/>
      </c>
      <c r="D78" s="46"/>
      <c r="E78" s="47" t="str">
        <f>IF(D78="","",IFERROR(INDEX(PERKARA!$B$5:$B$104,MATCH(D78,PERKARA!$A$5:$A$104,0)),"ID TIDAK TERDAFTAR"))</f>
        <v/>
      </c>
      <c r="F78" s="6"/>
      <c r="G78" s="72"/>
      <c r="H78" s="72"/>
      <c r="I78" s="72"/>
      <c r="J78" s="73" t="str">
        <f t="shared" si="23"/>
        <v/>
      </c>
      <c r="K78" s="73" t="str">
        <f>IF(A78="","",IF(AD78="",0,AD78)+SUMIFS(PEMASUKAN!$H$5:$H$204,PEMASUKAN!$G$5:$G$204,A78))</f>
        <v/>
      </c>
      <c r="L78" s="73" t="str">
        <f t="shared" si="24"/>
        <v/>
      </c>
      <c r="M78" s="81" t="str">
        <f t="shared" ca="1" si="25"/>
        <v/>
      </c>
      <c r="N78" s="9" t="str">
        <f ca="1">IF(A78="","",IF(J78=0,"NILAI BELUM DIISI",IF(L78=0,"Lunas",IF(C78="","Belum Ada Jatuh Tempo",IF(TODAY()&gt;C78,IF(K78&gt;0,"Jatuh Tempo - Dibayar Sebagian","Jatuh Tempo"),IF(K78&gt;0,"Dibayar Sebagian",IF(C78-TODAY()&lt;=MASTER!$AF$5,"Segera Jatuh Tempo","Belum Dibayar")))))))</f>
        <v/>
      </c>
      <c r="O78" s="6" t="str">
        <f>IF(D78="","",IFERROR(INDEX(PERKARA!$D$5:$D$104,MATCH(D78,PERKARA!$A$5:$A$104,0)),""))</f>
        <v/>
      </c>
      <c r="P78" s="10"/>
      <c r="Q78" s="6" t="str">
        <f>IF(D78="","",IFERROR(INDEX(PERKARA!$S$5:$S$104,MATCH(D78,PERKARA!$A$5:$A$104,0)),""))</f>
        <v/>
      </c>
      <c r="R78" s="6"/>
      <c r="S78" s="74" t="str">
        <f t="shared" ca="1" si="26"/>
        <v/>
      </c>
      <c r="T78" s="74" t="str">
        <f t="shared" si="27"/>
        <v/>
      </c>
      <c r="U78" s="74" t="str">
        <f t="shared" si="28"/>
        <v/>
      </c>
      <c r="V78" s="74" t="str">
        <f t="shared" si="29"/>
        <v/>
      </c>
      <c r="W78" s="74" t="str">
        <f t="shared" si="30"/>
        <v/>
      </c>
      <c r="X78" s="67" t="str">
        <f t="shared" si="32"/>
        <v/>
      </c>
      <c r="Y78" s="98"/>
      <c r="Z78" s="98"/>
      <c r="AA78" s="105"/>
      <c r="AB78" s="98"/>
      <c r="AC78" s="104" t="str">
        <f t="shared" si="31"/>
        <v/>
      </c>
      <c r="AD78" s="123"/>
    </row>
    <row r="79" spans="1:30">
      <c r="A79" s="6" t="str">
        <f t="shared" si="22"/>
        <v/>
      </c>
      <c r="B79" s="80"/>
      <c r="C79" s="80" t="str">
        <f>IF(B79="","",IFERROR(B79+MASTER!$AF$9,""))</f>
        <v/>
      </c>
      <c r="D79" s="46"/>
      <c r="E79" s="47" t="str">
        <f>IF(D79="","",IFERROR(INDEX(PERKARA!$B$5:$B$104,MATCH(D79,PERKARA!$A$5:$A$104,0)),"ID TIDAK TERDAFTAR"))</f>
        <v/>
      </c>
      <c r="F79" s="6"/>
      <c r="G79" s="72"/>
      <c r="H79" s="72"/>
      <c r="I79" s="72"/>
      <c r="J79" s="73" t="str">
        <f t="shared" si="23"/>
        <v/>
      </c>
      <c r="K79" s="73" t="str">
        <f>IF(A79="","",IF(AD79="",0,AD79)+SUMIFS(PEMASUKAN!$H$5:$H$204,PEMASUKAN!$G$5:$G$204,A79))</f>
        <v/>
      </c>
      <c r="L79" s="73" t="str">
        <f t="shared" si="24"/>
        <v/>
      </c>
      <c r="M79" s="81" t="str">
        <f t="shared" ca="1" si="25"/>
        <v/>
      </c>
      <c r="N79" s="9" t="str">
        <f ca="1">IF(A79="","",IF(J79=0,"NILAI BELUM DIISI",IF(L79=0,"Lunas",IF(C79="","Belum Ada Jatuh Tempo",IF(TODAY()&gt;C79,IF(K79&gt;0,"Jatuh Tempo - Dibayar Sebagian","Jatuh Tempo"),IF(K79&gt;0,"Dibayar Sebagian",IF(C79-TODAY()&lt;=MASTER!$AF$5,"Segera Jatuh Tempo","Belum Dibayar")))))))</f>
        <v/>
      </c>
      <c r="O79" s="6" t="str">
        <f>IF(D79="","",IFERROR(INDEX(PERKARA!$D$5:$D$104,MATCH(D79,PERKARA!$A$5:$A$104,0)),""))</f>
        <v/>
      </c>
      <c r="P79" s="10"/>
      <c r="Q79" s="6" t="str">
        <f>IF(D79="","",IFERROR(INDEX(PERKARA!$S$5:$S$104,MATCH(D79,PERKARA!$A$5:$A$104,0)),""))</f>
        <v/>
      </c>
      <c r="R79" s="6"/>
      <c r="S79" s="74" t="str">
        <f t="shared" ca="1" si="26"/>
        <v/>
      </c>
      <c r="T79" s="74" t="str">
        <f t="shared" si="27"/>
        <v/>
      </c>
      <c r="U79" s="74" t="str">
        <f t="shared" si="28"/>
        <v/>
      </c>
      <c r="V79" s="74" t="str">
        <f t="shared" si="29"/>
        <v/>
      </c>
      <c r="W79" s="74" t="str">
        <f t="shared" si="30"/>
        <v/>
      </c>
      <c r="X79" s="67" t="str">
        <f t="shared" si="32"/>
        <v/>
      </c>
      <c r="Y79" s="98"/>
      <c r="Z79" s="98"/>
      <c r="AA79" s="105"/>
      <c r="AB79" s="98"/>
      <c r="AC79" s="104" t="str">
        <f t="shared" si="31"/>
        <v/>
      </c>
      <c r="AD79" s="123"/>
    </row>
    <row r="80" spans="1:30">
      <c r="A80" s="6" t="str">
        <f t="shared" si="22"/>
        <v/>
      </c>
      <c r="B80" s="80"/>
      <c r="C80" s="80" t="str">
        <f>IF(B80="","",IFERROR(B80+MASTER!$AF$9,""))</f>
        <v/>
      </c>
      <c r="D80" s="46"/>
      <c r="E80" s="47" t="str">
        <f>IF(D80="","",IFERROR(INDEX(PERKARA!$B$5:$B$104,MATCH(D80,PERKARA!$A$5:$A$104,0)),"ID TIDAK TERDAFTAR"))</f>
        <v/>
      </c>
      <c r="F80" s="6"/>
      <c r="G80" s="72"/>
      <c r="H80" s="72"/>
      <c r="I80" s="72"/>
      <c r="J80" s="73" t="str">
        <f t="shared" si="23"/>
        <v/>
      </c>
      <c r="K80" s="73" t="str">
        <f>IF(A80="","",IF(AD80="",0,AD80)+SUMIFS(PEMASUKAN!$H$5:$H$204,PEMASUKAN!$G$5:$G$204,A80))</f>
        <v/>
      </c>
      <c r="L80" s="73" t="str">
        <f t="shared" si="24"/>
        <v/>
      </c>
      <c r="M80" s="81" t="str">
        <f t="shared" ca="1" si="25"/>
        <v/>
      </c>
      <c r="N80" s="9" t="str">
        <f ca="1">IF(A80="","",IF(J80=0,"NILAI BELUM DIISI",IF(L80=0,"Lunas",IF(C80="","Belum Ada Jatuh Tempo",IF(TODAY()&gt;C80,IF(K80&gt;0,"Jatuh Tempo - Dibayar Sebagian","Jatuh Tempo"),IF(K80&gt;0,"Dibayar Sebagian",IF(C80-TODAY()&lt;=MASTER!$AF$5,"Segera Jatuh Tempo","Belum Dibayar")))))))</f>
        <v/>
      </c>
      <c r="O80" s="6" t="str">
        <f>IF(D80="","",IFERROR(INDEX(PERKARA!$D$5:$D$104,MATCH(D80,PERKARA!$A$5:$A$104,0)),""))</f>
        <v/>
      </c>
      <c r="P80" s="10"/>
      <c r="Q80" s="6" t="str">
        <f>IF(D80="","",IFERROR(INDEX(PERKARA!$S$5:$S$104,MATCH(D80,PERKARA!$A$5:$A$104,0)),""))</f>
        <v/>
      </c>
      <c r="R80" s="6"/>
      <c r="S80" s="74" t="str">
        <f t="shared" ca="1" si="26"/>
        <v/>
      </c>
      <c r="T80" s="74" t="str">
        <f t="shared" si="27"/>
        <v/>
      </c>
      <c r="U80" s="74" t="str">
        <f t="shared" si="28"/>
        <v/>
      </c>
      <c r="V80" s="74" t="str">
        <f t="shared" si="29"/>
        <v/>
      </c>
      <c r="W80" s="74" t="str">
        <f t="shared" si="30"/>
        <v/>
      </c>
      <c r="X80" s="67" t="str">
        <f t="shared" si="32"/>
        <v/>
      </c>
      <c r="Y80" s="98"/>
      <c r="Z80" s="98"/>
      <c r="AA80" s="105"/>
      <c r="AB80" s="98"/>
      <c r="AC80" s="104" t="str">
        <f t="shared" si="31"/>
        <v/>
      </c>
      <c r="AD80" s="123"/>
    </row>
    <row r="81" spans="1:30">
      <c r="A81" s="6" t="str">
        <f t="shared" si="22"/>
        <v/>
      </c>
      <c r="B81" s="80"/>
      <c r="C81" s="80" t="str">
        <f>IF(B81="","",IFERROR(B81+MASTER!$AF$9,""))</f>
        <v/>
      </c>
      <c r="D81" s="46"/>
      <c r="E81" s="47" t="str">
        <f>IF(D81="","",IFERROR(INDEX(PERKARA!$B$5:$B$104,MATCH(D81,PERKARA!$A$5:$A$104,0)),"ID TIDAK TERDAFTAR"))</f>
        <v/>
      </c>
      <c r="F81" s="6"/>
      <c r="G81" s="72"/>
      <c r="H81" s="72"/>
      <c r="I81" s="72"/>
      <c r="J81" s="73" t="str">
        <f t="shared" si="23"/>
        <v/>
      </c>
      <c r="K81" s="73" t="str">
        <f>IF(A81="","",IF(AD81="",0,AD81)+SUMIFS(PEMASUKAN!$H$5:$H$204,PEMASUKAN!$G$5:$G$204,A81))</f>
        <v/>
      </c>
      <c r="L81" s="73" t="str">
        <f t="shared" si="24"/>
        <v/>
      </c>
      <c r="M81" s="81" t="str">
        <f t="shared" ca="1" si="25"/>
        <v/>
      </c>
      <c r="N81" s="9" t="str">
        <f ca="1">IF(A81="","",IF(J81=0,"NILAI BELUM DIISI",IF(L81=0,"Lunas",IF(C81="","Belum Ada Jatuh Tempo",IF(TODAY()&gt;C81,IF(K81&gt;0,"Jatuh Tempo - Dibayar Sebagian","Jatuh Tempo"),IF(K81&gt;0,"Dibayar Sebagian",IF(C81-TODAY()&lt;=MASTER!$AF$5,"Segera Jatuh Tempo","Belum Dibayar")))))))</f>
        <v/>
      </c>
      <c r="O81" s="6" t="str">
        <f>IF(D81="","",IFERROR(INDEX(PERKARA!$D$5:$D$104,MATCH(D81,PERKARA!$A$5:$A$104,0)),""))</f>
        <v/>
      </c>
      <c r="P81" s="10"/>
      <c r="Q81" s="6" t="str">
        <f>IF(D81="","",IFERROR(INDEX(PERKARA!$S$5:$S$104,MATCH(D81,PERKARA!$A$5:$A$104,0)),""))</f>
        <v/>
      </c>
      <c r="R81" s="6"/>
      <c r="S81" s="74" t="str">
        <f t="shared" ca="1" si="26"/>
        <v/>
      </c>
      <c r="T81" s="74" t="str">
        <f t="shared" si="27"/>
        <v/>
      </c>
      <c r="U81" s="74" t="str">
        <f t="shared" si="28"/>
        <v/>
      </c>
      <c r="V81" s="74" t="str">
        <f t="shared" si="29"/>
        <v/>
      </c>
      <c r="W81" s="74" t="str">
        <f t="shared" si="30"/>
        <v/>
      </c>
      <c r="X81" s="67" t="str">
        <f t="shared" si="32"/>
        <v/>
      </c>
      <c r="Y81" s="98"/>
      <c r="Z81" s="98"/>
      <c r="AA81" s="105"/>
      <c r="AB81" s="98"/>
      <c r="AC81" s="104" t="str">
        <f t="shared" si="31"/>
        <v/>
      </c>
      <c r="AD81" s="123"/>
    </row>
    <row r="82" spans="1:30">
      <c r="A82" s="6" t="str">
        <f t="shared" si="22"/>
        <v/>
      </c>
      <c r="B82" s="80"/>
      <c r="C82" s="80" t="str">
        <f>IF(B82="","",IFERROR(B82+MASTER!$AF$9,""))</f>
        <v/>
      </c>
      <c r="D82" s="46"/>
      <c r="E82" s="47" t="str">
        <f>IF(D82="","",IFERROR(INDEX(PERKARA!$B$5:$B$104,MATCH(D82,PERKARA!$A$5:$A$104,0)),"ID TIDAK TERDAFTAR"))</f>
        <v/>
      </c>
      <c r="F82" s="6"/>
      <c r="G82" s="72"/>
      <c r="H82" s="72"/>
      <c r="I82" s="72"/>
      <c r="J82" s="73" t="str">
        <f t="shared" si="23"/>
        <v/>
      </c>
      <c r="K82" s="73" t="str">
        <f>IF(A82="","",IF(AD82="",0,AD82)+SUMIFS(PEMASUKAN!$H$5:$H$204,PEMASUKAN!$G$5:$G$204,A82))</f>
        <v/>
      </c>
      <c r="L82" s="73" t="str">
        <f t="shared" si="24"/>
        <v/>
      </c>
      <c r="M82" s="81" t="str">
        <f t="shared" ca="1" si="25"/>
        <v/>
      </c>
      <c r="N82" s="9" t="str">
        <f ca="1">IF(A82="","",IF(J82=0,"NILAI BELUM DIISI",IF(L82=0,"Lunas",IF(C82="","Belum Ada Jatuh Tempo",IF(TODAY()&gt;C82,IF(K82&gt;0,"Jatuh Tempo - Dibayar Sebagian","Jatuh Tempo"),IF(K82&gt;0,"Dibayar Sebagian",IF(C82-TODAY()&lt;=MASTER!$AF$5,"Segera Jatuh Tempo","Belum Dibayar")))))))</f>
        <v/>
      </c>
      <c r="O82" s="6" t="str">
        <f>IF(D82="","",IFERROR(INDEX(PERKARA!$D$5:$D$104,MATCH(D82,PERKARA!$A$5:$A$104,0)),""))</f>
        <v/>
      </c>
      <c r="P82" s="10"/>
      <c r="Q82" s="6" t="str">
        <f>IF(D82="","",IFERROR(INDEX(PERKARA!$S$5:$S$104,MATCH(D82,PERKARA!$A$5:$A$104,0)),""))</f>
        <v/>
      </c>
      <c r="R82" s="6"/>
      <c r="S82" s="74" t="str">
        <f t="shared" ca="1" si="26"/>
        <v/>
      </c>
      <c r="T82" s="74" t="str">
        <f t="shared" si="27"/>
        <v/>
      </c>
      <c r="U82" s="74" t="str">
        <f t="shared" si="28"/>
        <v/>
      </c>
      <c r="V82" s="74" t="str">
        <f t="shared" si="29"/>
        <v/>
      </c>
      <c r="W82" s="74" t="str">
        <f t="shared" si="30"/>
        <v/>
      </c>
      <c r="X82" s="67" t="str">
        <f t="shared" si="32"/>
        <v/>
      </c>
      <c r="Y82" s="98"/>
      <c r="Z82" s="98"/>
      <c r="AA82" s="105"/>
      <c r="AB82" s="98"/>
      <c r="AC82" s="104" t="str">
        <f t="shared" si="31"/>
        <v/>
      </c>
      <c r="AD82" s="123"/>
    </row>
    <row r="83" spans="1:30">
      <c r="A83" s="6" t="str">
        <f t="shared" si="22"/>
        <v/>
      </c>
      <c r="B83" s="80"/>
      <c r="C83" s="80" t="str">
        <f>IF(B83="","",IFERROR(B83+MASTER!$AF$9,""))</f>
        <v/>
      </c>
      <c r="D83" s="46"/>
      <c r="E83" s="47" t="str">
        <f>IF(D83="","",IFERROR(INDEX(PERKARA!$B$5:$B$104,MATCH(D83,PERKARA!$A$5:$A$104,0)),"ID TIDAK TERDAFTAR"))</f>
        <v/>
      </c>
      <c r="F83" s="6"/>
      <c r="G83" s="72"/>
      <c r="H83" s="72"/>
      <c r="I83" s="72"/>
      <c r="J83" s="73" t="str">
        <f t="shared" si="23"/>
        <v/>
      </c>
      <c r="K83" s="73" t="str">
        <f>IF(A83="","",IF(AD83="",0,AD83)+SUMIFS(PEMASUKAN!$H$5:$H$204,PEMASUKAN!$G$5:$G$204,A83))</f>
        <v/>
      </c>
      <c r="L83" s="73" t="str">
        <f t="shared" si="24"/>
        <v/>
      </c>
      <c r="M83" s="81" t="str">
        <f t="shared" ca="1" si="25"/>
        <v/>
      </c>
      <c r="N83" s="9" t="str">
        <f ca="1">IF(A83="","",IF(J83=0,"NILAI BELUM DIISI",IF(L83=0,"Lunas",IF(C83="","Belum Ada Jatuh Tempo",IF(TODAY()&gt;C83,IF(K83&gt;0,"Jatuh Tempo - Dibayar Sebagian","Jatuh Tempo"),IF(K83&gt;0,"Dibayar Sebagian",IF(C83-TODAY()&lt;=MASTER!$AF$5,"Segera Jatuh Tempo","Belum Dibayar")))))))</f>
        <v/>
      </c>
      <c r="O83" s="6" t="str">
        <f>IF(D83="","",IFERROR(INDEX(PERKARA!$D$5:$D$104,MATCH(D83,PERKARA!$A$5:$A$104,0)),""))</f>
        <v/>
      </c>
      <c r="P83" s="10"/>
      <c r="Q83" s="6" t="str">
        <f>IF(D83="","",IFERROR(INDEX(PERKARA!$S$5:$S$104,MATCH(D83,PERKARA!$A$5:$A$104,0)),""))</f>
        <v/>
      </c>
      <c r="R83" s="6"/>
      <c r="S83" s="74" t="str">
        <f t="shared" ca="1" si="26"/>
        <v/>
      </c>
      <c r="T83" s="74" t="str">
        <f t="shared" si="27"/>
        <v/>
      </c>
      <c r="U83" s="74" t="str">
        <f t="shared" si="28"/>
        <v/>
      </c>
      <c r="V83" s="74" t="str">
        <f t="shared" si="29"/>
        <v/>
      </c>
      <c r="W83" s="74" t="str">
        <f t="shared" si="30"/>
        <v/>
      </c>
      <c r="X83" s="67" t="str">
        <f t="shared" si="32"/>
        <v/>
      </c>
      <c r="Y83" s="98"/>
      <c r="Z83" s="98"/>
      <c r="AA83" s="105"/>
      <c r="AB83" s="98"/>
      <c r="AC83" s="104" t="str">
        <f t="shared" si="31"/>
        <v/>
      </c>
      <c r="AD83" s="123"/>
    </row>
    <row r="84" spans="1:30">
      <c r="A84" s="6" t="str">
        <f t="shared" si="22"/>
        <v/>
      </c>
      <c r="B84" s="80"/>
      <c r="C84" s="80" t="str">
        <f>IF(B84="","",IFERROR(B84+MASTER!$AF$9,""))</f>
        <v/>
      </c>
      <c r="D84" s="46"/>
      <c r="E84" s="47" t="str">
        <f>IF(D84="","",IFERROR(INDEX(PERKARA!$B$5:$B$104,MATCH(D84,PERKARA!$A$5:$A$104,0)),"ID TIDAK TERDAFTAR"))</f>
        <v/>
      </c>
      <c r="F84" s="6"/>
      <c r="G84" s="72"/>
      <c r="H84" s="72"/>
      <c r="I84" s="72"/>
      <c r="J84" s="73" t="str">
        <f t="shared" si="23"/>
        <v/>
      </c>
      <c r="K84" s="73" t="str">
        <f>IF(A84="","",IF(AD84="",0,AD84)+SUMIFS(PEMASUKAN!$H$5:$H$204,PEMASUKAN!$G$5:$G$204,A84))</f>
        <v/>
      </c>
      <c r="L84" s="73" t="str">
        <f t="shared" si="24"/>
        <v/>
      </c>
      <c r="M84" s="81" t="str">
        <f t="shared" ca="1" si="25"/>
        <v/>
      </c>
      <c r="N84" s="9" t="str">
        <f ca="1">IF(A84="","",IF(J84=0,"NILAI BELUM DIISI",IF(L84=0,"Lunas",IF(C84="","Belum Ada Jatuh Tempo",IF(TODAY()&gt;C84,IF(K84&gt;0,"Jatuh Tempo - Dibayar Sebagian","Jatuh Tempo"),IF(K84&gt;0,"Dibayar Sebagian",IF(C84-TODAY()&lt;=MASTER!$AF$5,"Segera Jatuh Tempo","Belum Dibayar")))))))</f>
        <v/>
      </c>
      <c r="O84" s="6" t="str">
        <f>IF(D84="","",IFERROR(INDEX(PERKARA!$D$5:$D$104,MATCH(D84,PERKARA!$A$5:$A$104,0)),""))</f>
        <v/>
      </c>
      <c r="P84" s="10"/>
      <c r="Q84" s="6" t="str">
        <f>IF(D84="","",IFERROR(INDEX(PERKARA!$S$5:$S$104,MATCH(D84,PERKARA!$A$5:$A$104,0)),""))</f>
        <v/>
      </c>
      <c r="R84" s="6"/>
      <c r="S84" s="74" t="str">
        <f t="shared" ca="1" si="26"/>
        <v/>
      </c>
      <c r="T84" s="74" t="str">
        <f t="shared" si="27"/>
        <v/>
      </c>
      <c r="U84" s="74" t="str">
        <f t="shared" si="28"/>
        <v/>
      </c>
      <c r="V84" s="74" t="str">
        <f t="shared" si="29"/>
        <v/>
      </c>
      <c r="W84" s="74" t="str">
        <f t="shared" si="30"/>
        <v/>
      </c>
      <c r="X84" s="67" t="str">
        <f t="shared" si="32"/>
        <v/>
      </c>
      <c r="Y84" s="98"/>
      <c r="Z84" s="98"/>
      <c r="AA84" s="105"/>
      <c r="AB84" s="98"/>
      <c r="AC84" s="104" t="str">
        <f t="shared" si="31"/>
        <v/>
      </c>
      <c r="AD84" s="123"/>
    </row>
    <row r="85" spans="1:30">
      <c r="A85" s="6" t="str">
        <f t="shared" si="22"/>
        <v/>
      </c>
      <c r="B85" s="80"/>
      <c r="C85" s="80" t="str">
        <f>IF(B85="","",IFERROR(B85+MASTER!$AF$9,""))</f>
        <v/>
      </c>
      <c r="D85" s="46"/>
      <c r="E85" s="47" t="str">
        <f>IF(D85="","",IFERROR(INDEX(PERKARA!$B$5:$B$104,MATCH(D85,PERKARA!$A$5:$A$104,0)),"ID TIDAK TERDAFTAR"))</f>
        <v/>
      </c>
      <c r="F85" s="6"/>
      <c r="G85" s="72"/>
      <c r="H85" s="72"/>
      <c r="I85" s="72"/>
      <c r="J85" s="73" t="str">
        <f t="shared" si="23"/>
        <v/>
      </c>
      <c r="K85" s="73" t="str">
        <f>IF(A85="","",IF(AD85="",0,AD85)+SUMIFS(PEMASUKAN!$H$5:$H$204,PEMASUKAN!$G$5:$G$204,A85))</f>
        <v/>
      </c>
      <c r="L85" s="73" t="str">
        <f t="shared" si="24"/>
        <v/>
      </c>
      <c r="M85" s="81" t="str">
        <f t="shared" ca="1" si="25"/>
        <v/>
      </c>
      <c r="N85" s="9" t="str">
        <f ca="1">IF(A85="","",IF(J85=0,"NILAI BELUM DIISI",IF(L85=0,"Lunas",IF(C85="","Belum Ada Jatuh Tempo",IF(TODAY()&gt;C85,IF(K85&gt;0,"Jatuh Tempo - Dibayar Sebagian","Jatuh Tempo"),IF(K85&gt;0,"Dibayar Sebagian",IF(C85-TODAY()&lt;=MASTER!$AF$5,"Segera Jatuh Tempo","Belum Dibayar")))))))</f>
        <v/>
      </c>
      <c r="O85" s="6" t="str">
        <f>IF(D85="","",IFERROR(INDEX(PERKARA!$D$5:$D$104,MATCH(D85,PERKARA!$A$5:$A$104,0)),""))</f>
        <v/>
      </c>
      <c r="P85" s="10"/>
      <c r="Q85" s="6" t="str">
        <f>IF(D85="","",IFERROR(INDEX(PERKARA!$S$5:$S$104,MATCH(D85,PERKARA!$A$5:$A$104,0)),""))</f>
        <v/>
      </c>
      <c r="R85" s="6"/>
      <c r="S85" s="74" t="str">
        <f t="shared" ca="1" si="26"/>
        <v/>
      </c>
      <c r="T85" s="74" t="str">
        <f t="shared" si="27"/>
        <v/>
      </c>
      <c r="U85" s="74" t="str">
        <f t="shared" si="28"/>
        <v/>
      </c>
      <c r="V85" s="74" t="str">
        <f t="shared" si="29"/>
        <v/>
      </c>
      <c r="W85" s="74" t="str">
        <f t="shared" si="30"/>
        <v/>
      </c>
      <c r="X85" s="67" t="str">
        <f t="shared" si="32"/>
        <v/>
      </c>
      <c r="Y85" s="98"/>
      <c r="Z85" s="98"/>
      <c r="AA85" s="105"/>
      <c r="AB85" s="98"/>
      <c r="AC85" s="104" t="str">
        <f t="shared" si="31"/>
        <v/>
      </c>
      <c r="AD85" s="123"/>
    </row>
    <row r="86" spans="1:30">
      <c r="A86" s="6" t="str">
        <f t="shared" si="22"/>
        <v/>
      </c>
      <c r="B86" s="80"/>
      <c r="C86" s="80" t="str">
        <f>IF(B86="","",IFERROR(B86+MASTER!$AF$9,""))</f>
        <v/>
      </c>
      <c r="D86" s="46"/>
      <c r="E86" s="47" t="str">
        <f>IF(D86="","",IFERROR(INDEX(PERKARA!$B$5:$B$104,MATCH(D86,PERKARA!$A$5:$A$104,0)),"ID TIDAK TERDAFTAR"))</f>
        <v/>
      </c>
      <c r="F86" s="6"/>
      <c r="G86" s="72"/>
      <c r="H86" s="72"/>
      <c r="I86" s="72"/>
      <c r="J86" s="73" t="str">
        <f t="shared" si="23"/>
        <v/>
      </c>
      <c r="K86" s="73" t="str">
        <f>IF(A86="","",IF(AD86="",0,AD86)+SUMIFS(PEMASUKAN!$H$5:$H$204,PEMASUKAN!$G$5:$G$204,A86))</f>
        <v/>
      </c>
      <c r="L86" s="73" t="str">
        <f t="shared" si="24"/>
        <v/>
      </c>
      <c r="M86" s="81" t="str">
        <f t="shared" ca="1" si="25"/>
        <v/>
      </c>
      <c r="N86" s="9" t="str">
        <f ca="1">IF(A86="","",IF(J86=0,"NILAI BELUM DIISI",IF(L86=0,"Lunas",IF(C86="","Belum Ada Jatuh Tempo",IF(TODAY()&gt;C86,IF(K86&gt;0,"Jatuh Tempo - Dibayar Sebagian","Jatuh Tempo"),IF(K86&gt;0,"Dibayar Sebagian",IF(C86-TODAY()&lt;=MASTER!$AF$5,"Segera Jatuh Tempo","Belum Dibayar")))))))</f>
        <v/>
      </c>
      <c r="O86" s="6" t="str">
        <f>IF(D86="","",IFERROR(INDEX(PERKARA!$D$5:$D$104,MATCH(D86,PERKARA!$A$5:$A$104,0)),""))</f>
        <v/>
      </c>
      <c r="P86" s="10"/>
      <c r="Q86" s="6" t="str">
        <f>IF(D86="","",IFERROR(INDEX(PERKARA!$S$5:$S$104,MATCH(D86,PERKARA!$A$5:$A$104,0)),""))</f>
        <v/>
      </c>
      <c r="R86" s="6"/>
      <c r="S86" s="74" t="str">
        <f t="shared" ca="1" si="26"/>
        <v/>
      </c>
      <c r="T86" s="74" t="str">
        <f t="shared" si="27"/>
        <v/>
      </c>
      <c r="U86" s="74" t="str">
        <f t="shared" si="28"/>
        <v/>
      </c>
      <c r="V86" s="74" t="str">
        <f t="shared" si="29"/>
        <v/>
      </c>
      <c r="W86" s="74" t="str">
        <f t="shared" si="30"/>
        <v/>
      </c>
      <c r="X86" s="67" t="str">
        <f t="shared" si="32"/>
        <v/>
      </c>
      <c r="Y86" s="98"/>
      <c r="Z86" s="98"/>
      <c r="AA86" s="105"/>
      <c r="AB86" s="98"/>
      <c r="AC86" s="104" t="str">
        <f t="shared" si="31"/>
        <v/>
      </c>
      <c r="AD86" s="123"/>
    </row>
    <row r="87" spans="1:30">
      <c r="A87" s="6" t="str">
        <f t="shared" si="22"/>
        <v/>
      </c>
      <c r="B87" s="80"/>
      <c r="C87" s="80" t="str">
        <f>IF(B87="","",IFERROR(B87+MASTER!$AF$9,""))</f>
        <v/>
      </c>
      <c r="D87" s="46"/>
      <c r="E87" s="47" t="str">
        <f>IF(D87="","",IFERROR(INDEX(PERKARA!$B$5:$B$104,MATCH(D87,PERKARA!$A$5:$A$104,0)),"ID TIDAK TERDAFTAR"))</f>
        <v/>
      </c>
      <c r="F87" s="6"/>
      <c r="G87" s="72"/>
      <c r="H87" s="72"/>
      <c r="I87" s="72"/>
      <c r="J87" s="73" t="str">
        <f t="shared" si="23"/>
        <v/>
      </c>
      <c r="K87" s="73" t="str">
        <f>IF(A87="","",IF(AD87="",0,AD87)+SUMIFS(PEMASUKAN!$H$5:$H$204,PEMASUKAN!$G$5:$G$204,A87))</f>
        <v/>
      </c>
      <c r="L87" s="73" t="str">
        <f t="shared" si="24"/>
        <v/>
      </c>
      <c r="M87" s="81" t="str">
        <f t="shared" ca="1" si="25"/>
        <v/>
      </c>
      <c r="N87" s="9" t="str">
        <f ca="1">IF(A87="","",IF(J87=0,"NILAI BELUM DIISI",IF(L87=0,"Lunas",IF(C87="","Belum Ada Jatuh Tempo",IF(TODAY()&gt;C87,IF(K87&gt;0,"Jatuh Tempo - Dibayar Sebagian","Jatuh Tempo"),IF(K87&gt;0,"Dibayar Sebagian",IF(C87-TODAY()&lt;=MASTER!$AF$5,"Segera Jatuh Tempo","Belum Dibayar")))))))</f>
        <v/>
      </c>
      <c r="O87" s="6" t="str">
        <f>IF(D87="","",IFERROR(INDEX(PERKARA!$D$5:$D$104,MATCH(D87,PERKARA!$A$5:$A$104,0)),""))</f>
        <v/>
      </c>
      <c r="P87" s="10"/>
      <c r="Q87" s="6" t="str">
        <f>IF(D87="","",IFERROR(INDEX(PERKARA!$S$5:$S$104,MATCH(D87,PERKARA!$A$5:$A$104,0)),""))</f>
        <v/>
      </c>
      <c r="R87" s="6"/>
      <c r="S87" s="74" t="str">
        <f t="shared" ca="1" si="26"/>
        <v/>
      </c>
      <c r="T87" s="74" t="str">
        <f t="shared" si="27"/>
        <v/>
      </c>
      <c r="U87" s="74" t="str">
        <f t="shared" si="28"/>
        <v/>
      </c>
      <c r="V87" s="74" t="str">
        <f t="shared" si="29"/>
        <v/>
      </c>
      <c r="W87" s="74" t="str">
        <f t="shared" si="30"/>
        <v/>
      </c>
      <c r="X87" s="67" t="str">
        <f t="shared" si="32"/>
        <v/>
      </c>
      <c r="Y87" s="98"/>
      <c r="Z87" s="98"/>
      <c r="AA87" s="105"/>
      <c r="AB87" s="98"/>
      <c r="AC87" s="104" t="str">
        <f t="shared" si="31"/>
        <v/>
      </c>
      <c r="AD87" s="123"/>
    </row>
    <row r="88" spans="1:30">
      <c r="A88" s="6" t="str">
        <f t="shared" si="22"/>
        <v/>
      </c>
      <c r="B88" s="80"/>
      <c r="C88" s="80" t="str">
        <f>IF(B88="","",IFERROR(B88+MASTER!$AF$9,""))</f>
        <v/>
      </c>
      <c r="D88" s="46"/>
      <c r="E88" s="47" t="str">
        <f>IF(D88="","",IFERROR(INDEX(PERKARA!$B$5:$B$104,MATCH(D88,PERKARA!$A$5:$A$104,0)),"ID TIDAK TERDAFTAR"))</f>
        <v/>
      </c>
      <c r="F88" s="6"/>
      <c r="G88" s="72"/>
      <c r="H88" s="72"/>
      <c r="I88" s="72"/>
      <c r="J88" s="73" t="str">
        <f t="shared" si="23"/>
        <v/>
      </c>
      <c r="K88" s="73" t="str">
        <f>IF(A88="","",IF(AD88="",0,AD88)+SUMIFS(PEMASUKAN!$H$5:$H$204,PEMASUKAN!$G$5:$G$204,A88))</f>
        <v/>
      </c>
      <c r="L88" s="73" t="str">
        <f t="shared" si="24"/>
        <v/>
      </c>
      <c r="M88" s="81" t="str">
        <f t="shared" ca="1" si="25"/>
        <v/>
      </c>
      <c r="N88" s="9" t="str">
        <f ca="1">IF(A88="","",IF(J88=0,"NILAI BELUM DIISI",IF(L88=0,"Lunas",IF(C88="","Belum Ada Jatuh Tempo",IF(TODAY()&gt;C88,IF(K88&gt;0,"Jatuh Tempo - Dibayar Sebagian","Jatuh Tempo"),IF(K88&gt;0,"Dibayar Sebagian",IF(C88-TODAY()&lt;=MASTER!$AF$5,"Segera Jatuh Tempo","Belum Dibayar")))))))</f>
        <v/>
      </c>
      <c r="O88" s="6" t="str">
        <f>IF(D88="","",IFERROR(INDEX(PERKARA!$D$5:$D$104,MATCH(D88,PERKARA!$A$5:$A$104,0)),""))</f>
        <v/>
      </c>
      <c r="P88" s="10"/>
      <c r="Q88" s="6" t="str">
        <f>IF(D88="","",IFERROR(INDEX(PERKARA!$S$5:$S$104,MATCH(D88,PERKARA!$A$5:$A$104,0)),""))</f>
        <v/>
      </c>
      <c r="R88" s="6"/>
      <c r="S88" s="74" t="str">
        <f t="shared" ca="1" si="26"/>
        <v/>
      </c>
      <c r="T88" s="74" t="str">
        <f t="shared" si="27"/>
        <v/>
      </c>
      <c r="U88" s="74" t="str">
        <f t="shared" si="28"/>
        <v/>
      </c>
      <c r="V88" s="74" t="str">
        <f t="shared" si="29"/>
        <v/>
      </c>
      <c r="W88" s="74" t="str">
        <f t="shared" si="30"/>
        <v/>
      </c>
      <c r="X88" s="67" t="str">
        <f t="shared" si="32"/>
        <v/>
      </c>
      <c r="Y88" s="98"/>
      <c r="Z88" s="98"/>
      <c r="AA88" s="105"/>
      <c r="AB88" s="98"/>
      <c r="AC88" s="104" t="str">
        <f t="shared" si="31"/>
        <v/>
      </c>
      <c r="AD88" s="123"/>
    </row>
    <row r="89" spans="1:30">
      <c r="A89" s="6" t="str">
        <f t="shared" si="22"/>
        <v/>
      </c>
      <c r="B89" s="80"/>
      <c r="C89" s="80" t="str">
        <f>IF(B89="","",IFERROR(B89+MASTER!$AF$9,""))</f>
        <v/>
      </c>
      <c r="D89" s="46"/>
      <c r="E89" s="47" t="str">
        <f>IF(D89="","",IFERROR(INDEX(PERKARA!$B$5:$B$104,MATCH(D89,PERKARA!$A$5:$A$104,0)),"ID TIDAK TERDAFTAR"))</f>
        <v/>
      </c>
      <c r="F89" s="6"/>
      <c r="G89" s="72"/>
      <c r="H89" s="72"/>
      <c r="I89" s="72"/>
      <c r="J89" s="73" t="str">
        <f t="shared" si="23"/>
        <v/>
      </c>
      <c r="K89" s="73" t="str">
        <f>IF(A89="","",IF(AD89="",0,AD89)+SUMIFS(PEMASUKAN!$H$5:$H$204,PEMASUKAN!$G$5:$G$204,A89))</f>
        <v/>
      </c>
      <c r="L89" s="73" t="str">
        <f t="shared" si="24"/>
        <v/>
      </c>
      <c r="M89" s="81" t="str">
        <f t="shared" ca="1" si="25"/>
        <v/>
      </c>
      <c r="N89" s="9" t="str">
        <f ca="1">IF(A89="","",IF(J89=0,"NILAI BELUM DIISI",IF(L89=0,"Lunas",IF(C89="","Belum Ada Jatuh Tempo",IF(TODAY()&gt;C89,IF(K89&gt;0,"Jatuh Tempo - Dibayar Sebagian","Jatuh Tempo"),IF(K89&gt;0,"Dibayar Sebagian",IF(C89-TODAY()&lt;=MASTER!$AF$5,"Segera Jatuh Tempo","Belum Dibayar")))))))</f>
        <v/>
      </c>
      <c r="O89" s="6" t="str">
        <f>IF(D89="","",IFERROR(INDEX(PERKARA!$D$5:$D$104,MATCH(D89,PERKARA!$A$5:$A$104,0)),""))</f>
        <v/>
      </c>
      <c r="P89" s="10"/>
      <c r="Q89" s="6" t="str">
        <f>IF(D89="","",IFERROR(INDEX(PERKARA!$S$5:$S$104,MATCH(D89,PERKARA!$A$5:$A$104,0)),""))</f>
        <v/>
      </c>
      <c r="R89" s="6"/>
      <c r="S89" s="74" t="str">
        <f t="shared" ca="1" si="26"/>
        <v/>
      </c>
      <c r="T89" s="74" t="str">
        <f t="shared" si="27"/>
        <v/>
      </c>
      <c r="U89" s="74" t="str">
        <f t="shared" si="28"/>
        <v/>
      </c>
      <c r="V89" s="74" t="str">
        <f t="shared" si="29"/>
        <v/>
      </c>
      <c r="W89" s="74" t="str">
        <f t="shared" si="30"/>
        <v/>
      </c>
      <c r="X89" s="67" t="str">
        <f t="shared" si="32"/>
        <v/>
      </c>
      <c r="Y89" s="98"/>
      <c r="Z89" s="98"/>
      <c r="AA89" s="105"/>
      <c r="AB89" s="98"/>
      <c r="AC89" s="104" t="str">
        <f t="shared" si="31"/>
        <v/>
      </c>
      <c r="AD89" s="123"/>
    </row>
    <row r="90" spans="1:30">
      <c r="A90" s="6" t="str">
        <f t="shared" si="22"/>
        <v/>
      </c>
      <c r="B90" s="80"/>
      <c r="C90" s="80" t="str">
        <f>IF(B90="","",IFERROR(B90+MASTER!$AF$9,""))</f>
        <v/>
      </c>
      <c r="D90" s="46"/>
      <c r="E90" s="47" t="str">
        <f>IF(D90="","",IFERROR(INDEX(PERKARA!$B$5:$B$104,MATCH(D90,PERKARA!$A$5:$A$104,0)),"ID TIDAK TERDAFTAR"))</f>
        <v/>
      </c>
      <c r="F90" s="6"/>
      <c r="G90" s="72"/>
      <c r="H90" s="72"/>
      <c r="I90" s="72"/>
      <c r="J90" s="73" t="str">
        <f t="shared" si="23"/>
        <v/>
      </c>
      <c r="K90" s="73" t="str">
        <f>IF(A90="","",IF(AD90="",0,AD90)+SUMIFS(PEMASUKAN!$H$5:$H$204,PEMASUKAN!$G$5:$G$204,A90))</f>
        <v/>
      </c>
      <c r="L90" s="73" t="str">
        <f t="shared" si="24"/>
        <v/>
      </c>
      <c r="M90" s="81" t="str">
        <f t="shared" ca="1" si="25"/>
        <v/>
      </c>
      <c r="N90" s="9" t="str">
        <f ca="1">IF(A90="","",IF(J90=0,"NILAI BELUM DIISI",IF(L90=0,"Lunas",IF(C90="","Belum Ada Jatuh Tempo",IF(TODAY()&gt;C90,IF(K90&gt;0,"Jatuh Tempo - Dibayar Sebagian","Jatuh Tempo"),IF(K90&gt;0,"Dibayar Sebagian",IF(C90-TODAY()&lt;=MASTER!$AF$5,"Segera Jatuh Tempo","Belum Dibayar")))))))</f>
        <v/>
      </c>
      <c r="O90" s="6" t="str">
        <f>IF(D90="","",IFERROR(INDEX(PERKARA!$D$5:$D$104,MATCH(D90,PERKARA!$A$5:$A$104,0)),""))</f>
        <v/>
      </c>
      <c r="P90" s="10"/>
      <c r="Q90" s="6" t="str">
        <f>IF(D90="","",IFERROR(INDEX(PERKARA!$S$5:$S$104,MATCH(D90,PERKARA!$A$5:$A$104,0)),""))</f>
        <v/>
      </c>
      <c r="R90" s="6"/>
      <c r="S90" s="74" t="str">
        <f t="shared" ca="1" si="26"/>
        <v/>
      </c>
      <c r="T90" s="74" t="str">
        <f t="shared" si="27"/>
        <v/>
      </c>
      <c r="U90" s="74" t="str">
        <f t="shared" si="28"/>
        <v/>
      </c>
      <c r="V90" s="74" t="str">
        <f t="shared" si="29"/>
        <v/>
      </c>
      <c r="W90" s="74" t="str">
        <f t="shared" si="30"/>
        <v/>
      </c>
      <c r="X90" s="67" t="str">
        <f t="shared" si="32"/>
        <v/>
      </c>
      <c r="Y90" s="98"/>
      <c r="Z90" s="98"/>
      <c r="AA90" s="105"/>
      <c r="AB90" s="98"/>
      <c r="AC90" s="104" t="str">
        <f t="shared" si="31"/>
        <v/>
      </c>
      <c r="AD90" s="123"/>
    </row>
    <row r="91" spans="1:30">
      <c r="A91" s="6" t="str">
        <f t="shared" si="22"/>
        <v/>
      </c>
      <c r="B91" s="80"/>
      <c r="C91" s="80" t="str">
        <f>IF(B91="","",IFERROR(B91+MASTER!$AF$9,""))</f>
        <v/>
      </c>
      <c r="D91" s="46"/>
      <c r="E91" s="47" t="str">
        <f>IF(D91="","",IFERROR(INDEX(PERKARA!$B$5:$B$104,MATCH(D91,PERKARA!$A$5:$A$104,0)),"ID TIDAK TERDAFTAR"))</f>
        <v/>
      </c>
      <c r="F91" s="6"/>
      <c r="G91" s="72"/>
      <c r="H91" s="72"/>
      <c r="I91" s="72"/>
      <c r="J91" s="73" t="str">
        <f t="shared" si="23"/>
        <v/>
      </c>
      <c r="K91" s="73" t="str">
        <f>IF(A91="","",IF(AD91="",0,AD91)+SUMIFS(PEMASUKAN!$H$5:$H$204,PEMASUKAN!$G$5:$G$204,A91))</f>
        <v/>
      </c>
      <c r="L91" s="73" t="str">
        <f t="shared" si="24"/>
        <v/>
      </c>
      <c r="M91" s="81" t="str">
        <f t="shared" ca="1" si="25"/>
        <v/>
      </c>
      <c r="N91" s="9" t="str">
        <f ca="1">IF(A91="","",IF(J91=0,"NILAI BELUM DIISI",IF(L91=0,"Lunas",IF(C91="","Belum Ada Jatuh Tempo",IF(TODAY()&gt;C91,IF(K91&gt;0,"Jatuh Tempo - Dibayar Sebagian","Jatuh Tempo"),IF(K91&gt;0,"Dibayar Sebagian",IF(C91-TODAY()&lt;=MASTER!$AF$5,"Segera Jatuh Tempo","Belum Dibayar")))))))</f>
        <v/>
      </c>
      <c r="O91" s="6" t="str">
        <f>IF(D91="","",IFERROR(INDEX(PERKARA!$D$5:$D$104,MATCH(D91,PERKARA!$A$5:$A$104,0)),""))</f>
        <v/>
      </c>
      <c r="P91" s="10"/>
      <c r="Q91" s="6" t="str">
        <f>IF(D91="","",IFERROR(INDEX(PERKARA!$S$5:$S$104,MATCH(D91,PERKARA!$A$5:$A$104,0)),""))</f>
        <v/>
      </c>
      <c r="R91" s="6"/>
      <c r="S91" s="74" t="str">
        <f t="shared" ca="1" si="26"/>
        <v/>
      </c>
      <c r="T91" s="74" t="str">
        <f t="shared" si="27"/>
        <v/>
      </c>
      <c r="U91" s="74" t="str">
        <f t="shared" si="28"/>
        <v/>
      </c>
      <c r="V91" s="74" t="str">
        <f t="shared" si="29"/>
        <v/>
      </c>
      <c r="W91" s="74" t="str">
        <f t="shared" si="30"/>
        <v/>
      </c>
      <c r="X91" s="67" t="str">
        <f t="shared" si="32"/>
        <v/>
      </c>
      <c r="Y91" s="98"/>
      <c r="Z91" s="98"/>
      <c r="AA91" s="105"/>
      <c r="AB91" s="98"/>
      <c r="AC91" s="104" t="str">
        <f t="shared" si="31"/>
        <v/>
      </c>
      <c r="AD91" s="123"/>
    </row>
    <row r="92" spans="1:30">
      <c r="A92" s="6" t="str">
        <f t="shared" si="22"/>
        <v/>
      </c>
      <c r="B92" s="80"/>
      <c r="C92" s="80" t="str">
        <f>IF(B92="","",IFERROR(B92+MASTER!$AF$9,""))</f>
        <v/>
      </c>
      <c r="D92" s="46"/>
      <c r="E92" s="47" t="str">
        <f>IF(D92="","",IFERROR(INDEX(PERKARA!$B$5:$B$104,MATCH(D92,PERKARA!$A$5:$A$104,0)),"ID TIDAK TERDAFTAR"))</f>
        <v/>
      </c>
      <c r="F92" s="6"/>
      <c r="G92" s="72"/>
      <c r="H92" s="72"/>
      <c r="I92" s="72"/>
      <c r="J92" s="73" t="str">
        <f t="shared" si="23"/>
        <v/>
      </c>
      <c r="K92" s="73" t="str">
        <f>IF(A92="","",IF(AD92="",0,AD92)+SUMIFS(PEMASUKAN!$H$5:$H$204,PEMASUKAN!$G$5:$G$204,A92))</f>
        <v/>
      </c>
      <c r="L92" s="73" t="str">
        <f t="shared" si="24"/>
        <v/>
      </c>
      <c r="M92" s="81" t="str">
        <f t="shared" ca="1" si="25"/>
        <v/>
      </c>
      <c r="N92" s="9" t="str">
        <f ca="1">IF(A92="","",IF(J92=0,"NILAI BELUM DIISI",IF(L92=0,"Lunas",IF(C92="","Belum Ada Jatuh Tempo",IF(TODAY()&gt;C92,IF(K92&gt;0,"Jatuh Tempo - Dibayar Sebagian","Jatuh Tempo"),IF(K92&gt;0,"Dibayar Sebagian",IF(C92-TODAY()&lt;=MASTER!$AF$5,"Segera Jatuh Tempo","Belum Dibayar")))))))</f>
        <v/>
      </c>
      <c r="O92" s="6" t="str">
        <f>IF(D92="","",IFERROR(INDEX(PERKARA!$D$5:$D$104,MATCH(D92,PERKARA!$A$5:$A$104,0)),""))</f>
        <v/>
      </c>
      <c r="P92" s="10"/>
      <c r="Q92" s="6" t="str">
        <f>IF(D92="","",IFERROR(INDEX(PERKARA!$S$5:$S$104,MATCH(D92,PERKARA!$A$5:$A$104,0)),""))</f>
        <v/>
      </c>
      <c r="R92" s="6"/>
      <c r="S92" s="74" t="str">
        <f t="shared" ca="1" si="26"/>
        <v/>
      </c>
      <c r="T92" s="74" t="str">
        <f t="shared" si="27"/>
        <v/>
      </c>
      <c r="U92" s="74" t="str">
        <f t="shared" si="28"/>
        <v/>
      </c>
      <c r="V92" s="74" t="str">
        <f t="shared" si="29"/>
        <v/>
      </c>
      <c r="W92" s="74" t="str">
        <f t="shared" si="30"/>
        <v/>
      </c>
      <c r="X92" s="67" t="str">
        <f t="shared" si="32"/>
        <v/>
      </c>
      <c r="Y92" s="98"/>
      <c r="Z92" s="98"/>
      <c r="AA92" s="105"/>
      <c r="AB92" s="98"/>
      <c r="AC92" s="104" t="str">
        <f t="shared" si="31"/>
        <v/>
      </c>
      <c r="AD92" s="123"/>
    </row>
    <row r="93" spans="1:30">
      <c r="A93" s="6" t="str">
        <f t="shared" si="22"/>
        <v/>
      </c>
      <c r="B93" s="80"/>
      <c r="C93" s="80" t="str">
        <f>IF(B93="","",IFERROR(B93+MASTER!$AF$9,""))</f>
        <v/>
      </c>
      <c r="D93" s="46"/>
      <c r="E93" s="47" t="str">
        <f>IF(D93="","",IFERROR(INDEX(PERKARA!$B$5:$B$104,MATCH(D93,PERKARA!$A$5:$A$104,0)),"ID TIDAK TERDAFTAR"))</f>
        <v/>
      </c>
      <c r="F93" s="6"/>
      <c r="G93" s="72"/>
      <c r="H93" s="72"/>
      <c r="I93" s="72"/>
      <c r="J93" s="73" t="str">
        <f t="shared" si="23"/>
        <v/>
      </c>
      <c r="K93" s="73" t="str">
        <f>IF(A93="","",IF(AD93="",0,AD93)+SUMIFS(PEMASUKAN!$H$5:$H$204,PEMASUKAN!$G$5:$G$204,A93))</f>
        <v/>
      </c>
      <c r="L93" s="73" t="str">
        <f t="shared" si="24"/>
        <v/>
      </c>
      <c r="M93" s="81" t="str">
        <f t="shared" ca="1" si="25"/>
        <v/>
      </c>
      <c r="N93" s="9" t="str">
        <f ca="1">IF(A93="","",IF(J93=0,"NILAI BELUM DIISI",IF(L93=0,"Lunas",IF(C93="","Belum Ada Jatuh Tempo",IF(TODAY()&gt;C93,IF(K93&gt;0,"Jatuh Tempo - Dibayar Sebagian","Jatuh Tempo"),IF(K93&gt;0,"Dibayar Sebagian",IF(C93-TODAY()&lt;=MASTER!$AF$5,"Segera Jatuh Tempo","Belum Dibayar")))))))</f>
        <v/>
      </c>
      <c r="O93" s="6" t="str">
        <f>IF(D93="","",IFERROR(INDEX(PERKARA!$D$5:$D$104,MATCH(D93,PERKARA!$A$5:$A$104,0)),""))</f>
        <v/>
      </c>
      <c r="P93" s="10"/>
      <c r="Q93" s="6" t="str">
        <f>IF(D93="","",IFERROR(INDEX(PERKARA!$S$5:$S$104,MATCH(D93,PERKARA!$A$5:$A$104,0)),""))</f>
        <v/>
      </c>
      <c r="R93" s="6"/>
      <c r="S93" s="74" t="str">
        <f t="shared" ca="1" si="26"/>
        <v/>
      </c>
      <c r="T93" s="74" t="str">
        <f t="shared" si="27"/>
        <v/>
      </c>
      <c r="U93" s="74" t="str">
        <f t="shared" si="28"/>
        <v/>
      </c>
      <c r="V93" s="74" t="str">
        <f t="shared" si="29"/>
        <v/>
      </c>
      <c r="W93" s="74" t="str">
        <f t="shared" si="30"/>
        <v/>
      </c>
      <c r="X93" s="67" t="str">
        <f t="shared" si="32"/>
        <v/>
      </c>
      <c r="Y93" s="98"/>
      <c r="Z93" s="98"/>
      <c r="AA93" s="105"/>
      <c r="AB93" s="98"/>
      <c r="AC93" s="104" t="str">
        <f t="shared" si="31"/>
        <v/>
      </c>
      <c r="AD93" s="123"/>
    </row>
    <row r="94" spans="1:30">
      <c r="A94" s="6" t="str">
        <f t="shared" si="22"/>
        <v/>
      </c>
      <c r="B94" s="80"/>
      <c r="C94" s="80" t="str">
        <f>IF(B94="","",IFERROR(B94+MASTER!$AF$9,""))</f>
        <v/>
      </c>
      <c r="D94" s="46"/>
      <c r="E94" s="47" t="str">
        <f>IF(D94="","",IFERROR(INDEX(PERKARA!$B$5:$B$104,MATCH(D94,PERKARA!$A$5:$A$104,0)),"ID TIDAK TERDAFTAR"))</f>
        <v/>
      </c>
      <c r="F94" s="6"/>
      <c r="G94" s="72"/>
      <c r="H94" s="72"/>
      <c r="I94" s="72"/>
      <c r="J94" s="73" t="str">
        <f t="shared" si="23"/>
        <v/>
      </c>
      <c r="K94" s="73" t="str">
        <f>IF(A94="","",IF(AD94="",0,AD94)+SUMIFS(PEMASUKAN!$H$5:$H$204,PEMASUKAN!$G$5:$G$204,A94))</f>
        <v/>
      </c>
      <c r="L94" s="73" t="str">
        <f t="shared" si="24"/>
        <v/>
      </c>
      <c r="M94" s="81" t="str">
        <f t="shared" ca="1" si="25"/>
        <v/>
      </c>
      <c r="N94" s="9" t="str">
        <f ca="1">IF(A94="","",IF(J94=0,"NILAI BELUM DIISI",IF(L94=0,"Lunas",IF(C94="","Belum Ada Jatuh Tempo",IF(TODAY()&gt;C94,IF(K94&gt;0,"Jatuh Tempo - Dibayar Sebagian","Jatuh Tempo"),IF(K94&gt;0,"Dibayar Sebagian",IF(C94-TODAY()&lt;=MASTER!$AF$5,"Segera Jatuh Tempo","Belum Dibayar")))))))</f>
        <v/>
      </c>
      <c r="O94" s="6" t="str">
        <f>IF(D94="","",IFERROR(INDEX(PERKARA!$D$5:$D$104,MATCH(D94,PERKARA!$A$5:$A$104,0)),""))</f>
        <v/>
      </c>
      <c r="P94" s="10"/>
      <c r="Q94" s="6" t="str">
        <f>IF(D94="","",IFERROR(INDEX(PERKARA!$S$5:$S$104,MATCH(D94,PERKARA!$A$5:$A$104,0)),""))</f>
        <v/>
      </c>
      <c r="R94" s="6"/>
      <c r="S94" s="74" t="str">
        <f t="shared" ca="1" si="26"/>
        <v/>
      </c>
      <c r="T94" s="74" t="str">
        <f t="shared" si="27"/>
        <v/>
      </c>
      <c r="U94" s="74" t="str">
        <f t="shared" si="28"/>
        <v/>
      </c>
      <c r="V94" s="74" t="str">
        <f t="shared" si="29"/>
        <v/>
      </c>
      <c r="W94" s="74" t="str">
        <f t="shared" si="30"/>
        <v/>
      </c>
      <c r="X94" s="67" t="str">
        <f t="shared" si="32"/>
        <v/>
      </c>
      <c r="Y94" s="98"/>
      <c r="Z94" s="98"/>
      <c r="AA94" s="105"/>
      <c r="AB94" s="98"/>
      <c r="AC94" s="104" t="str">
        <f t="shared" si="31"/>
        <v/>
      </c>
      <c r="AD94" s="123"/>
    </row>
    <row r="95" spans="1:30">
      <c r="A95" s="6" t="str">
        <f t="shared" si="22"/>
        <v/>
      </c>
      <c r="B95" s="80"/>
      <c r="C95" s="80" t="str">
        <f>IF(B95="","",IFERROR(B95+MASTER!$AF$9,""))</f>
        <v/>
      </c>
      <c r="D95" s="46"/>
      <c r="E95" s="47" t="str">
        <f>IF(D95="","",IFERROR(INDEX(PERKARA!$B$5:$B$104,MATCH(D95,PERKARA!$A$5:$A$104,0)),"ID TIDAK TERDAFTAR"))</f>
        <v/>
      </c>
      <c r="F95" s="6"/>
      <c r="G95" s="72"/>
      <c r="H95" s="72"/>
      <c r="I95" s="72"/>
      <c r="J95" s="73" t="str">
        <f t="shared" si="23"/>
        <v/>
      </c>
      <c r="K95" s="73" t="str">
        <f>IF(A95="","",IF(AD95="",0,AD95)+SUMIFS(PEMASUKAN!$H$5:$H$204,PEMASUKAN!$G$5:$G$204,A95))</f>
        <v/>
      </c>
      <c r="L95" s="73" t="str">
        <f t="shared" si="24"/>
        <v/>
      </c>
      <c r="M95" s="81" t="str">
        <f t="shared" ca="1" si="25"/>
        <v/>
      </c>
      <c r="N95" s="9" t="str">
        <f ca="1">IF(A95="","",IF(J95=0,"NILAI BELUM DIISI",IF(L95=0,"Lunas",IF(C95="","Belum Ada Jatuh Tempo",IF(TODAY()&gt;C95,IF(K95&gt;0,"Jatuh Tempo - Dibayar Sebagian","Jatuh Tempo"),IF(K95&gt;0,"Dibayar Sebagian",IF(C95-TODAY()&lt;=MASTER!$AF$5,"Segera Jatuh Tempo","Belum Dibayar")))))))</f>
        <v/>
      </c>
      <c r="O95" s="6" t="str">
        <f>IF(D95="","",IFERROR(INDEX(PERKARA!$D$5:$D$104,MATCH(D95,PERKARA!$A$5:$A$104,0)),""))</f>
        <v/>
      </c>
      <c r="P95" s="10"/>
      <c r="Q95" s="6" t="str">
        <f>IF(D95="","",IFERROR(INDEX(PERKARA!$S$5:$S$104,MATCH(D95,PERKARA!$A$5:$A$104,0)),""))</f>
        <v/>
      </c>
      <c r="R95" s="6"/>
      <c r="S95" s="74" t="str">
        <f t="shared" ca="1" si="26"/>
        <v/>
      </c>
      <c r="T95" s="74" t="str">
        <f t="shared" si="27"/>
        <v/>
      </c>
      <c r="U95" s="74" t="str">
        <f t="shared" si="28"/>
        <v/>
      </c>
      <c r="V95" s="74" t="str">
        <f t="shared" si="29"/>
        <v/>
      </c>
      <c r="W95" s="74" t="str">
        <f t="shared" si="30"/>
        <v/>
      </c>
      <c r="X95" s="67" t="str">
        <f t="shared" si="32"/>
        <v/>
      </c>
      <c r="Y95" s="98"/>
      <c r="Z95" s="98"/>
      <c r="AA95" s="105"/>
      <c r="AB95" s="98"/>
      <c r="AC95" s="104" t="str">
        <f t="shared" si="31"/>
        <v/>
      </c>
      <c r="AD95" s="123"/>
    </row>
    <row r="96" spans="1:30">
      <c r="A96" s="6" t="str">
        <f t="shared" si="22"/>
        <v/>
      </c>
      <c r="B96" s="80"/>
      <c r="C96" s="80" t="str">
        <f>IF(B96="","",IFERROR(B96+MASTER!$AF$9,""))</f>
        <v/>
      </c>
      <c r="D96" s="46"/>
      <c r="E96" s="47" t="str">
        <f>IF(D96="","",IFERROR(INDEX(PERKARA!$B$5:$B$104,MATCH(D96,PERKARA!$A$5:$A$104,0)),"ID TIDAK TERDAFTAR"))</f>
        <v/>
      </c>
      <c r="F96" s="6"/>
      <c r="G96" s="72"/>
      <c r="H96" s="72"/>
      <c r="I96" s="72"/>
      <c r="J96" s="73" t="str">
        <f t="shared" si="23"/>
        <v/>
      </c>
      <c r="K96" s="73" t="str">
        <f>IF(A96="","",IF(AD96="",0,AD96)+SUMIFS(PEMASUKAN!$H$5:$H$204,PEMASUKAN!$G$5:$G$204,A96))</f>
        <v/>
      </c>
      <c r="L96" s="73" t="str">
        <f t="shared" si="24"/>
        <v/>
      </c>
      <c r="M96" s="81" t="str">
        <f t="shared" ca="1" si="25"/>
        <v/>
      </c>
      <c r="N96" s="9" t="str">
        <f ca="1">IF(A96="","",IF(J96=0,"NILAI BELUM DIISI",IF(L96=0,"Lunas",IF(C96="","Belum Ada Jatuh Tempo",IF(TODAY()&gt;C96,IF(K96&gt;0,"Jatuh Tempo - Dibayar Sebagian","Jatuh Tempo"),IF(K96&gt;0,"Dibayar Sebagian",IF(C96-TODAY()&lt;=MASTER!$AF$5,"Segera Jatuh Tempo","Belum Dibayar")))))))</f>
        <v/>
      </c>
      <c r="O96" s="6" t="str">
        <f>IF(D96="","",IFERROR(INDEX(PERKARA!$D$5:$D$104,MATCH(D96,PERKARA!$A$5:$A$104,0)),""))</f>
        <v/>
      </c>
      <c r="P96" s="10"/>
      <c r="Q96" s="6" t="str">
        <f>IF(D96="","",IFERROR(INDEX(PERKARA!$S$5:$S$104,MATCH(D96,PERKARA!$A$5:$A$104,0)),""))</f>
        <v/>
      </c>
      <c r="R96" s="6"/>
      <c r="S96" s="74" t="str">
        <f t="shared" ca="1" si="26"/>
        <v/>
      </c>
      <c r="T96" s="74" t="str">
        <f t="shared" si="27"/>
        <v/>
      </c>
      <c r="U96" s="74" t="str">
        <f t="shared" si="28"/>
        <v/>
      </c>
      <c r="V96" s="74" t="str">
        <f t="shared" si="29"/>
        <v/>
      </c>
      <c r="W96" s="74" t="str">
        <f t="shared" si="30"/>
        <v/>
      </c>
      <c r="X96" s="67" t="str">
        <f t="shared" si="32"/>
        <v/>
      </c>
      <c r="Y96" s="98"/>
      <c r="Z96" s="98"/>
      <c r="AA96" s="105"/>
      <c r="AB96" s="98"/>
      <c r="AC96" s="104" t="str">
        <f t="shared" si="31"/>
        <v/>
      </c>
      <c r="AD96" s="123"/>
    </row>
    <row r="97" spans="1:30">
      <c r="A97" s="6" t="str">
        <f t="shared" si="22"/>
        <v/>
      </c>
      <c r="B97" s="80"/>
      <c r="C97" s="80" t="str">
        <f>IF(B97="","",IFERROR(B97+MASTER!$AF$9,""))</f>
        <v/>
      </c>
      <c r="D97" s="46"/>
      <c r="E97" s="47" t="str">
        <f>IF(D97="","",IFERROR(INDEX(PERKARA!$B$5:$B$104,MATCH(D97,PERKARA!$A$5:$A$104,0)),"ID TIDAK TERDAFTAR"))</f>
        <v/>
      </c>
      <c r="F97" s="6"/>
      <c r="G97" s="72"/>
      <c r="H97" s="72"/>
      <c r="I97" s="72"/>
      <c r="J97" s="73" t="str">
        <f t="shared" si="23"/>
        <v/>
      </c>
      <c r="K97" s="73" t="str">
        <f>IF(A97="","",IF(AD97="",0,AD97)+SUMIFS(PEMASUKAN!$H$5:$H$204,PEMASUKAN!$G$5:$G$204,A97))</f>
        <v/>
      </c>
      <c r="L97" s="73" t="str">
        <f t="shared" si="24"/>
        <v/>
      </c>
      <c r="M97" s="81" t="str">
        <f t="shared" ca="1" si="25"/>
        <v/>
      </c>
      <c r="N97" s="9" t="str">
        <f ca="1">IF(A97="","",IF(J97=0,"NILAI BELUM DIISI",IF(L97=0,"Lunas",IF(C97="","Belum Ada Jatuh Tempo",IF(TODAY()&gt;C97,IF(K97&gt;0,"Jatuh Tempo - Dibayar Sebagian","Jatuh Tempo"),IF(K97&gt;0,"Dibayar Sebagian",IF(C97-TODAY()&lt;=MASTER!$AF$5,"Segera Jatuh Tempo","Belum Dibayar")))))))</f>
        <v/>
      </c>
      <c r="O97" s="6" t="str">
        <f>IF(D97="","",IFERROR(INDEX(PERKARA!$D$5:$D$104,MATCH(D97,PERKARA!$A$5:$A$104,0)),""))</f>
        <v/>
      </c>
      <c r="P97" s="10"/>
      <c r="Q97" s="6" t="str">
        <f>IF(D97="","",IFERROR(INDEX(PERKARA!$S$5:$S$104,MATCH(D97,PERKARA!$A$5:$A$104,0)),""))</f>
        <v/>
      </c>
      <c r="R97" s="6"/>
      <c r="S97" s="74" t="str">
        <f t="shared" ca="1" si="26"/>
        <v/>
      </c>
      <c r="T97" s="74" t="str">
        <f t="shared" si="27"/>
        <v/>
      </c>
      <c r="U97" s="74" t="str">
        <f t="shared" si="28"/>
        <v/>
      </c>
      <c r="V97" s="74" t="str">
        <f t="shared" si="29"/>
        <v/>
      </c>
      <c r="W97" s="74" t="str">
        <f t="shared" si="30"/>
        <v/>
      </c>
      <c r="X97" s="67" t="str">
        <f t="shared" si="32"/>
        <v/>
      </c>
      <c r="Y97" s="98"/>
      <c r="Z97" s="98"/>
      <c r="AA97" s="105"/>
      <c r="AB97" s="98"/>
      <c r="AC97" s="104" t="str">
        <f t="shared" si="31"/>
        <v/>
      </c>
      <c r="AD97" s="123"/>
    </row>
    <row r="98" spans="1:30">
      <c r="A98" s="6" t="str">
        <f t="shared" ref="A98:A129" si="33">IF(B98="","",IFERROR("RPK-INV-"&amp;TEXT(B98,"yyyy")&amp;"-"&amp;TEXT(ROW()-4,"000"),"TANGGAL TIDAK VALID"))</f>
        <v/>
      </c>
      <c r="B98" s="80"/>
      <c r="C98" s="80" t="str">
        <f>IF(B98="","",IFERROR(B98+MASTER!$AF$9,""))</f>
        <v/>
      </c>
      <c r="D98" s="46"/>
      <c r="E98" s="47" t="str">
        <f>IF(D98="","",IFERROR(INDEX(PERKARA!$B$5:$B$104,MATCH(D98,PERKARA!$A$5:$A$104,0)),"ID TIDAK TERDAFTAR"))</f>
        <v/>
      </c>
      <c r="F98" s="6"/>
      <c r="G98" s="72"/>
      <c r="H98" s="72"/>
      <c r="I98" s="72"/>
      <c r="J98" s="73" t="str">
        <f t="shared" ref="J98:J129" si="34">IF(A98="","",SUM(G98:I98))</f>
        <v/>
      </c>
      <c r="K98" s="73" t="str">
        <f>IF(A98="","",IF(AD98="",0,AD98)+SUMIFS(PEMASUKAN!$H$5:$H$204,PEMASUKAN!$G$5:$G$204,A98))</f>
        <v/>
      </c>
      <c r="L98" s="73" t="str">
        <f t="shared" ref="L98:L129" si="35">IF(A98="","",MAX(J98-K98,0))</f>
        <v/>
      </c>
      <c r="M98" s="81" t="str">
        <f t="shared" ref="M98:M129" ca="1" si="36">IF(OR(A98="",C98="",L98=0),"",MAX(TODAY()-C98,0))</f>
        <v/>
      </c>
      <c r="N98" s="9" t="str">
        <f ca="1">IF(A98="","",IF(J98=0,"NILAI BELUM DIISI",IF(L98=0,"Lunas",IF(C98="","Belum Ada Jatuh Tempo",IF(TODAY()&gt;C98,IF(K98&gt;0,"Jatuh Tempo - Dibayar Sebagian","Jatuh Tempo"),IF(K98&gt;0,"Dibayar Sebagian",IF(C98-TODAY()&lt;=MASTER!$AF$5,"Segera Jatuh Tempo","Belum Dibayar")))))))</f>
        <v/>
      </c>
      <c r="O98" s="6" t="str">
        <f>IF(D98="","",IFERROR(INDEX(PERKARA!$D$5:$D$104,MATCH(D98,PERKARA!$A$5:$A$104,0)),""))</f>
        <v/>
      </c>
      <c r="P98" s="10"/>
      <c r="Q98" s="6" t="str">
        <f>IF(D98="","",IFERROR(INDEX(PERKARA!$S$5:$S$104,MATCH(D98,PERKARA!$A$5:$A$104,0)),""))</f>
        <v/>
      </c>
      <c r="R98" s="6"/>
      <c r="S98" s="74" t="str">
        <f t="shared" ref="S98:S129" ca="1" si="37">IF(A98="","",IF(OR(C98="",TODAY()&lt;=C98),L98,0))</f>
        <v/>
      </c>
      <c r="T98" s="74" t="str">
        <f t="shared" ref="T98:T129" si="38">IF(A98="","",IF(AND(M98&gt;=1,M98&lt;=30),L98,0))</f>
        <v/>
      </c>
      <c r="U98" s="74" t="str">
        <f t="shared" ref="U98:U129" si="39">IF(A98="","",IF(AND(M98&gt;=31,M98&lt;=60),L98,0))</f>
        <v/>
      </c>
      <c r="V98" s="74" t="str">
        <f t="shared" ref="V98:V129" si="40">IF(A98="","",IF(AND(M98&gt;=61,M98&lt;=90),L98,0))</f>
        <v/>
      </c>
      <c r="W98" s="74" t="str">
        <f t="shared" ref="W98:W129" si="41">IF(A98="","",IF(M98&gt;90,L98,0))</f>
        <v/>
      </c>
      <c r="X98" s="67" t="str">
        <f t="shared" si="32"/>
        <v/>
      </c>
      <c r="Y98" s="98"/>
      <c r="Z98" s="98"/>
      <c r="AA98" s="105"/>
      <c r="AB98" s="98"/>
      <c r="AC98" s="104" t="str">
        <f t="shared" ref="AC98:AC129" si="42">IF(B98="","",IF(Y98="Ditolak","DITOLAK",IF(AND(Y98="Disetujui",Z98&lt;&gt;""),"LENGKAP",IF(Y98="Disetujui","NAMA PENYETUJU BELUM DIISI","MENUNGGU PERSETUJUAN MANUAL"))))</f>
        <v/>
      </c>
      <c r="AD98" s="123"/>
    </row>
    <row r="99" spans="1:30">
      <c r="A99" s="6" t="str">
        <f t="shared" si="33"/>
        <v/>
      </c>
      <c r="B99" s="80"/>
      <c r="C99" s="80" t="str">
        <f>IF(B99="","",IFERROR(B99+MASTER!$AF$9,""))</f>
        <v/>
      </c>
      <c r="D99" s="46"/>
      <c r="E99" s="47" t="str">
        <f>IF(D99="","",IFERROR(INDEX(PERKARA!$B$5:$B$104,MATCH(D99,PERKARA!$A$5:$A$104,0)),"ID TIDAK TERDAFTAR"))</f>
        <v/>
      </c>
      <c r="F99" s="6"/>
      <c r="G99" s="72"/>
      <c r="H99" s="72"/>
      <c r="I99" s="72"/>
      <c r="J99" s="73" t="str">
        <f t="shared" si="34"/>
        <v/>
      </c>
      <c r="K99" s="73" t="str">
        <f>IF(A99="","",IF(AD99="",0,AD99)+SUMIFS(PEMASUKAN!$H$5:$H$204,PEMASUKAN!$G$5:$G$204,A99))</f>
        <v/>
      </c>
      <c r="L99" s="73" t="str">
        <f t="shared" si="35"/>
        <v/>
      </c>
      <c r="M99" s="81" t="str">
        <f t="shared" ca="1" si="36"/>
        <v/>
      </c>
      <c r="N99" s="9" t="str">
        <f ca="1">IF(A99="","",IF(J99=0,"NILAI BELUM DIISI",IF(L99=0,"Lunas",IF(C99="","Belum Ada Jatuh Tempo",IF(TODAY()&gt;C99,IF(K99&gt;0,"Jatuh Tempo - Dibayar Sebagian","Jatuh Tempo"),IF(K99&gt;0,"Dibayar Sebagian",IF(C99-TODAY()&lt;=MASTER!$AF$5,"Segera Jatuh Tempo","Belum Dibayar")))))))</f>
        <v/>
      </c>
      <c r="O99" s="6" t="str">
        <f>IF(D99="","",IFERROR(INDEX(PERKARA!$D$5:$D$104,MATCH(D99,PERKARA!$A$5:$A$104,0)),""))</f>
        <v/>
      </c>
      <c r="P99" s="10"/>
      <c r="Q99" s="6" t="str">
        <f>IF(D99="","",IFERROR(INDEX(PERKARA!$S$5:$S$104,MATCH(D99,PERKARA!$A$5:$A$104,0)),""))</f>
        <v/>
      </c>
      <c r="R99" s="6"/>
      <c r="S99" s="74" t="str">
        <f t="shared" ca="1" si="37"/>
        <v/>
      </c>
      <c r="T99" s="74" t="str">
        <f t="shared" si="38"/>
        <v/>
      </c>
      <c r="U99" s="74" t="str">
        <f t="shared" si="39"/>
        <v/>
      </c>
      <c r="V99" s="74" t="str">
        <f t="shared" si="40"/>
        <v/>
      </c>
      <c r="W99" s="74" t="str">
        <f t="shared" si="41"/>
        <v/>
      </c>
      <c r="X99" s="67" t="str">
        <f t="shared" si="32"/>
        <v/>
      </c>
      <c r="Y99" s="98"/>
      <c r="Z99" s="98"/>
      <c r="AA99" s="105"/>
      <c r="AB99" s="98"/>
      <c r="AC99" s="104" t="str">
        <f t="shared" si="42"/>
        <v/>
      </c>
      <c r="AD99" s="123"/>
    </row>
    <row r="100" spans="1:30">
      <c r="A100" s="6" t="str">
        <f t="shared" si="33"/>
        <v/>
      </c>
      <c r="B100" s="80"/>
      <c r="C100" s="80" t="str">
        <f>IF(B100="","",IFERROR(B100+MASTER!$AF$9,""))</f>
        <v/>
      </c>
      <c r="D100" s="46"/>
      <c r="E100" s="47" t="str">
        <f>IF(D100="","",IFERROR(INDEX(PERKARA!$B$5:$B$104,MATCH(D100,PERKARA!$A$5:$A$104,0)),"ID TIDAK TERDAFTAR"))</f>
        <v/>
      </c>
      <c r="F100" s="6"/>
      <c r="G100" s="72"/>
      <c r="H100" s="72"/>
      <c r="I100" s="72"/>
      <c r="J100" s="73" t="str">
        <f t="shared" si="34"/>
        <v/>
      </c>
      <c r="K100" s="73" t="str">
        <f>IF(A100="","",IF(AD100="",0,AD100)+SUMIFS(PEMASUKAN!$H$5:$H$204,PEMASUKAN!$G$5:$G$204,A100))</f>
        <v/>
      </c>
      <c r="L100" s="73" t="str">
        <f t="shared" si="35"/>
        <v/>
      </c>
      <c r="M100" s="81" t="str">
        <f t="shared" ca="1" si="36"/>
        <v/>
      </c>
      <c r="N100" s="9" t="str">
        <f ca="1">IF(A100="","",IF(J100=0,"NILAI BELUM DIISI",IF(L100=0,"Lunas",IF(C100="","Belum Ada Jatuh Tempo",IF(TODAY()&gt;C100,IF(K100&gt;0,"Jatuh Tempo - Dibayar Sebagian","Jatuh Tempo"),IF(K100&gt;0,"Dibayar Sebagian",IF(C100-TODAY()&lt;=MASTER!$AF$5,"Segera Jatuh Tempo","Belum Dibayar")))))))</f>
        <v/>
      </c>
      <c r="O100" s="6" t="str">
        <f>IF(D100="","",IFERROR(INDEX(PERKARA!$D$5:$D$104,MATCH(D100,PERKARA!$A$5:$A$104,0)),""))</f>
        <v/>
      </c>
      <c r="P100" s="10"/>
      <c r="Q100" s="6" t="str">
        <f>IF(D100="","",IFERROR(INDEX(PERKARA!$S$5:$S$104,MATCH(D100,PERKARA!$A$5:$A$104,0)),""))</f>
        <v/>
      </c>
      <c r="R100" s="6"/>
      <c r="S100" s="74" t="str">
        <f t="shared" ca="1" si="37"/>
        <v/>
      </c>
      <c r="T100" s="74" t="str">
        <f t="shared" si="38"/>
        <v/>
      </c>
      <c r="U100" s="74" t="str">
        <f t="shared" si="39"/>
        <v/>
      </c>
      <c r="V100" s="74" t="str">
        <f t="shared" si="40"/>
        <v/>
      </c>
      <c r="W100" s="74" t="str">
        <f t="shared" si="41"/>
        <v/>
      </c>
      <c r="X100" s="67" t="str">
        <f t="shared" si="32"/>
        <v/>
      </c>
      <c r="Y100" s="98"/>
      <c r="Z100" s="98"/>
      <c r="AA100" s="105"/>
      <c r="AB100" s="98"/>
      <c r="AC100" s="104" t="str">
        <f t="shared" si="42"/>
        <v/>
      </c>
      <c r="AD100" s="123"/>
    </row>
    <row r="101" spans="1:30">
      <c r="A101" s="6" t="str">
        <f t="shared" si="33"/>
        <v/>
      </c>
      <c r="B101" s="80"/>
      <c r="C101" s="80" t="str">
        <f>IF(B101="","",IFERROR(B101+MASTER!$AF$9,""))</f>
        <v/>
      </c>
      <c r="D101" s="46"/>
      <c r="E101" s="47" t="str">
        <f>IF(D101="","",IFERROR(INDEX(PERKARA!$B$5:$B$104,MATCH(D101,PERKARA!$A$5:$A$104,0)),"ID TIDAK TERDAFTAR"))</f>
        <v/>
      </c>
      <c r="F101" s="6"/>
      <c r="G101" s="72"/>
      <c r="H101" s="72"/>
      <c r="I101" s="72"/>
      <c r="J101" s="73" t="str">
        <f t="shared" si="34"/>
        <v/>
      </c>
      <c r="K101" s="73" t="str">
        <f>IF(A101="","",IF(AD101="",0,AD101)+SUMIFS(PEMASUKAN!$H$5:$H$204,PEMASUKAN!$G$5:$G$204,A101))</f>
        <v/>
      </c>
      <c r="L101" s="73" t="str">
        <f t="shared" si="35"/>
        <v/>
      </c>
      <c r="M101" s="81" t="str">
        <f t="shared" ca="1" si="36"/>
        <v/>
      </c>
      <c r="N101" s="9" t="str">
        <f ca="1">IF(A101="","",IF(J101=0,"NILAI BELUM DIISI",IF(L101=0,"Lunas",IF(C101="","Belum Ada Jatuh Tempo",IF(TODAY()&gt;C101,IF(K101&gt;0,"Jatuh Tempo - Dibayar Sebagian","Jatuh Tempo"),IF(K101&gt;0,"Dibayar Sebagian",IF(C101-TODAY()&lt;=MASTER!$AF$5,"Segera Jatuh Tempo","Belum Dibayar")))))))</f>
        <v/>
      </c>
      <c r="O101" s="6" t="str">
        <f>IF(D101="","",IFERROR(INDEX(PERKARA!$D$5:$D$104,MATCH(D101,PERKARA!$A$5:$A$104,0)),""))</f>
        <v/>
      </c>
      <c r="P101" s="10"/>
      <c r="Q101" s="6" t="str">
        <f>IF(D101="","",IFERROR(INDEX(PERKARA!$S$5:$S$104,MATCH(D101,PERKARA!$A$5:$A$104,0)),""))</f>
        <v/>
      </c>
      <c r="R101" s="6"/>
      <c r="S101" s="74" t="str">
        <f t="shared" ca="1" si="37"/>
        <v/>
      </c>
      <c r="T101" s="74" t="str">
        <f t="shared" si="38"/>
        <v/>
      </c>
      <c r="U101" s="74" t="str">
        <f t="shared" si="39"/>
        <v/>
      </c>
      <c r="V101" s="74" t="str">
        <f t="shared" si="40"/>
        <v/>
      </c>
      <c r="W101" s="74" t="str">
        <f t="shared" si="41"/>
        <v/>
      </c>
      <c r="X101" s="67" t="str">
        <f t="shared" ref="X101:X132" si="43">IF(A101="","",IF(COUNTIF($A$5:$A$151,A101)&gt;1,"NOMOR INVOICE DUPLIKAT",IF(D101="","PERKARA BELUM DIISI",IF(E101="ID TIDAK TERDAFTAR","PERKARA TIDAK VALID",IF(K101&gt;J101,"PEMBAYARAN MELEBIHI TAGIHAN","OK")))))</f>
        <v/>
      </c>
      <c r="Y101" s="98"/>
      <c r="Z101" s="98"/>
      <c r="AA101" s="105"/>
      <c r="AB101" s="98"/>
      <c r="AC101" s="104" t="str">
        <f t="shared" si="42"/>
        <v/>
      </c>
      <c r="AD101" s="123"/>
    </row>
    <row r="102" spans="1:30">
      <c r="A102" s="6" t="str">
        <f t="shared" si="33"/>
        <v/>
      </c>
      <c r="B102" s="80"/>
      <c r="C102" s="80" t="str">
        <f>IF(B102="","",IFERROR(B102+MASTER!$AF$9,""))</f>
        <v/>
      </c>
      <c r="D102" s="46"/>
      <c r="E102" s="47" t="str">
        <f>IF(D102="","",IFERROR(INDEX(PERKARA!$B$5:$B$104,MATCH(D102,PERKARA!$A$5:$A$104,0)),"ID TIDAK TERDAFTAR"))</f>
        <v/>
      </c>
      <c r="F102" s="6"/>
      <c r="G102" s="72"/>
      <c r="H102" s="72"/>
      <c r="I102" s="72"/>
      <c r="J102" s="73" t="str">
        <f t="shared" si="34"/>
        <v/>
      </c>
      <c r="K102" s="73" t="str">
        <f>IF(A102="","",IF(AD102="",0,AD102)+SUMIFS(PEMASUKAN!$H$5:$H$204,PEMASUKAN!$G$5:$G$204,A102))</f>
        <v/>
      </c>
      <c r="L102" s="73" t="str">
        <f t="shared" si="35"/>
        <v/>
      </c>
      <c r="M102" s="81" t="str">
        <f t="shared" ca="1" si="36"/>
        <v/>
      </c>
      <c r="N102" s="9" t="str">
        <f ca="1">IF(A102="","",IF(J102=0,"NILAI BELUM DIISI",IF(L102=0,"Lunas",IF(C102="","Belum Ada Jatuh Tempo",IF(TODAY()&gt;C102,IF(K102&gt;0,"Jatuh Tempo - Dibayar Sebagian","Jatuh Tempo"),IF(K102&gt;0,"Dibayar Sebagian",IF(C102-TODAY()&lt;=MASTER!$AF$5,"Segera Jatuh Tempo","Belum Dibayar")))))))</f>
        <v/>
      </c>
      <c r="O102" s="6" t="str">
        <f>IF(D102="","",IFERROR(INDEX(PERKARA!$D$5:$D$104,MATCH(D102,PERKARA!$A$5:$A$104,0)),""))</f>
        <v/>
      </c>
      <c r="P102" s="10"/>
      <c r="Q102" s="6" t="str">
        <f>IF(D102="","",IFERROR(INDEX(PERKARA!$S$5:$S$104,MATCH(D102,PERKARA!$A$5:$A$104,0)),""))</f>
        <v/>
      </c>
      <c r="R102" s="6"/>
      <c r="S102" s="74" t="str">
        <f t="shared" ca="1" si="37"/>
        <v/>
      </c>
      <c r="T102" s="74" t="str">
        <f t="shared" si="38"/>
        <v/>
      </c>
      <c r="U102" s="74" t="str">
        <f t="shared" si="39"/>
        <v/>
      </c>
      <c r="V102" s="74" t="str">
        <f t="shared" si="40"/>
        <v/>
      </c>
      <c r="W102" s="74" t="str">
        <f t="shared" si="41"/>
        <v/>
      </c>
      <c r="X102" s="67" t="str">
        <f t="shared" si="43"/>
        <v/>
      </c>
      <c r="Y102" s="98"/>
      <c r="Z102" s="98"/>
      <c r="AA102" s="105"/>
      <c r="AB102" s="98"/>
      <c r="AC102" s="104" t="str">
        <f t="shared" si="42"/>
        <v/>
      </c>
      <c r="AD102" s="123"/>
    </row>
    <row r="103" spans="1:30">
      <c r="A103" s="6" t="str">
        <f t="shared" si="33"/>
        <v/>
      </c>
      <c r="B103" s="80"/>
      <c r="C103" s="80" t="str">
        <f>IF(B103="","",IFERROR(B103+MASTER!$AF$9,""))</f>
        <v/>
      </c>
      <c r="D103" s="46"/>
      <c r="E103" s="47" t="str">
        <f>IF(D103="","",IFERROR(INDEX(PERKARA!$B$5:$B$104,MATCH(D103,PERKARA!$A$5:$A$104,0)),"ID TIDAK TERDAFTAR"))</f>
        <v/>
      </c>
      <c r="F103" s="6"/>
      <c r="G103" s="72"/>
      <c r="H103" s="72"/>
      <c r="I103" s="72"/>
      <c r="J103" s="73" t="str">
        <f t="shared" si="34"/>
        <v/>
      </c>
      <c r="K103" s="73" t="str">
        <f>IF(A103="","",IF(AD103="",0,AD103)+SUMIFS(PEMASUKAN!$H$5:$H$204,PEMASUKAN!$G$5:$G$204,A103))</f>
        <v/>
      </c>
      <c r="L103" s="73" t="str">
        <f t="shared" si="35"/>
        <v/>
      </c>
      <c r="M103" s="81" t="str">
        <f t="shared" ca="1" si="36"/>
        <v/>
      </c>
      <c r="N103" s="9" t="str">
        <f ca="1">IF(A103="","",IF(J103=0,"NILAI BELUM DIISI",IF(L103=0,"Lunas",IF(C103="","Belum Ada Jatuh Tempo",IF(TODAY()&gt;C103,IF(K103&gt;0,"Jatuh Tempo - Dibayar Sebagian","Jatuh Tempo"),IF(K103&gt;0,"Dibayar Sebagian",IF(C103-TODAY()&lt;=MASTER!$AF$5,"Segera Jatuh Tempo","Belum Dibayar")))))))</f>
        <v/>
      </c>
      <c r="O103" s="6" t="str">
        <f>IF(D103="","",IFERROR(INDEX(PERKARA!$D$5:$D$104,MATCH(D103,PERKARA!$A$5:$A$104,0)),""))</f>
        <v/>
      </c>
      <c r="P103" s="10"/>
      <c r="Q103" s="6" t="str">
        <f>IF(D103="","",IFERROR(INDEX(PERKARA!$S$5:$S$104,MATCH(D103,PERKARA!$A$5:$A$104,0)),""))</f>
        <v/>
      </c>
      <c r="R103" s="6"/>
      <c r="S103" s="74" t="str">
        <f t="shared" ca="1" si="37"/>
        <v/>
      </c>
      <c r="T103" s="74" t="str">
        <f t="shared" si="38"/>
        <v/>
      </c>
      <c r="U103" s="74" t="str">
        <f t="shared" si="39"/>
        <v/>
      </c>
      <c r="V103" s="74" t="str">
        <f t="shared" si="40"/>
        <v/>
      </c>
      <c r="W103" s="74" t="str">
        <f t="shared" si="41"/>
        <v/>
      </c>
      <c r="X103" s="67" t="str">
        <f t="shared" si="43"/>
        <v/>
      </c>
      <c r="Y103" s="98"/>
      <c r="Z103" s="98"/>
      <c r="AA103" s="105"/>
      <c r="AB103" s="98"/>
      <c r="AC103" s="104" t="str">
        <f t="shared" si="42"/>
        <v/>
      </c>
      <c r="AD103" s="123"/>
    </row>
    <row r="104" spans="1:30">
      <c r="A104" s="6" t="str">
        <f t="shared" si="33"/>
        <v/>
      </c>
      <c r="B104" s="80"/>
      <c r="C104" s="80" t="str">
        <f>IF(B104="","",IFERROR(B104+MASTER!$AF$9,""))</f>
        <v/>
      </c>
      <c r="D104" s="46"/>
      <c r="E104" s="47" t="str">
        <f>IF(D104="","",IFERROR(INDEX(PERKARA!$B$5:$B$104,MATCH(D104,PERKARA!$A$5:$A$104,0)),"ID TIDAK TERDAFTAR"))</f>
        <v/>
      </c>
      <c r="F104" s="6"/>
      <c r="G104" s="72"/>
      <c r="H104" s="72"/>
      <c r="I104" s="72"/>
      <c r="J104" s="73" t="str">
        <f t="shared" si="34"/>
        <v/>
      </c>
      <c r="K104" s="73" t="str">
        <f>IF(A104="","",IF(AD104="",0,AD104)+SUMIFS(PEMASUKAN!$H$5:$H$204,PEMASUKAN!$G$5:$G$204,A104))</f>
        <v/>
      </c>
      <c r="L104" s="73" t="str">
        <f t="shared" si="35"/>
        <v/>
      </c>
      <c r="M104" s="81" t="str">
        <f t="shared" ca="1" si="36"/>
        <v/>
      </c>
      <c r="N104" s="9" t="str">
        <f ca="1">IF(A104="","",IF(J104=0,"NILAI BELUM DIISI",IF(L104=0,"Lunas",IF(C104="","Belum Ada Jatuh Tempo",IF(TODAY()&gt;C104,IF(K104&gt;0,"Jatuh Tempo - Dibayar Sebagian","Jatuh Tempo"),IF(K104&gt;0,"Dibayar Sebagian",IF(C104-TODAY()&lt;=MASTER!$AF$5,"Segera Jatuh Tempo","Belum Dibayar")))))))</f>
        <v/>
      </c>
      <c r="O104" s="6" t="str">
        <f>IF(D104="","",IFERROR(INDEX(PERKARA!$D$5:$D$104,MATCH(D104,PERKARA!$A$5:$A$104,0)),""))</f>
        <v/>
      </c>
      <c r="P104" s="10"/>
      <c r="Q104" s="6" t="str">
        <f>IF(D104="","",IFERROR(INDEX(PERKARA!$S$5:$S$104,MATCH(D104,PERKARA!$A$5:$A$104,0)),""))</f>
        <v/>
      </c>
      <c r="R104" s="6"/>
      <c r="S104" s="74" t="str">
        <f t="shared" ca="1" si="37"/>
        <v/>
      </c>
      <c r="T104" s="74" t="str">
        <f t="shared" si="38"/>
        <v/>
      </c>
      <c r="U104" s="74" t="str">
        <f t="shared" si="39"/>
        <v/>
      </c>
      <c r="V104" s="74" t="str">
        <f t="shared" si="40"/>
        <v/>
      </c>
      <c r="W104" s="74" t="str">
        <f t="shared" si="41"/>
        <v/>
      </c>
      <c r="X104" s="67" t="str">
        <f t="shared" si="43"/>
        <v/>
      </c>
      <c r="Y104" s="98"/>
      <c r="Z104" s="98"/>
      <c r="AA104" s="105"/>
      <c r="AB104" s="98"/>
      <c r="AC104" s="104" t="str">
        <f t="shared" si="42"/>
        <v/>
      </c>
      <c r="AD104" s="123"/>
    </row>
    <row r="105" spans="1:30">
      <c r="A105" s="6" t="str">
        <f t="shared" si="33"/>
        <v/>
      </c>
      <c r="B105" s="80"/>
      <c r="C105" s="80" t="str">
        <f>IF(B105="","",IFERROR(B105+MASTER!$AF$9,""))</f>
        <v/>
      </c>
      <c r="D105" s="46"/>
      <c r="E105" s="47" t="str">
        <f>IF(D105="","",IFERROR(INDEX(PERKARA!$B$5:$B$104,MATCH(D105,PERKARA!$A$5:$A$104,0)),"ID TIDAK TERDAFTAR"))</f>
        <v/>
      </c>
      <c r="F105" s="6"/>
      <c r="G105" s="72"/>
      <c r="H105" s="72"/>
      <c r="I105" s="72"/>
      <c r="J105" s="73" t="str">
        <f t="shared" si="34"/>
        <v/>
      </c>
      <c r="K105" s="73" t="str">
        <f>IF(A105="","",IF(AD105="",0,AD105)+SUMIFS(PEMASUKAN!$H$5:$H$204,PEMASUKAN!$G$5:$G$204,A105))</f>
        <v/>
      </c>
      <c r="L105" s="73" t="str">
        <f t="shared" si="35"/>
        <v/>
      </c>
      <c r="M105" s="81" t="str">
        <f t="shared" ca="1" si="36"/>
        <v/>
      </c>
      <c r="N105" s="9" t="str">
        <f ca="1">IF(A105="","",IF(J105=0,"NILAI BELUM DIISI",IF(L105=0,"Lunas",IF(C105="","Belum Ada Jatuh Tempo",IF(TODAY()&gt;C105,IF(K105&gt;0,"Jatuh Tempo - Dibayar Sebagian","Jatuh Tempo"),IF(K105&gt;0,"Dibayar Sebagian",IF(C105-TODAY()&lt;=MASTER!$AF$5,"Segera Jatuh Tempo","Belum Dibayar")))))))</f>
        <v/>
      </c>
      <c r="O105" s="6" t="str">
        <f>IF(D105="","",IFERROR(INDEX(PERKARA!$D$5:$D$104,MATCH(D105,PERKARA!$A$5:$A$104,0)),""))</f>
        <v/>
      </c>
      <c r="P105" s="10"/>
      <c r="Q105" s="6" t="str">
        <f>IF(D105="","",IFERROR(INDEX(PERKARA!$S$5:$S$104,MATCH(D105,PERKARA!$A$5:$A$104,0)),""))</f>
        <v/>
      </c>
      <c r="R105" s="6"/>
      <c r="S105" s="74" t="str">
        <f t="shared" ca="1" si="37"/>
        <v/>
      </c>
      <c r="T105" s="74" t="str">
        <f t="shared" si="38"/>
        <v/>
      </c>
      <c r="U105" s="74" t="str">
        <f t="shared" si="39"/>
        <v/>
      </c>
      <c r="V105" s="74" t="str">
        <f t="shared" si="40"/>
        <v/>
      </c>
      <c r="W105" s="74" t="str">
        <f t="shared" si="41"/>
        <v/>
      </c>
      <c r="X105" s="67" t="str">
        <f t="shared" si="43"/>
        <v/>
      </c>
      <c r="Y105" s="98"/>
      <c r="Z105" s="98"/>
      <c r="AA105" s="105"/>
      <c r="AB105" s="98"/>
      <c r="AC105" s="104" t="str">
        <f t="shared" si="42"/>
        <v/>
      </c>
      <c r="AD105" s="123"/>
    </row>
    <row r="106" spans="1:30">
      <c r="A106" s="6" t="str">
        <f t="shared" si="33"/>
        <v/>
      </c>
      <c r="B106" s="80"/>
      <c r="C106" s="80" t="str">
        <f>IF(B106="","",IFERROR(B106+MASTER!$AF$9,""))</f>
        <v/>
      </c>
      <c r="D106" s="46"/>
      <c r="E106" s="47" t="str">
        <f>IF(D106="","",IFERROR(INDEX(PERKARA!$B$5:$B$104,MATCH(D106,PERKARA!$A$5:$A$104,0)),"ID TIDAK TERDAFTAR"))</f>
        <v/>
      </c>
      <c r="F106" s="6"/>
      <c r="G106" s="72"/>
      <c r="H106" s="72"/>
      <c r="I106" s="72"/>
      <c r="J106" s="73" t="str">
        <f t="shared" si="34"/>
        <v/>
      </c>
      <c r="K106" s="73" t="str">
        <f>IF(A106="","",IF(AD106="",0,AD106)+SUMIFS(PEMASUKAN!$H$5:$H$204,PEMASUKAN!$G$5:$G$204,A106))</f>
        <v/>
      </c>
      <c r="L106" s="73" t="str">
        <f t="shared" si="35"/>
        <v/>
      </c>
      <c r="M106" s="81" t="str">
        <f t="shared" ca="1" si="36"/>
        <v/>
      </c>
      <c r="N106" s="9" t="str">
        <f ca="1">IF(A106="","",IF(J106=0,"NILAI BELUM DIISI",IF(L106=0,"Lunas",IF(C106="","Belum Ada Jatuh Tempo",IF(TODAY()&gt;C106,IF(K106&gt;0,"Jatuh Tempo - Dibayar Sebagian","Jatuh Tempo"),IF(K106&gt;0,"Dibayar Sebagian",IF(C106-TODAY()&lt;=MASTER!$AF$5,"Segera Jatuh Tempo","Belum Dibayar")))))))</f>
        <v/>
      </c>
      <c r="O106" s="6" t="str">
        <f>IF(D106="","",IFERROR(INDEX(PERKARA!$D$5:$D$104,MATCH(D106,PERKARA!$A$5:$A$104,0)),""))</f>
        <v/>
      </c>
      <c r="P106" s="10"/>
      <c r="Q106" s="6" t="str">
        <f>IF(D106="","",IFERROR(INDEX(PERKARA!$S$5:$S$104,MATCH(D106,PERKARA!$A$5:$A$104,0)),""))</f>
        <v/>
      </c>
      <c r="R106" s="6"/>
      <c r="S106" s="74" t="str">
        <f t="shared" ca="1" si="37"/>
        <v/>
      </c>
      <c r="T106" s="74" t="str">
        <f t="shared" si="38"/>
        <v/>
      </c>
      <c r="U106" s="74" t="str">
        <f t="shared" si="39"/>
        <v/>
      </c>
      <c r="V106" s="74" t="str">
        <f t="shared" si="40"/>
        <v/>
      </c>
      <c r="W106" s="74" t="str">
        <f t="shared" si="41"/>
        <v/>
      </c>
      <c r="X106" s="67" t="str">
        <f t="shared" si="43"/>
        <v/>
      </c>
      <c r="Y106" s="98"/>
      <c r="Z106" s="98"/>
      <c r="AA106" s="105"/>
      <c r="AB106" s="98"/>
      <c r="AC106" s="104" t="str">
        <f t="shared" si="42"/>
        <v/>
      </c>
      <c r="AD106" s="123"/>
    </row>
    <row r="107" spans="1:30">
      <c r="A107" s="6" t="str">
        <f t="shared" si="33"/>
        <v/>
      </c>
      <c r="B107" s="80"/>
      <c r="C107" s="80" t="str">
        <f>IF(B107="","",IFERROR(B107+MASTER!$AF$9,""))</f>
        <v/>
      </c>
      <c r="D107" s="46"/>
      <c r="E107" s="47" t="str">
        <f>IF(D107="","",IFERROR(INDEX(PERKARA!$B$5:$B$104,MATCH(D107,PERKARA!$A$5:$A$104,0)),"ID TIDAK TERDAFTAR"))</f>
        <v/>
      </c>
      <c r="F107" s="6"/>
      <c r="G107" s="72"/>
      <c r="H107" s="72"/>
      <c r="I107" s="72"/>
      <c r="J107" s="73" t="str">
        <f t="shared" si="34"/>
        <v/>
      </c>
      <c r="K107" s="73" t="str">
        <f>IF(A107="","",IF(AD107="",0,AD107)+SUMIFS(PEMASUKAN!$H$5:$H$204,PEMASUKAN!$G$5:$G$204,A107))</f>
        <v/>
      </c>
      <c r="L107" s="73" t="str">
        <f t="shared" si="35"/>
        <v/>
      </c>
      <c r="M107" s="81" t="str">
        <f t="shared" ca="1" si="36"/>
        <v/>
      </c>
      <c r="N107" s="9" t="str">
        <f ca="1">IF(A107="","",IF(J107=0,"NILAI BELUM DIISI",IF(L107=0,"Lunas",IF(C107="","Belum Ada Jatuh Tempo",IF(TODAY()&gt;C107,IF(K107&gt;0,"Jatuh Tempo - Dibayar Sebagian","Jatuh Tempo"),IF(K107&gt;0,"Dibayar Sebagian",IF(C107-TODAY()&lt;=MASTER!$AF$5,"Segera Jatuh Tempo","Belum Dibayar")))))))</f>
        <v/>
      </c>
      <c r="O107" s="6" t="str">
        <f>IF(D107="","",IFERROR(INDEX(PERKARA!$D$5:$D$104,MATCH(D107,PERKARA!$A$5:$A$104,0)),""))</f>
        <v/>
      </c>
      <c r="P107" s="10"/>
      <c r="Q107" s="6" t="str">
        <f>IF(D107="","",IFERROR(INDEX(PERKARA!$S$5:$S$104,MATCH(D107,PERKARA!$A$5:$A$104,0)),""))</f>
        <v/>
      </c>
      <c r="R107" s="6"/>
      <c r="S107" s="74" t="str">
        <f t="shared" ca="1" si="37"/>
        <v/>
      </c>
      <c r="T107" s="74" t="str">
        <f t="shared" si="38"/>
        <v/>
      </c>
      <c r="U107" s="74" t="str">
        <f t="shared" si="39"/>
        <v/>
      </c>
      <c r="V107" s="74" t="str">
        <f t="shared" si="40"/>
        <v/>
      </c>
      <c r="W107" s="74" t="str">
        <f t="shared" si="41"/>
        <v/>
      </c>
      <c r="X107" s="67" t="str">
        <f t="shared" si="43"/>
        <v/>
      </c>
      <c r="Y107" s="98"/>
      <c r="Z107" s="98"/>
      <c r="AA107" s="105"/>
      <c r="AB107" s="98"/>
      <c r="AC107" s="104" t="str">
        <f t="shared" si="42"/>
        <v/>
      </c>
      <c r="AD107" s="123"/>
    </row>
    <row r="108" spans="1:30">
      <c r="A108" s="6" t="str">
        <f t="shared" si="33"/>
        <v/>
      </c>
      <c r="B108" s="80"/>
      <c r="C108" s="80" t="str">
        <f>IF(B108="","",IFERROR(B108+MASTER!$AF$9,""))</f>
        <v/>
      </c>
      <c r="D108" s="46"/>
      <c r="E108" s="47" t="str">
        <f>IF(D108="","",IFERROR(INDEX(PERKARA!$B$5:$B$104,MATCH(D108,PERKARA!$A$5:$A$104,0)),"ID TIDAK TERDAFTAR"))</f>
        <v/>
      </c>
      <c r="F108" s="6"/>
      <c r="G108" s="72"/>
      <c r="H108" s="72"/>
      <c r="I108" s="72"/>
      <c r="J108" s="73" t="str">
        <f t="shared" si="34"/>
        <v/>
      </c>
      <c r="K108" s="73" t="str">
        <f>IF(A108="","",IF(AD108="",0,AD108)+SUMIFS(PEMASUKAN!$H$5:$H$204,PEMASUKAN!$G$5:$G$204,A108))</f>
        <v/>
      </c>
      <c r="L108" s="73" t="str">
        <f t="shared" si="35"/>
        <v/>
      </c>
      <c r="M108" s="81" t="str">
        <f t="shared" ca="1" si="36"/>
        <v/>
      </c>
      <c r="N108" s="9" t="str">
        <f ca="1">IF(A108="","",IF(J108=0,"NILAI BELUM DIISI",IF(L108=0,"Lunas",IF(C108="","Belum Ada Jatuh Tempo",IF(TODAY()&gt;C108,IF(K108&gt;0,"Jatuh Tempo - Dibayar Sebagian","Jatuh Tempo"),IF(K108&gt;0,"Dibayar Sebagian",IF(C108-TODAY()&lt;=MASTER!$AF$5,"Segera Jatuh Tempo","Belum Dibayar")))))))</f>
        <v/>
      </c>
      <c r="O108" s="6" t="str">
        <f>IF(D108="","",IFERROR(INDEX(PERKARA!$D$5:$D$104,MATCH(D108,PERKARA!$A$5:$A$104,0)),""))</f>
        <v/>
      </c>
      <c r="P108" s="10"/>
      <c r="Q108" s="6" t="str">
        <f>IF(D108="","",IFERROR(INDEX(PERKARA!$S$5:$S$104,MATCH(D108,PERKARA!$A$5:$A$104,0)),""))</f>
        <v/>
      </c>
      <c r="R108" s="6"/>
      <c r="S108" s="74" t="str">
        <f t="shared" ca="1" si="37"/>
        <v/>
      </c>
      <c r="T108" s="74" t="str">
        <f t="shared" si="38"/>
        <v/>
      </c>
      <c r="U108" s="74" t="str">
        <f t="shared" si="39"/>
        <v/>
      </c>
      <c r="V108" s="74" t="str">
        <f t="shared" si="40"/>
        <v/>
      </c>
      <c r="W108" s="74" t="str">
        <f t="shared" si="41"/>
        <v/>
      </c>
      <c r="X108" s="67" t="str">
        <f t="shared" si="43"/>
        <v/>
      </c>
      <c r="Y108" s="98"/>
      <c r="Z108" s="98"/>
      <c r="AA108" s="105"/>
      <c r="AB108" s="98"/>
      <c r="AC108" s="104" t="str">
        <f t="shared" si="42"/>
        <v/>
      </c>
      <c r="AD108" s="123"/>
    </row>
    <row r="109" spans="1:30">
      <c r="A109" s="6" t="str">
        <f t="shared" si="33"/>
        <v/>
      </c>
      <c r="B109" s="80"/>
      <c r="C109" s="80" t="str">
        <f>IF(B109="","",IFERROR(B109+MASTER!$AF$9,""))</f>
        <v/>
      </c>
      <c r="D109" s="46"/>
      <c r="E109" s="47" t="str">
        <f>IF(D109="","",IFERROR(INDEX(PERKARA!$B$5:$B$104,MATCH(D109,PERKARA!$A$5:$A$104,0)),"ID TIDAK TERDAFTAR"))</f>
        <v/>
      </c>
      <c r="F109" s="6"/>
      <c r="G109" s="72"/>
      <c r="H109" s="72"/>
      <c r="I109" s="72"/>
      <c r="J109" s="73" t="str">
        <f t="shared" si="34"/>
        <v/>
      </c>
      <c r="K109" s="73" t="str">
        <f>IF(A109="","",IF(AD109="",0,AD109)+SUMIFS(PEMASUKAN!$H$5:$H$204,PEMASUKAN!$G$5:$G$204,A109))</f>
        <v/>
      </c>
      <c r="L109" s="73" t="str">
        <f t="shared" si="35"/>
        <v/>
      </c>
      <c r="M109" s="81" t="str">
        <f t="shared" ca="1" si="36"/>
        <v/>
      </c>
      <c r="N109" s="9" t="str">
        <f ca="1">IF(A109="","",IF(J109=0,"NILAI BELUM DIISI",IF(L109=0,"Lunas",IF(C109="","Belum Ada Jatuh Tempo",IF(TODAY()&gt;C109,IF(K109&gt;0,"Jatuh Tempo - Dibayar Sebagian","Jatuh Tempo"),IF(K109&gt;0,"Dibayar Sebagian",IF(C109-TODAY()&lt;=MASTER!$AF$5,"Segera Jatuh Tempo","Belum Dibayar")))))))</f>
        <v/>
      </c>
      <c r="O109" s="6" t="str">
        <f>IF(D109="","",IFERROR(INDEX(PERKARA!$D$5:$D$104,MATCH(D109,PERKARA!$A$5:$A$104,0)),""))</f>
        <v/>
      </c>
      <c r="P109" s="10"/>
      <c r="Q109" s="6" t="str">
        <f>IF(D109="","",IFERROR(INDEX(PERKARA!$S$5:$S$104,MATCH(D109,PERKARA!$A$5:$A$104,0)),""))</f>
        <v/>
      </c>
      <c r="R109" s="6"/>
      <c r="S109" s="74" t="str">
        <f t="shared" ca="1" si="37"/>
        <v/>
      </c>
      <c r="T109" s="74" t="str">
        <f t="shared" si="38"/>
        <v/>
      </c>
      <c r="U109" s="74" t="str">
        <f t="shared" si="39"/>
        <v/>
      </c>
      <c r="V109" s="74" t="str">
        <f t="shared" si="40"/>
        <v/>
      </c>
      <c r="W109" s="74" t="str">
        <f t="shared" si="41"/>
        <v/>
      </c>
      <c r="X109" s="67" t="str">
        <f t="shared" si="43"/>
        <v/>
      </c>
      <c r="Y109" s="98"/>
      <c r="Z109" s="98"/>
      <c r="AA109" s="105"/>
      <c r="AB109" s="98"/>
      <c r="AC109" s="104" t="str">
        <f t="shared" si="42"/>
        <v/>
      </c>
      <c r="AD109" s="123"/>
    </row>
    <row r="110" spans="1:30">
      <c r="A110" s="6" t="str">
        <f t="shared" si="33"/>
        <v/>
      </c>
      <c r="B110" s="80"/>
      <c r="C110" s="80" t="str">
        <f>IF(B110="","",IFERROR(B110+MASTER!$AF$9,""))</f>
        <v/>
      </c>
      <c r="D110" s="46"/>
      <c r="E110" s="47" t="str">
        <f>IF(D110="","",IFERROR(INDEX(PERKARA!$B$5:$B$104,MATCH(D110,PERKARA!$A$5:$A$104,0)),"ID TIDAK TERDAFTAR"))</f>
        <v/>
      </c>
      <c r="F110" s="6"/>
      <c r="G110" s="72"/>
      <c r="H110" s="72"/>
      <c r="I110" s="72"/>
      <c r="J110" s="73" t="str">
        <f t="shared" si="34"/>
        <v/>
      </c>
      <c r="K110" s="73" t="str">
        <f>IF(A110="","",IF(AD110="",0,AD110)+SUMIFS(PEMASUKAN!$H$5:$H$204,PEMASUKAN!$G$5:$G$204,A110))</f>
        <v/>
      </c>
      <c r="L110" s="73" t="str">
        <f t="shared" si="35"/>
        <v/>
      </c>
      <c r="M110" s="81" t="str">
        <f t="shared" ca="1" si="36"/>
        <v/>
      </c>
      <c r="N110" s="9" t="str">
        <f ca="1">IF(A110="","",IF(J110=0,"NILAI BELUM DIISI",IF(L110=0,"Lunas",IF(C110="","Belum Ada Jatuh Tempo",IF(TODAY()&gt;C110,IF(K110&gt;0,"Jatuh Tempo - Dibayar Sebagian","Jatuh Tempo"),IF(K110&gt;0,"Dibayar Sebagian",IF(C110-TODAY()&lt;=MASTER!$AF$5,"Segera Jatuh Tempo","Belum Dibayar")))))))</f>
        <v/>
      </c>
      <c r="O110" s="6" t="str">
        <f>IF(D110="","",IFERROR(INDEX(PERKARA!$D$5:$D$104,MATCH(D110,PERKARA!$A$5:$A$104,0)),""))</f>
        <v/>
      </c>
      <c r="P110" s="10"/>
      <c r="Q110" s="6" t="str">
        <f>IF(D110="","",IFERROR(INDEX(PERKARA!$S$5:$S$104,MATCH(D110,PERKARA!$A$5:$A$104,0)),""))</f>
        <v/>
      </c>
      <c r="R110" s="6"/>
      <c r="S110" s="74" t="str">
        <f t="shared" ca="1" si="37"/>
        <v/>
      </c>
      <c r="T110" s="74" t="str">
        <f t="shared" si="38"/>
        <v/>
      </c>
      <c r="U110" s="74" t="str">
        <f t="shared" si="39"/>
        <v/>
      </c>
      <c r="V110" s="74" t="str">
        <f t="shared" si="40"/>
        <v/>
      </c>
      <c r="W110" s="74" t="str">
        <f t="shared" si="41"/>
        <v/>
      </c>
      <c r="X110" s="67" t="str">
        <f t="shared" si="43"/>
        <v/>
      </c>
      <c r="Y110" s="98"/>
      <c r="Z110" s="98"/>
      <c r="AA110" s="105"/>
      <c r="AB110" s="98"/>
      <c r="AC110" s="104" t="str">
        <f t="shared" si="42"/>
        <v/>
      </c>
      <c r="AD110" s="123"/>
    </row>
    <row r="111" spans="1:30">
      <c r="A111" s="6" t="str">
        <f t="shared" si="33"/>
        <v/>
      </c>
      <c r="B111" s="80"/>
      <c r="C111" s="80" t="str">
        <f>IF(B111="","",IFERROR(B111+MASTER!$AF$9,""))</f>
        <v/>
      </c>
      <c r="D111" s="46"/>
      <c r="E111" s="47" t="str">
        <f>IF(D111="","",IFERROR(INDEX(PERKARA!$B$5:$B$104,MATCH(D111,PERKARA!$A$5:$A$104,0)),"ID TIDAK TERDAFTAR"))</f>
        <v/>
      </c>
      <c r="F111" s="6"/>
      <c r="G111" s="72"/>
      <c r="H111" s="72"/>
      <c r="I111" s="72"/>
      <c r="J111" s="73" t="str">
        <f t="shared" si="34"/>
        <v/>
      </c>
      <c r="K111" s="73" t="str">
        <f>IF(A111="","",IF(AD111="",0,AD111)+SUMIFS(PEMASUKAN!$H$5:$H$204,PEMASUKAN!$G$5:$G$204,A111))</f>
        <v/>
      </c>
      <c r="L111" s="73" t="str">
        <f t="shared" si="35"/>
        <v/>
      </c>
      <c r="M111" s="81" t="str">
        <f t="shared" ca="1" si="36"/>
        <v/>
      </c>
      <c r="N111" s="9" t="str">
        <f ca="1">IF(A111="","",IF(J111=0,"NILAI BELUM DIISI",IF(L111=0,"Lunas",IF(C111="","Belum Ada Jatuh Tempo",IF(TODAY()&gt;C111,IF(K111&gt;0,"Jatuh Tempo - Dibayar Sebagian","Jatuh Tempo"),IF(K111&gt;0,"Dibayar Sebagian",IF(C111-TODAY()&lt;=MASTER!$AF$5,"Segera Jatuh Tempo","Belum Dibayar")))))))</f>
        <v/>
      </c>
      <c r="O111" s="6" t="str">
        <f>IF(D111="","",IFERROR(INDEX(PERKARA!$D$5:$D$104,MATCH(D111,PERKARA!$A$5:$A$104,0)),""))</f>
        <v/>
      </c>
      <c r="P111" s="10"/>
      <c r="Q111" s="6" t="str">
        <f>IF(D111="","",IFERROR(INDEX(PERKARA!$S$5:$S$104,MATCH(D111,PERKARA!$A$5:$A$104,0)),""))</f>
        <v/>
      </c>
      <c r="R111" s="6"/>
      <c r="S111" s="74" t="str">
        <f t="shared" ca="1" si="37"/>
        <v/>
      </c>
      <c r="T111" s="74" t="str">
        <f t="shared" si="38"/>
        <v/>
      </c>
      <c r="U111" s="74" t="str">
        <f t="shared" si="39"/>
        <v/>
      </c>
      <c r="V111" s="74" t="str">
        <f t="shared" si="40"/>
        <v/>
      </c>
      <c r="W111" s="74" t="str">
        <f t="shared" si="41"/>
        <v/>
      </c>
      <c r="X111" s="67" t="str">
        <f t="shared" si="43"/>
        <v/>
      </c>
      <c r="Y111" s="98"/>
      <c r="Z111" s="98"/>
      <c r="AA111" s="105"/>
      <c r="AB111" s="98"/>
      <c r="AC111" s="104" t="str">
        <f t="shared" si="42"/>
        <v/>
      </c>
      <c r="AD111" s="123"/>
    </row>
    <row r="112" spans="1:30">
      <c r="A112" s="6" t="str">
        <f t="shared" si="33"/>
        <v/>
      </c>
      <c r="B112" s="80"/>
      <c r="C112" s="80" t="str">
        <f>IF(B112="","",IFERROR(B112+MASTER!$AF$9,""))</f>
        <v/>
      </c>
      <c r="D112" s="46"/>
      <c r="E112" s="47" t="str">
        <f>IF(D112="","",IFERROR(INDEX(PERKARA!$B$5:$B$104,MATCH(D112,PERKARA!$A$5:$A$104,0)),"ID TIDAK TERDAFTAR"))</f>
        <v/>
      </c>
      <c r="F112" s="6"/>
      <c r="G112" s="72"/>
      <c r="H112" s="72"/>
      <c r="I112" s="72"/>
      <c r="J112" s="73" t="str">
        <f t="shared" si="34"/>
        <v/>
      </c>
      <c r="K112" s="73" t="str">
        <f>IF(A112="","",IF(AD112="",0,AD112)+SUMIFS(PEMASUKAN!$H$5:$H$204,PEMASUKAN!$G$5:$G$204,A112))</f>
        <v/>
      </c>
      <c r="L112" s="73" t="str">
        <f t="shared" si="35"/>
        <v/>
      </c>
      <c r="M112" s="81" t="str">
        <f t="shared" ca="1" si="36"/>
        <v/>
      </c>
      <c r="N112" s="9" t="str">
        <f ca="1">IF(A112="","",IF(J112=0,"NILAI BELUM DIISI",IF(L112=0,"Lunas",IF(C112="","Belum Ada Jatuh Tempo",IF(TODAY()&gt;C112,IF(K112&gt;0,"Jatuh Tempo - Dibayar Sebagian","Jatuh Tempo"),IF(K112&gt;0,"Dibayar Sebagian",IF(C112-TODAY()&lt;=MASTER!$AF$5,"Segera Jatuh Tempo","Belum Dibayar")))))))</f>
        <v/>
      </c>
      <c r="O112" s="6" t="str">
        <f>IF(D112="","",IFERROR(INDEX(PERKARA!$D$5:$D$104,MATCH(D112,PERKARA!$A$5:$A$104,0)),""))</f>
        <v/>
      </c>
      <c r="P112" s="10"/>
      <c r="Q112" s="6" t="str">
        <f>IF(D112="","",IFERROR(INDEX(PERKARA!$S$5:$S$104,MATCH(D112,PERKARA!$A$5:$A$104,0)),""))</f>
        <v/>
      </c>
      <c r="R112" s="6"/>
      <c r="S112" s="74" t="str">
        <f t="shared" ca="1" si="37"/>
        <v/>
      </c>
      <c r="T112" s="74" t="str">
        <f t="shared" si="38"/>
        <v/>
      </c>
      <c r="U112" s="74" t="str">
        <f t="shared" si="39"/>
        <v/>
      </c>
      <c r="V112" s="74" t="str">
        <f t="shared" si="40"/>
        <v/>
      </c>
      <c r="W112" s="74" t="str">
        <f t="shared" si="41"/>
        <v/>
      </c>
      <c r="X112" s="67" t="str">
        <f t="shared" si="43"/>
        <v/>
      </c>
      <c r="Y112" s="98"/>
      <c r="Z112" s="98"/>
      <c r="AA112" s="105"/>
      <c r="AB112" s="98"/>
      <c r="AC112" s="104" t="str">
        <f t="shared" si="42"/>
        <v/>
      </c>
      <c r="AD112" s="123"/>
    </row>
    <row r="113" spans="1:30">
      <c r="A113" s="6" t="str">
        <f t="shared" si="33"/>
        <v/>
      </c>
      <c r="B113" s="80"/>
      <c r="C113" s="80" t="str">
        <f>IF(B113="","",IFERROR(B113+MASTER!$AF$9,""))</f>
        <v/>
      </c>
      <c r="D113" s="46"/>
      <c r="E113" s="47" t="str">
        <f>IF(D113="","",IFERROR(INDEX(PERKARA!$B$5:$B$104,MATCH(D113,PERKARA!$A$5:$A$104,0)),"ID TIDAK TERDAFTAR"))</f>
        <v/>
      </c>
      <c r="F113" s="6"/>
      <c r="G113" s="72"/>
      <c r="H113" s="72"/>
      <c r="I113" s="72"/>
      <c r="J113" s="73" t="str">
        <f t="shared" si="34"/>
        <v/>
      </c>
      <c r="K113" s="73" t="str">
        <f>IF(A113="","",IF(AD113="",0,AD113)+SUMIFS(PEMASUKAN!$H$5:$H$204,PEMASUKAN!$G$5:$G$204,A113))</f>
        <v/>
      </c>
      <c r="L113" s="73" t="str">
        <f t="shared" si="35"/>
        <v/>
      </c>
      <c r="M113" s="81" t="str">
        <f t="shared" ca="1" si="36"/>
        <v/>
      </c>
      <c r="N113" s="9" t="str">
        <f ca="1">IF(A113="","",IF(J113=0,"NILAI BELUM DIISI",IF(L113=0,"Lunas",IF(C113="","Belum Ada Jatuh Tempo",IF(TODAY()&gt;C113,IF(K113&gt;0,"Jatuh Tempo - Dibayar Sebagian","Jatuh Tempo"),IF(K113&gt;0,"Dibayar Sebagian",IF(C113-TODAY()&lt;=MASTER!$AF$5,"Segera Jatuh Tempo","Belum Dibayar")))))))</f>
        <v/>
      </c>
      <c r="O113" s="6" t="str">
        <f>IF(D113="","",IFERROR(INDEX(PERKARA!$D$5:$D$104,MATCH(D113,PERKARA!$A$5:$A$104,0)),""))</f>
        <v/>
      </c>
      <c r="P113" s="10"/>
      <c r="Q113" s="6" t="str">
        <f>IF(D113="","",IFERROR(INDEX(PERKARA!$S$5:$S$104,MATCH(D113,PERKARA!$A$5:$A$104,0)),""))</f>
        <v/>
      </c>
      <c r="R113" s="6"/>
      <c r="S113" s="74" t="str">
        <f t="shared" ca="1" si="37"/>
        <v/>
      </c>
      <c r="T113" s="74" t="str">
        <f t="shared" si="38"/>
        <v/>
      </c>
      <c r="U113" s="74" t="str">
        <f t="shared" si="39"/>
        <v/>
      </c>
      <c r="V113" s="74" t="str">
        <f t="shared" si="40"/>
        <v/>
      </c>
      <c r="W113" s="74" t="str">
        <f t="shared" si="41"/>
        <v/>
      </c>
      <c r="X113" s="67" t="str">
        <f t="shared" si="43"/>
        <v/>
      </c>
      <c r="Y113" s="98"/>
      <c r="Z113" s="98"/>
      <c r="AA113" s="105"/>
      <c r="AB113" s="98"/>
      <c r="AC113" s="104" t="str">
        <f t="shared" si="42"/>
        <v/>
      </c>
      <c r="AD113" s="123"/>
    </row>
    <row r="114" spans="1:30">
      <c r="A114" s="6" t="str">
        <f t="shared" si="33"/>
        <v/>
      </c>
      <c r="B114" s="80"/>
      <c r="C114" s="80" t="str">
        <f>IF(B114="","",IFERROR(B114+MASTER!$AF$9,""))</f>
        <v/>
      </c>
      <c r="D114" s="46"/>
      <c r="E114" s="47" t="str">
        <f>IF(D114="","",IFERROR(INDEX(PERKARA!$B$5:$B$104,MATCH(D114,PERKARA!$A$5:$A$104,0)),"ID TIDAK TERDAFTAR"))</f>
        <v/>
      </c>
      <c r="F114" s="6"/>
      <c r="G114" s="72"/>
      <c r="H114" s="72"/>
      <c r="I114" s="72"/>
      <c r="J114" s="73" t="str">
        <f t="shared" si="34"/>
        <v/>
      </c>
      <c r="K114" s="73" t="str">
        <f>IF(A114="","",IF(AD114="",0,AD114)+SUMIFS(PEMASUKAN!$H$5:$H$204,PEMASUKAN!$G$5:$G$204,A114))</f>
        <v/>
      </c>
      <c r="L114" s="73" t="str">
        <f t="shared" si="35"/>
        <v/>
      </c>
      <c r="M114" s="81" t="str">
        <f t="shared" ca="1" si="36"/>
        <v/>
      </c>
      <c r="N114" s="9" t="str">
        <f ca="1">IF(A114="","",IF(J114=0,"NILAI BELUM DIISI",IF(L114=0,"Lunas",IF(C114="","Belum Ada Jatuh Tempo",IF(TODAY()&gt;C114,IF(K114&gt;0,"Jatuh Tempo - Dibayar Sebagian","Jatuh Tempo"),IF(K114&gt;0,"Dibayar Sebagian",IF(C114-TODAY()&lt;=MASTER!$AF$5,"Segera Jatuh Tempo","Belum Dibayar")))))))</f>
        <v/>
      </c>
      <c r="O114" s="6" t="str">
        <f>IF(D114="","",IFERROR(INDEX(PERKARA!$D$5:$D$104,MATCH(D114,PERKARA!$A$5:$A$104,0)),""))</f>
        <v/>
      </c>
      <c r="P114" s="10"/>
      <c r="Q114" s="6" t="str">
        <f>IF(D114="","",IFERROR(INDEX(PERKARA!$S$5:$S$104,MATCH(D114,PERKARA!$A$5:$A$104,0)),""))</f>
        <v/>
      </c>
      <c r="R114" s="6"/>
      <c r="S114" s="74" t="str">
        <f t="shared" ca="1" si="37"/>
        <v/>
      </c>
      <c r="T114" s="74" t="str">
        <f t="shared" si="38"/>
        <v/>
      </c>
      <c r="U114" s="74" t="str">
        <f t="shared" si="39"/>
        <v/>
      </c>
      <c r="V114" s="74" t="str">
        <f t="shared" si="40"/>
        <v/>
      </c>
      <c r="W114" s="74" t="str">
        <f t="shared" si="41"/>
        <v/>
      </c>
      <c r="X114" s="67" t="str">
        <f t="shared" si="43"/>
        <v/>
      </c>
      <c r="Y114" s="98"/>
      <c r="Z114" s="98"/>
      <c r="AA114" s="105"/>
      <c r="AB114" s="98"/>
      <c r="AC114" s="104" t="str">
        <f t="shared" si="42"/>
        <v/>
      </c>
      <c r="AD114" s="123"/>
    </row>
    <row r="115" spans="1:30">
      <c r="A115" s="6" t="str">
        <f t="shared" si="33"/>
        <v/>
      </c>
      <c r="B115" s="80"/>
      <c r="C115" s="80" t="str">
        <f>IF(B115="","",IFERROR(B115+MASTER!$AF$9,""))</f>
        <v/>
      </c>
      <c r="D115" s="46"/>
      <c r="E115" s="47" t="str">
        <f>IF(D115="","",IFERROR(INDEX(PERKARA!$B$5:$B$104,MATCH(D115,PERKARA!$A$5:$A$104,0)),"ID TIDAK TERDAFTAR"))</f>
        <v/>
      </c>
      <c r="F115" s="6"/>
      <c r="G115" s="72"/>
      <c r="H115" s="72"/>
      <c r="I115" s="72"/>
      <c r="J115" s="73" t="str">
        <f t="shared" si="34"/>
        <v/>
      </c>
      <c r="K115" s="73" t="str">
        <f>IF(A115="","",IF(AD115="",0,AD115)+SUMIFS(PEMASUKAN!$H$5:$H$204,PEMASUKAN!$G$5:$G$204,A115))</f>
        <v/>
      </c>
      <c r="L115" s="73" t="str">
        <f t="shared" si="35"/>
        <v/>
      </c>
      <c r="M115" s="81" t="str">
        <f t="shared" ca="1" si="36"/>
        <v/>
      </c>
      <c r="N115" s="9" t="str">
        <f ca="1">IF(A115="","",IF(J115=0,"NILAI BELUM DIISI",IF(L115=0,"Lunas",IF(C115="","Belum Ada Jatuh Tempo",IF(TODAY()&gt;C115,IF(K115&gt;0,"Jatuh Tempo - Dibayar Sebagian","Jatuh Tempo"),IF(K115&gt;0,"Dibayar Sebagian",IF(C115-TODAY()&lt;=MASTER!$AF$5,"Segera Jatuh Tempo","Belum Dibayar")))))))</f>
        <v/>
      </c>
      <c r="O115" s="6" t="str">
        <f>IF(D115="","",IFERROR(INDEX(PERKARA!$D$5:$D$104,MATCH(D115,PERKARA!$A$5:$A$104,0)),""))</f>
        <v/>
      </c>
      <c r="P115" s="10"/>
      <c r="Q115" s="6" t="str">
        <f>IF(D115="","",IFERROR(INDEX(PERKARA!$S$5:$S$104,MATCH(D115,PERKARA!$A$5:$A$104,0)),""))</f>
        <v/>
      </c>
      <c r="R115" s="6"/>
      <c r="S115" s="74" t="str">
        <f t="shared" ca="1" si="37"/>
        <v/>
      </c>
      <c r="T115" s="74" t="str">
        <f t="shared" si="38"/>
        <v/>
      </c>
      <c r="U115" s="74" t="str">
        <f t="shared" si="39"/>
        <v/>
      </c>
      <c r="V115" s="74" t="str">
        <f t="shared" si="40"/>
        <v/>
      </c>
      <c r="W115" s="74" t="str">
        <f t="shared" si="41"/>
        <v/>
      </c>
      <c r="X115" s="67" t="str">
        <f t="shared" si="43"/>
        <v/>
      </c>
      <c r="Y115" s="98"/>
      <c r="Z115" s="98"/>
      <c r="AA115" s="105"/>
      <c r="AB115" s="98"/>
      <c r="AC115" s="104" t="str">
        <f t="shared" si="42"/>
        <v/>
      </c>
      <c r="AD115" s="123"/>
    </row>
    <row r="116" spans="1:30">
      <c r="A116" s="6" t="str">
        <f t="shared" si="33"/>
        <v/>
      </c>
      <c r="B116" s="80"/>
      <c r="C116" s="80" t="str">
        <f>IF(B116="","",IFERROR(B116+MASTER!$AF$9,""))</f>
        <v/>
      </c>
      <c r="D116" s="46"/>
      <c r="E116" s="47" t="str">
        <f>IF(D116="","",IFERROR(INDEX(PERKARA!$B$5:$B$104,MATCH(D116,PERKARA!$A$5:$A$104,0)),"ID TIDAK TERDAFTAR"))</f>
        <v/>
      </c>
      <c r="F116" s="6"/>
      <c r="G116" s="72"/>
      <c r="H116" s="72"/>
      <c r="I116" s="72"/>
      <c r="J116" s="73" t="str">
        <f t="shared" si="34"/>
        <v/>
      </c>
      <c r="K116" s="73" t="str">
        <f>IF(A116="","",IF(AD116="",0,AD116)+SUMIFS(PEMASUKAN!$H$5:$H$204,PEMASUKAN!$G$5:$G$204,A116))</f>
        <v/>
      </c>
      <c r="L116" s="73" t="str">
        <f t="shared" si="35"/>
        <v/>
      </c>
      <c r="M116" s="81" t="str">
        <f t="shared" ca="1" si="36"/>
        <v/>
      </c>
      <c r="N116" s="9" t="str">
        <f ca="1">IF(A116="","",IF(J116=0,"NILAI BELUM DIISI",IF(L116=0,"Lunas",IF(C116="","Belum Ada Jatuh Tempo",IF(TODAY()&gt;C116,IF(K116&gt;0,"Jatuh Tempo - Dibayar Sebagian","Jatuh Tempo"),IF(K116&gt;0,"Dibayar Sebagian",IF(C116-TODAY()&lt;=MASTER!$AF$5,"Segera Jatuh Tempo","Belum Dibayar")))))))</f>
        <v/>
      </c>
      <c r="O116" s="6" t="str">
        <f>IF(D116="","",IFERROR(INDEX(PERKARA!$D$5:$D$104,MATCH(D116,PERKARA!$A$5:$A$104,0)),""))</f>
        <v/>
      </c>
      <c r="P116" s="10"/>
      <c r="Q116" s="6" t="str">
        <f>IF(D116="","",IFERROR(INDEX(PERKARA!$S$5:$S$104,MATCH(D116,PERKARA!$A$5:$A$104,0)),""))</f>
        <v/>
      </c>
      <c r="R116" s="6"/>
      <c r="S116" s="74" t="str">
        <f t="shared" ca="1" si="37"/>
        <v/>
      </c>
      <c r="T116" s="74" t="str">
        <f t="shared" si="38"/>
        <v/>
      </c>
      <c r="U116" s="74" t="str">
        <f t="shared" si="39"/>
        <v/>
      </c>
      <c r="V116" s="74" t="str">
        <f t="shared" si="40"/>
        <v/>
      </c>
      <c r="W116" s="74" t="str">
        <f t="shared" si="41"/>
        <v/>
      </c>
      <c r="X116" s="67" t="str">
        <f t="shared" si="43"/>
        <v/>
      </c>
      <c r="Y116" s="98"/>
      <c r="Z116" s="98"/>
      <c r="AA116" s="105"/>
      <c r="AB116" s="98"/>
      <c r="AC116" s="104" t="str">
        <f t="shared" si="42"/>
        <v/>
      </c>
      <c r="AD116" s="123"/>
    </row>
    <row r="117" spans="1:30">
      <c r="A117" s="6" t="str">
        <f t="shared" si="33"/>
        <v/>
      </c>
      <c r="B117" s="80"/>
      <c r="C117" s="80" t="str">
        <f>IF(B117="","",IFERROR(B117+MASTER!$AF$9,""))</f>
        <v/>
      </c>
      <c r="D117" s="46"/>
      <c r="E117" s="47" t="str">
        <f>IF(D117="","",IFERROR(INDEX(PERKARA!$B$5:$B$104,MATCH(D117,PERKARA!$A$5:$A$104,0)),"ID TIDAK TERDAFTAR"))</f>
        <v/>
      </c>
      <c r="F117" s="6"/>
      <c r="G117" s="72"/>
      <c r="H117" s="72"/>
      <c r="I117" s="72"/>
      <c r="J117" s="73" t="str">
        <f t="shared" si="34"/>
        <v/>
      </c>
      <c r="K117" s="73" t="str">
        <f>IF(A117="","",IF(AD117="",0,AD117)+SUMIFS(PEMASUKAN!$H$5:$H$204,PEMASUKAN!$G$5:$G$204,A117))</f>
        <v/>
      </c>
      <c r="L117" s="73" t="str">
        <f t="shared" si="35"/>
        <v/>
      </c>
      <c r="M117" s="81" t="str">
        <f t="shared" ca="1" si="36"/>
        <v/>
      </c>
      <c r="N117" s="9" t="str">
        <f ca="1">IF(A117="","",IF(J117=0,"NILAI BELUM DIISI",IF(L117=0,"Lunas",IF(C117="","Belum Ada Jatuh Tempo",IF(TODAY()&gt;C117,IF(K117&gt;0,"Jatuh Tempo - Dibayar Sebagian","Jatuh Tempo"),IF(K117&gt;0,"Dibayar Sebagian",IF(C117-TODAY()&lt;=MASTER!$AF$5,"Segera Jatuh Tempo","Belum Dibayar")))))))</f>
        <v/>
      </c>
      <c r="O117" s="6" t="str">
        <f>IF(D117="","",IFERROR(INDEX(PERKARA!$D$5:$D$104,MATCH(D117,PERKARA!$A$5:$A$104,0)),""))</f>
        <v/>
      </c>
      <c r="P117" s="10"/>
      <c r="Q117" s="6" t="str">
        <f>IF(D117="","",IFERROR(INDEX(PERKARA!$S$5:$S$104,MATCH(D117,PERKARA!$A$5:$A$104,0)),""))</f>
        <v/>
      </c>
      <c r="R117" s="6"/>
      <c r="S117" s="74" t="str">
        <f t="shared" ca="1" si="37"/>
        <v/>
      </c>
      <c r="T117" s="74" t="str">
        <f t="shared" si="38"/>
        <v/>
      </c>
      <c r="U117" s="74" t="str">
        <f t="shared" si="39"/>
        <v/>
      </c>
      <c r="V117" s="74" t="str">
        <f t="shared" si="40"/>
        <v/>
      </c>
      <c r="W117" s="74" t="str">
        <f t="shared" si="41"/>
        <v/>
      </c>
      <c r="X117" s="67" t="str">
        <f t="shared" si="43"/>
        <v/>
      </c>
      <c r="Y117" s="98"/>
      <c r="Z117" s="98"/>
      <c r="AA117" s="105"/>
      <c r="AB117" s="98"/>
      <c r="AC117" s="104" t="str">
        <f t="shared" si="42"/>
        <v/>
      </c>
      <c r="AD117" s="123"/>
    </row>
    <row r="118" spans="1:30">
      <c r="A118" s="6" t="str">
        <f t="shared" si="33"/>
        <v/>
      </c>
      <c r="B118" s="80"/>
      <c r="C118" s="80" t="str">
        <f>IF(B118="","",IFERROR(B118+MASTER!$AF$9,""))</f>
        <v/>
      </c>
      <c r="D118" s="46"/>
      <c r="E118" s="47" t="str">
        <f>IF(D118="","",IFERROR(INDEX(PERKARA!$B$5:$B$104,MATCH(D118,PERKARA!$A$5:$A$104,0)),"ID TIDAK TERDAFTAR"))</f>
        <v/>
      </c>
      <c r="F118" s="6"/>
      <c r="G118" s="72"/>
      <c r="H118" s="72"/>
      <c r="I118" s="72"/>
      <c r="J118" s="73" t="str">
        <f t="shared" si="34"/>
        <v/>
      </c>
      <c r="K118" s="73" t="str">
        <f>IF(A118="","",IF(AD118="",0,AD118)+SUMIFS(PEMASUKAN!$H$5:$H$204,PEMASUKAN!$G$5:$G$204,A118))</f>
        <v/>
      </c>
      <c r="L118" s="73" t="str">
        <f t="shared" si="35"/>
        <v/>
      </c>
      <c r="M118" s="81" t="str">
        <f t="shared" ca="1" si="36"/>
        <v/>
      </c>
      <c r="N118" s="9" t="str">
        <f ca="1">IF(A118="","",IF(J118=0,"NILAI BELUM DIISI",IF(L118=0,"Lunas",IF(C118="","Belum Ada Jatuh Tempo",IF(TODAY()&gt;C118,IF(K118&gt;0,"Jatuh Tempo - Dibayar Sebagian","Jatuh Tempo"),IF(K118&gt;0,"Dibayar Sebagian",IF(C118-TODAY()&lt;=MASTER!$AF$5,"Segera Jatuh Tempo","Belum Dibayar")))))))</f>
        <v/>
      </c>
      <c r="O118" s="6" t="str">
        <f>IF(D118="","",IFERROR(INDEX(PERKARA!$D$5:$D$104,MATCH(D118,PERKARA!$A$5:$A$104,0)),""))</f>
        <v/>
      </c>
      <c r="P118" s="10"/>
      <c r="Q118" s="6" t="str">
        <f>IF(D118="","",IFERROR(INDEX(PERKARA!$S$5:$S$104,MATCH(D118,PERKARA!$A$5:$A$104,0)),""))</f>
        <v/>
      </c>
      <c r="R118" s="6"/>
      <c r="S118" s="74" t="str">
        <f t="shared" ca="1" si="37"/>
        <v/>
      </c>
      <c r="T118" s="74" t="str">
        <f t="shared" si="38"/>
        <v/>
      </c>
      <c r="U118" s="74" t="str">
        <f t="shared" si="39"/>
        <v/>
      </c>
      <c r="V118" s="74" t="str">
        <f t="shared" si="40"/>
        <v/>
      </c>
      <c r="W118" s="74" t="str">
        <f t="shared" si="41"/>
        <v/>
      </c>
      <c r="X118" s="67" t="str">
        <f t="shared" si="43"/>
        <v/>
      </c>
      <c r="Y118" s="98"/>
      <c r="Z118" s="98"/>
      <c r="AA118" s="105"/>
      <c r="AB118" s="98"/>
      <c r="AC118" s="104" t="str">
        <f t="shared" si="42"/>
        <v/>
      </c>
      <c r="AD118" s="123"/>
    </row>
    <row r="119" spans="1:30">
      <c r="A119" s="6" t="str">
        <f t="shared" si="33"/>
        <v/>
      </c>
      <c r="B119" s="80"/>
      <c r="C119" s="80" t="str">
        <f>IF(B119="","",IFERROR(B119+MASTER!$AF$9,""))</f>
        <v/>
      </c>
      <c r="D119" s="46"/>
      <c r="E119" s="47" t="str">
        <f>IF(D119="","",IFERROR(INDEX(PERKARA!$B$5:$B$104,MATCH(D119,PERKARA!$A$5:$A$104,0)),"ID TIDAK TERDAFTAR"))</f>
        <v/>
      </c>
      <c r="F119" s="6"/>
      <c r="G119" s="72"/>
      <c r="H119" s="72"/>
      <c r="I119" s="72"/>
      <c r="J119" s="73" t="str">
        <f t="shared" si="34"/>
        <v/>
      </c>
      <c r="K119" s="73" t="str">
        <f>IF(A119="","",IF(AD119="",0,AD119)+SUMIFS(PEMASUKAN!$H$5:$H$204,PEMASUKAN!$G$5:$G$204,A119))</f>
        <v/>
      </c>
      <c r="L119" s="73" t="str">
        <f t="shared" si="35"/>
        <v/>
      </c>
      <c r="M119" s="81" t="str">
        <f t="shared" ca="1" si="36"/>
        <v/>
      </c>
      <c r="N119" s="9" t="str">
        <f ca="1">IF(A119="","",IF(J119=0,"NILAI BELUM DIISI",IF(L119=0,"Lunas",IF(C119="","Belum Ada Jatuh Tempo",IF(TODAY()&gt;C119,IF(K119&gt;0,"Jatuh Tempo - Dibayar Sebagian","Jatuh Tempo"),IF(K119&gt;0,"Dibayar Sebagian",IF(C119-TODAY()&lt;=MASTER!$AF$5,"Segera Jatuh Tempo","Belum Dibayar")))))))</f>
        <v/>
      </c>
      <c r="O119" s="6" t="str">
        <f>IF(D119="","",IFERROR(INDEX(PERKARA!$D$5:$D$104,MATCH(D119,PERKARA!$A$5:$A$104,0)),""))</f>
        <v/>
      </c>
      <c r="P119" s="10"/>
      <c r="Q119" s="6" t="str">
        <f>IF(D119="","",IFERROR(INDEX(PERKARA!$S$5:$S$104,MATCH(D119,PERKARA!$A$5:$A$104,0)),""))</f>
        <v/>
      </c>
      <c r="R119" s="6"/>
      <c r="S119" s="74" t="str">
        <f t="shared" ca="1" si="37"/>
        <v/>
      </c>
      <c r="T119" s="74" t="str">
        <f t="shared" si="38"/>
        <v/>
      </c>
      <c r="U119" s="74" t="str">
        <f t="shared" si="39"/>
        <v/>
      </c>
      <c r="V119" s="74" t="str">
        <f t="shared" si="40"/>
        <v/>
      </c>
      <c r="W119" s="74" t="str">
        <f t="shared" si="41"/>
        <v/>
      </c>
      <c r="X119" s="67" t="str">
        <f t="shared" si="43"/>
        <v/>
      </c>
      <c r="Y119" s="98"/>
      <c r="Z119" s="98"/>
      <c r="AA119" s="105"/>
      <c r="AB119" s="98"/>
      <c r="AC119" s="104" t="str">
        <f t="shared" si="42"/>
        <v/>
      </c>
      <c r="AD119" s="123"/>
    </row>
    <row r="120" spans="1:30">
      <c r="A120" s="6" t="str">
        <f t="shared" si="33"/>
        <v/>
      </c>
      <c r="B120" s="80"/>
      <c r="C120" s="80" t="str">
        <f>IF(B120="","",IFERROR(B120+MASTER!$AF$9,""))</f>
        <v/>
      </c>
      <c r="D120" s="46"/>
      <c r="E120" s="47" t="str">
        <f>IF(D120="","",IFERROR(INDEX(PERKARA!$B$5:$B$104,MATCH(D120,PERKARA!$A$5:$A$104,0)),"ID TIDAK TERDAFTAR"))</f>
        <v/>
      </c>
      <c r="F120" s="6"/>
      <c r="G120" s="72"/>
      <c r="H120" s="72"/>
      <c r="I120" s="72"/>
      <c r="J120" s="73" t="str">
        <f t="shared" si="34"/>
        <v/>
      </c>
      <c r="K120" s="73" t="str">
        <f>IF(A120="","",IF(AD120="",0,AD120)+SUMIFS(PEMASUKAN!$H$5:$H$204,PEMASUKAN!$G$5:$G$204,A120))</f>
        <v/>
      </c>
      <c r="L120" s="73" t="str">
        <f t="shared" si="35"/>
        <v/>
      </c>
      <c r="M120" s="81" t="str">
        <f t="shared" ca="1" si="36"/>
        <v/>
      </c>
      <c r="N120" s="9" t="str">
        <f ca="1">IF(A120="","",IF(J120=0,"NILAI BELUM DIISI",IF(L120=0,"Lunas",IF(C120="","Belum Ada Jatuh Tempo",IF(TODAY()&gt;C120,IF(K120&gt;0,"Jatuh Tempo - Dibayar Sebagian","Jatuh Tempo"),IF(K120&gt;0,"Dibayar Sebagian",IF(C120-TODAY()&lt;=MASTER!$AF$5,"Segera Jatuh Tempo","Belum Dibayar")))))))</f>
        <v/>
      </c>
      <c r="O120" s="6" t="str">
        <f>IF(D120="","",IFERROR(INDEX(PERKARA!$D$5:$D$104,MATCH(D120,PERKARA!$A$5:$A$104,0)),""))</f>
        <v/>
      </c>
      <c r="P120" s="10"/>
      <c r="Q120" s="6" t="str">
        <f>IF(D120="","",IFERROR(INDEX(PERKARA!$S$5:$S$104,MATCH(D120,PERKARA!$A$5:$A$104,0)),""))</f>
        <v/>
      </c>
      <c r="R120" s="6"/>
      <c r="S120" s="74" t="str">
        <f t="shared" ca="1" si="37"/>
        <v/>
      </c>
      <c r="T120" s="74" t="str">
        <f t="shared" si="38"/>
        <v/>
      </c>
      <c r="U120" s="74" t="str">
        <f t="shared" si="39"/>
        <v/>
      </c>
      <c r="V120" s="74" t="str">
        <f t="shared" si="40"/>
        <v/>
      </c>
      <c r="W120" s="74" t="str">
        <f t="shared" si="41"/>
        <v/>
      </c>
      <c r="X120" s="67" t="str">
        <f t="shared" si="43"/>
        <v/>
      </c>
      <c r="Y120" s="98"/>
      <c r="Z120" s="98"/>
      <c r="AA120" s="105"/>
      <c r="AB120" s="98"/>
      <c r="AC120" s="104" t="str">
        <f t="shared" si="42"/>
        <v/>
      </c>
      <c r="AD120" s="123"/>
    </row>
    <row r="121" spans="1:30">
      <c r="A121" s="6" t="str">
        <f t="shared" si="33"/>
        <v/>
      </c>
      <c r="B121" s="80"/>
      <c r="C121" s="80" t="str">
        <f>IF(B121="","",IFERROR(B121+MASTER!$AF$9,""))</f>
        <v/>
      </c>
      <c r="D121" s="46"/>
      <c r="E121" s="47" t="str">
        <f>IF(D121="","",IFERROR(INDEX(PERKARA!$B$5:$B$104,MATCH(D121,PERKARA!$A$5:$A$104,0)),"ID TIDAK TERDAFTAR"))</f>
        <v/>
      </c>
      <c r="F121" s="6"/>
      <c r="G121" s="72"/>
      <c r="H121" s="72"/>
      <c r="I121" s="72"/>
      <c r="J121" s="73" t="str">
        <f t="shared" si="34"/>
        <v/>
      </c>
      <c r="K121" s="73" t="str">
        <f>IF(A121="","",IF(AD121="",0,AD121)+SUMIFS(PEMASUKAN!$H$5:$H$204,PEMASUKAN!$G$5:$G$204,A121))</f>
        <v/>
      </c>
      <c r="L121" s="73" t="str">
        <f t="shared" si="35"/>
        <v/>
      </c>
      <c r="M121" s="81" t="str">
        <f t="shared" ca="1" si="36"/>
        <v/>
      </c>
      <c r="N121" s="9" t="str">
        <f ca="1">IF(A121="","",IF(J121=0,"NILAI BELUM DIISI",IF(L121=0,"Lunas",IF(C121="","Belum Ada Jatuh Tempo",IF(TODAY()&gt;C121,IF(K121&gt;0,"Jatuh Tempo - Dibayar Sebagian","Jatuh Tempo"),IF(K121&gt;0,"Dibayar Sebagian",IF(C121-TODAY()&lt;=MASTER!$AF$5,"Segera Jatuh Tempo","Belum Dibayar")))))))</f>
        <v/>
      </c>
      <c r="O121" s="6" t="str">
        <f>IF(D121="","",IFERROR(INDEX(PERKARA!$D$5:$D$104,MATCH(D121,PERKARA!$A$5:$A$104,0)),""))</f>
        <v/>
      </c>
      <c r="P121" s="10"/>
      <c r="Q121" s="6" t="str">
        <f>IF(D121="","",IFERROR(INDEX(PERKARA!$S$5:$S$104,MATCH(D121,PERKARA!$A$5:$A$104,0)),""))</f>
        <v/>
      </c>
      <c r="R121" s="6"/>
      <c r="S121" s="74" t="str">
        <f t="shared" ca="1" si="37"/>
        <v/>
      </c>
      <c r="T121" s="74" t="str">
        <f t="shared" si="38"/>
        <v/>
      </c>
      <c r="U121" s="74" t="str">
        <f t="shared" si="39"/>
        <v/>
      </c>
      <c r="V121" s="74" t="str">
        <f t="shared" si="40"/>
        <v/>
      </c>
      <c r="W121" s="74" t="str">
        <f t="shared" si="41"/>
        <v/>
      </c>
      <c r="X121" s="67" t="str">
        <f t="shared" si="43"/>
        <v/>
      </c>
      <c r="Y121" s="98"/>
      <c r="Z121" s="98"/>
      <c r="AA121" s="105"/>
      <c r="AB121" s="98"/>
      <c r="AC121" s="104" t="str">
        <f t="shared" si="42"/>
        <v/>
      </c>
      <c r="AD121" s="123"/>
    </row>
    <row r="122" spans="1:30">
      <c r="A122" s="6" t="str">
        <f t="shared" si="33"/>
        <v/>
      </c>
      <c r="B122" s="80"/>
      <c r="C122" s="80" t="str">
        <f>IF(B122="","",IFERROR(B122+MASTER!$AF$9,""))</f>
        <v/>
      </c>
      <c r="D122" s="46"/>
      <c r="E122" s="47" t="str">
        <f>IF(D122="","",IFERROR(INDEX(PERKARA!$B$5:$B$104,MATCH(D122,PERKARA!$A$5:$A$104,0)),"ID TIDAK TERDAFTAR"))</f>
        <v/>
      </c>
      <c r="F122" s="6"/>
      <c r="G122" s="72"/>
      <c r="H122" s="72"/>
      <c r="I122" s="72"/>
      <c r="J122" s="73" t="str">
        <f t="shared" si="34"/>
        <v/>
      </c>
      <c r="K122" s="73" t="str">
        <f>IF(A122="","",IF(AD122="",0,AD122)+SUMIFS(PEMASUKAN!$H$5:$H$204,PEMASUKAN!$G$5:$G$204,A122))</f>
        <v/>
      </c>
      <c r="L122" s="73" t="str">
        <f t="shared" si="35"/>
        <v/>
      </c>
      <c r="M122" s="81" t="str">
        <f t="shared" ca="1" si="36"/>
        <v/>
      </c>
      <c r="N122" s="9" t="str">
        <f ca="1">IF(A122="","",IF(J122=0,"NILAI BELUM DIISI",IF(L122=0,"Lunas",IF(C122="","Belum Ada Jatuh Tempo",IF(TODAY()&gt;C122,IF(K122&gt;0,"Jatuh Tempo - Dibayar Sebagian","Jatuh Tempo"),IF(K122&gt;0,"Dibayar Sebagian",IF(C122-TODAY()&lt;=MASTER!$AF$5,"Segera Jatuh Tempo","Belum Dibayar")))))))</f>
        <v/>
      </c>
      <c r="O122" s="6" t="str">
        <f>IF(D122="","",IFERROR(INDEX(PERKARA!$D$5:$D$104,MATCH(D122,PERKARA!$A$5:$A$104,0)),""))</f>
        <v/>
      </c>
      <c r="P122" s="10"/>
      <c r="Q122" s="6" t="str">
        <f>IF(D122="","",IFERROR(INDEX(PERKARA!$S$5:$S$104,MATCH(D122,PERKARA!$A$5:$A$104,0)),""))</f>
        <v/>
      </c>
      <c r="R122" s="6"/>
      <c r="S122" s="74" t="str">
        <f t="shared" ca="1" si="37"/>
        <v/>
      </c>
      <c r="T122" s="74" t="str">
        <f t="shared" si="38"/>
        <v/>
      </c>
      <c r="U122" s="74" t="str">
        <f t="shared" si="39"/>
        <v/>
      </c>
      <c r="V122" s="74" t="str">
        <f t="shared" si="40"/>
        <v/>
      </c>
      <c r="W122" s="74" t="str">
        <f t="shared" si="41"/>
        <v/>
      </c>
      <c r="X122" s="67" t="str">
        <f t="shared" si="43"/>
        <v/>
      </c>
      <c r="Y122" s="98"/>
      <c r="Z122" s="98"/>
      <c r="AA122" s="105"/>
      <c r="AB122" s="98"/>
      <c r="AC122" s="104" t="str">
        <f t="shared" si="42"/>
        <v/>
      </c>
      <c r="AD122" s="123"/>
    </row>
    <row r="123" spans="1:30">
      <c r="A123" s="6" t="str">
        <f t="shared" si="33"/>
        <v/>
      </c>
      <c r="B123" s="80"/>
      <c r="C123" s="80" t="str">
        <f>IF(B123="","",IFERROR(B123+MASTER!$AF$9,""))</f>
        <v/>
      </c>
      <c r="D123" s="46"/>
      <c r="E123" s="47" t="str">
        <f>IF(D123="","",IFERROR(INDEX(PERKARA!$B$5:$B$104,MATCH(D123,PERKARA!$A$5:$A$104,0)),"ID TIDAK TERDAFTAR"))</f>
        <v/>
      </c>
      <c r="F123" s="6"/>
      <c r="G123" s="72"/>
      <c r="H123" s="72"/>
      <c r="I123" s="72"/>
      <c r="J123" s="73" t="str">
        <f t="shared" si="34"/>
        <v/>
      </c>
      <c r="K123" s="73" t="str">
        <f>IF(A123="","",IF(AD123="",0,AD123)+SUMIFS(PEMASUKAN!$H$5:$H$204,PEMASUKAN!$G$5:$G$204,A123))</f>
        <v/>
      </c>
      <c r="L123" s="73" t="str">
        <f t="shared" si="35"/>
        <v/>
      </c>
      <c r="M123" s="81" t="str">
        <f t="shared" ca="1" si="36"/>
        <v/>
      </c>
      <c r="N123" s="9" t="str">
        <f ca="1">IF(A123="","",IF(J123=0,"NILAI BELUM DIISI",IF(L123=0,"Lunas",IF(C123="","Belum Ada Jatuh Tempo",IF(TODAY()&gt;C123,IF(K123&gt;0,"Jatuh Tempo - Dibayar Sebagian","Jatuh Tempo"),IF(K123&gt;0,"Dibayar Sebagian",IF(C123-TODAY()&lt;=MASTER!$AF$5,"Segera Jatuh Tempo","Belum Dibayar")))))))</f>
        <v/>
      </c>
      <c r="O123" s="6" t="str">
        <f>IF(D123="","",IFERROR(INDEX(PERKARA!$D$5:$D$104,MATCH(D123,PERKARA!$A$5:$A$104,0)),""))</f>
        <v/>
      </c>
      <c r="P123" s="10"/>
      <c r="Q123" s="6" t="str">
        <f>IF(D123="","",IFERROR(INDEX(PERKARA!$S$5:$S$104,MATCH(D123,PERKARA!$A$5:$A$104,0)),""))</f>
        <v/>
      </c>
      <c r="R123" s="6"/>
      <c r="S123" s="74" t="str">
        <f t="shared" ca="1" si="37"/>
        <v/>
      </c>
      <c r="T123" s="74" t="str">
        <f t="shared" si="38"/>
        <v/>
      </c>
      <c r="U123" s="74" t="str">
        <f t="shared" si="39"/>
        <v/>
      </c>
      <c r="V123" s="74" t="str">
        <f t="shared" si="40"/>
        <v/>
      </c>
      <c r="W123" s="74" t="str">
        <f t="shared" si="41"/>
        <v/>
      </c>
      <c r="X123" s="67" t="str">
        <f t="shared" si="43"/>
        <v/>
      </c>
      <c r="Y123" s="98"/>
      <c r="Z123" s="98"/>
      <c r="AA123" s="105"/>
      <c r="AB123" s="98"/>
      <c r="AC123" s="104" t="str">
        <f t="shared" si="42"/>
        <v/>
      </c>
      <c r="AD123" s="123"/>
    </row>
    <row r="124" spans="1:30">
      <c r="A124" s="6" t="str">
        <f t="shared" si="33"/>
        <v/>
      </c>
      <c r="B124" s="80"/>
      <c r="C124" s="80" t="str">
        <f>IF(B124="","",IFERROR(B124+MASTER!$AF$9,""))</f>
        <v/>
      </c>
      <c r="D124" s="46"/>
      <c r="E124" s="47" t="str">
        <f>IF(D124="","",IFERROR(INDEX(PERKARA!$B$5:$B$104,MATCH(D124,PERKARA!$A$5:$A$104,0)),"ID TIDAK TERDAFTAR"))</f>
        <v/>
      </c>
      <c r="F124" s="6"/>
      <c r="G124" s="72"/>
      <c r="H124" s="72"/>
      <c r="I124" s="72"/>
      <c r="J124" s="73" t="str">
        <f t="shared" si="34"/>
        <v/>
      </c>
      <c r="K124" s="73" t="str">
        <f>IF(A124="","",IF(AD124="",0,AD124)+SUMIFS(PEMASUKAN!$H$5:$H$204,PEMASUKAN!$G$5:$G$204,A124))</f>
        <v/>
      </c>
      <c r="L124" s="73" t="str">
        <f t="shared" si="35"/>
        <v/>
      </c>
      <c r="M124" s="81" t="str">
        <f t="shared" ca="1" si="36"/>
        <v/>
      </c>
      <c r="N124" s="9" t="str">
        <f ca="1">IF(A124="","",IF(J124=0,"NILAI BELUM DIISI",IF(L124=0,"Lunas",IF(C124="","Belum Ada Jatuh Tempo",IF(TODAY()&gt;C124,IF(K124&gt;0,"Jatuh Tempo - Dibayar Sebagian","Jatuh Tempo"),IF(K124&gt;0,"Dibayar Sebagian",IF(C124-TODAY()&lt;=MASTER!$AF$5,"Segera Jatuh Tempo","Belum Dibayar")))))))</f>
        <v/>
      </c>
      <c r="O124" s="6" t="str">
        <f>IF(D124="","",IFERROR(INDEX(PERKARA!$D$5:$D$104,MATCH(D124,PERKARA!$A$5:$A$104,0)),""))</f>
        <v/>
      </c>
      <c r="P124" s="10"/>
      <c r="Q124" s="6" t="str">
        <f>IF(D124="","",IFERROR(INDEX(PERKARA!$S$5:$S$104,MATCH(D124,PERKARA!$A$5:$A$104,0)),""))</f>
        <v/>
      </c>
      <c r="R124" s="6"/>
      <c r="S124" s="74" t="str">
        <f t="shared" ca="1" si="37"/>
        <v/>
      </c>
      <c r="T124" s="74" t="str">
        <f t="shared" si="38"/>
        <v/>
      </c>
      <c r="U124" s="74" t="str">
        <f t="shared" si="39"/>
        <v/>
      </c>
      <c r="V124" s="74" t="str">
        <f t="shared" si="40"/>
        <v/>
      </c>
      <c r="W124" s="74" t="str">
        <f t="shared" si="41"/>
        <v/>
      </c>
      <c r="X124" s="67" t="str">
        <f t="shared" si="43"/>
        <v/>
      </c>
      <c r="Y124" s="98"/>
      <c r="Z124" s="98"/>
      <c r="AA124" s="105"/>
      <c r="AB124" s="98"/>
      <c r="AC124" s="104" t="str">
        <f t="shared" si="42"/>
        <v/>
      </c>
      <c r="AD124" s="123"/>
    </row>
    <row r="125" spans="1:30">
      <c r="A125" s="6" t="str">
        <f t="shared" si="33"/>
        <v/>
      </c>
      <c r="B125" s="80"/>
      <c r="C125" s="80" t="str">
        <f>IF(B125="","",IFERROR(B125+MASTER!$AF$9,""))</f>
        <v/>
      </c>
      <c r="D125" s="46"/>
      <c r="E125" s="47" t="str">
        <f>IF(D125="","",IFERROR(INDEX(PERKARA!$B$5:$B$104,MATCH(D125,PERKARA!$A$5:$A$104,0)),"ID TIDAK TERDAFTAR"))</f>
        <v/>
      </c>
      <c r="F125" s="6"/>
      <c r="G125" s="72"/>
      <c r="H125" s="72"/>
      <c r="I125" s="72"/>
      <c r="J125" s="73" t="str">
        <f t="shared" si="34"/>
        <v/>
      </c>
      <c r="K125" s="73" t="str">
        <f>IF(A125="","",IF(AD125="",0,AD125)+SUMIFS(PEMASUKAN!$H$5:$H$204,PEMASUKAN!$G$5:$G$204,A125))</f>
        <v/>
      </c>
      <c r="L125" s="73" t="str">
        <f t="shared" si="35"/>
        <v/>
      </c>
      <c r="M125" s="81" t="str">
        <f t="shared" ca="1" si="36"/>
        <v/>
      </c>
      <c r="N125" s="9" t="str">
        <f ca="1">IF(A125="","",IF(J125=0,"NILAI BELUM DIISI",IF(L125=0,"Lunas",IF(C125="","Belum Ada Jatuh Tempo",IF(TODAY()&gt;C125,IF(K125&gt;0,"Jatuh Tempo - Dibayar Sebagian","Jatuh Tempo"),IF(K125&gt;0,"Dibayar Sebagian",IF(C125-TODAY()&lt;=MASTER!$AF$5,"Segera Jatuh Tempo","Belum Dibayar")))))))</f>
        <v/>
      </c>
      <c r="O125" s="6" t="str">
        <f>IF(D125="","",IFERROR(INDEX(PERKARA!$D$5:$D$104,MATCH(D125,PERKARA!$A$5:$A$104,0)),""))</f>
        <v/>
      </c>
      <c r="P125" s="10"/>
      <c r="Q125" s="6" t="str">
        <f>IF(D125="","",IFERROR(INDEX(PERKARA!$S$5:$S$104,MATCH(D125,PERKARA!$A$5:$A$104,0)),""))</f>
        <v/>
      </c>
      <c r="R125" s="6"/>
      <c r="S125" s="74" t="str">
        <f t="shared" ca="1" si="37"/>
        <v/>
      </c>
      <c r="T125" s="74" t="str">
        <f t="shared" si="38"/>
        <v/>
      </c>
      <c r="U125" s="74" t="str">
        <f t="shared" si="39"/>
        <v/>
      </c>
      <c r="V125" s="74" t="str">
        <f t="shared" si="40"/>
        <v/>
      </c>
      <c r="W125" s="74" t="str">
        <f t="shared" si="41"/>
        <v/>
      </c>
      <c r="X125" s="67" t="str">
        <f t="shared" si="43"/>
        <v/>
      </c>
      <c r="Y125" s="98"/>
      <c r="Z125" s="98"/>
      <c r="AA125" s="105"/>
      <c r="AB125" s="98"/>
      <c r="AC125" s="104" t="str">
        <f t="shared" si="42"/>
        <v/>
      </c>
      <c r="AD125" s="123"/>
    </row>
    <row r="126" spans="1:30">
      <c r="A126" s="6" t="str">
        <f t="shared" si="33"/>
        <v/>
      </c>
      <c r="B126" s="80"/>
      <c r="C126" s="80" t="str">
        <f>IF(B126="","",IFERROR(B126+MASTER!$AF$9,""))</f>
        <v/>
      </c>
      <c r="D126" s="46"/>
      <c r="E126" s="47" t="str">
        <f>IF(D126="","",IFERROR(INDEX(PERKARA!$B$5:$B$104,MATCH(D126,PERKARA!$A$5:$A$104,0)),"ID TIDAK TERDAFTAR"))</f>
        <v/>
      </c>
      <c r="F126" s="6"/>
      <c r="G126" s="72"/>
      <c r="H126" s="72"/>
      <c r="I126" s="72"/>
      <c r="J126" s="73" t="str">
        <f t="shared" si="34"/>
        <v/>
      </c>
      <c r="K126" s="73" t="str">
        <f>IF(A126="","",IF(AD126="",0,AD126)+SUMIFS(PEMASUKAN!$H$5:$H$204,PEMASUKAN!$G$5:$G$204,A126))</f>
        <v/>
      </c>
      <c r="L126" s="73" t="str">
        <f t="shared" si="35"/>
        <v/>
      </c>
      <c r="M126" s="81" t="str">
        <f t="shared" ca="1" si="36"/>
        <v/>
      </c>
      <c r="N126" s="9" t="str">
        <f ca="1">IF(A126="","",IF(J126=0,"NILAI BELUM DIISI",IF(L126=0,"Lunas",IF(C126="","Belum Ada Jatuh Tempo",IF(TODAY()&gt;C126,IF(K126&gt;0,"Jatuh Tempo - Dibayar Sebagian","Jatuh Tempo"),IF(K126&gt;0,"Dibayar Sebagian",IF(C126-TODAY()&lt;=MASTER!$AF$5,"Segera Jatuh Tempo","Belum Dibayar")))))))</f>
        <v/>
      </c>
      <c r="O126" s="6" t="str">
        <f>IF(D126="","",IFERROR(INDEX(PERKARA!$D$5:$D$104,MATCH(D126,PERKARA!$A$5:$A$104,0)),""))</f>
        <v/>
      </c>
      <c r="P126" s="10"/>
      <c r="Q126" s="6" t="str">
        <f>IF(D126="","",IFERROR(INDEX(PERKARA!$S$5:$S$104,MATCH(D126,PERKARA!$A$5:$A$104,0)),""))</f>
        <v/>
      </c>
      <c r="R126" s="6"/>
      <c r="S126" s="74" t="str">
        <f t="shared" ca="1" si="37"/>
        <v/>
      </c>
      <c r="T126" s="74" t="str">
        <f t="shared" si="38"/>
        <v/>
      </c>
      <c r="U126" s="74" t="str">
        <f t="shared" si="39"/>
        <v/>
      </c>
      <c r="V126" s="74" t="str">
        <f t="shared" si="40"/>
        <v/>
      </c>
      <c r="W126" s="74" t="str">
        <f t="shared" si="41"/>
        <v/>
      </c>
      <c r="X126" s="67" t="str">
        <f t="shared" si="43"/>
        <v/>
      </c>
      <c r="Y126" s="98"/>
      <c r="Z126" s="98"/>
      <c r="AA126" s="105"/>
      <c r="AB126" s="98"/>
      <c r="AC126" s="104" t="str">
        <f t="shared" si="42"/>
        <v/>
      </c>
      <c r="AD126" s="123"/>
    </row>
    <row r="127" spans="1:30">
      <c r="A127" s="6" t="str">
        <f t="shared" si="33"/>
        <v/>
      </c>
      <c r="B127" s="80"/>
      <c r="C127" s="80" t="str">
        <f>IF(B127="","",IFERROR(B127+MASTER!$AF$9,""))</f>
        <v/>
      </c>
      <c r="D127" s="46"/>
      <c r="E127" s="47" t="str">
        <f>IF(D127="","",IFERROR(INDEX(PERKARA!$B$5:$B$104,MATCH(D127,PERKARA!$A$5:$A$104,0)),"ID TIDAK TERDAFTAR"))</f>
        <v/>
      </c>
      <c r="F127" s="6"/>
      <c r="G127" s="72"/>
      <c r="H127" s="72"/>
      <c r="I127" s="72"/>
      <c r="J127" s="73" t="str">
        <f t="shared" si="34"/>
        <v/>
      </c>
      <c r="K127" s="73" t="str">
        <f>IF(A127="","",IF(AD127="",0,AD127)+SUMIFS(PEMASUKAN!$H$5:$H$204,PEMASUKAN!$G$5:$G$204,A127))</f>
        <v/>
      </c>
      <c r="L127" s="73" t="str">
        <f t="shared" si="35"/>
        <v/>
      </c>
      <c r="M127" s="81" t="str">
        <f t="shared" ca="1" si="36"/>
        <v/>
      </c>
      <c r="N127" s="9" t="str">
        <f ca="1">IF(A127="","",IF(J127=0,"NILAI BELUM DIISI",IF(L127=0,"Lunas",IF(C127="","Belum Ada Jatuh Tempo",IF(TODAY()&gt;C127,IF(K127&gt;0,"Jatuh Tempo - Dibayar Sebagian","Jatuh Tempo"),IF(K127&gt;0,"Dibayar Sebagian",IF(C127-TODAY()&lt;=MASTER!$AF$5,"Segera Jatuh Tempo","Belum Dibayar")))))))</f>
        <v/>
      </c>
      <c r="O127" s="6" t="str">
        <f>IF(D127="","",IFERROR(INDEX(PERKARA!$D$5:$D$104,MATCH(D127,PERKARA!$A$5:$A$104,0)),""))</f>
        <v/>
      </c>
      <c r="P127" s="10"/>
      <c r="Q127" s="6" t="str">
        <f>IF(D127="","",IFERROR(INDEX(PERKARA!$S$5:$S$104,MATCH(D127,PERKARA!$A$5:$A$104,0)),""))</f>
        <v/>
      </c>
      <c r="R127" s="6"/>
      <c r="S127" s="74" t="str">
        <f t="shared" ca="1" si="37"/>
        <v/>
      </c>
      <c r="T127" s="74" t="str">
        <f t="shared" si="38"/>
        <v/>
      </c>
      <c r="U127" s="74" t="str">
        <f t="shared" si="39"/>
        <v/>
      </c>
      <c r="V127" s="74" t="str">
        <f t="shared" si="40"/>
        <v/>
      </c>
      <c r="W127" s="74" t="str">
        <f t="shared" si="41"/>
        <v/>
      </c>
      <c r="X127" s="67" t="str">
        <f t="shared" si="43"/>
        <v/>
      </c>
      <c r="Y127" s="98"/>
      <c r="Z127" s="98"/>
      <c r="AA127" s="105"/>
      <c r="AB127" s="98"/>
      <c r="AC127" s="104" t="str">
        <f t="shared" si="42"/>
        <v/>
      </c>
      <c r="AD127" s="123"/>
    </row>
    <row r="128" spans="1:30">
      <c r="A128" s="6" t="str">
        <f t="shared" si="33"/>
        <v/>
      </c>
      <c r="B128" s="80"/>
      <c r="C128" s="80" t="str">
        <f>IF(B128="","",IFERROR(B128+MASTER!$AF$9,""))</f>
        <v/>
      </c>
      <c r="D128" s="46"/>
      <c r="E128" s="47" t="str">
        <f>IF(D128="","",IFERROR(INDEX(PERKARA!$B$5:$B$104,MATCH(D128,PERKARA!$A$5:$A$104,0)),"ID TIDAK TERDAFTAR"))</f>
        <v/>
      </c>
      <c r="F128" s="6"/>
      <c r="G128" s="72"/>
      <c r="H128" s="72"/>
      <c r="I128" s="72"/>
      <c r="J128" s="73" t="str">
        <f t="shared" si="34"/>
        <v/>
      </c>
      <c r="K128" s="73" t="str">
        <f>IF(A128="","",IF(AD128="",0,AD128)+SUMIFS(PEMASUKAN!$H$5:$H$204,PEMASUKAN!$G$5:$G$204,A128))</f>
        <v/>
      </c>
      <c r="L128" s="73" t="str">
        <f t="shared" si="35"/>
        <v/>
      </c>
      <c r="M128" s="81" t="str">
        <f t="shared" ca="1" si="36"/>
        <v/>
      </c>
      <c r="N128" s="9" t="str">
        <f ca="1">IF(A128="","",IF(J128=0,"NILAI BELUM DIISI",IF(L128=0,"Lunas",IF(C128="","Belum Ada Jatuh Tempo",IF(TODAY()&gt;C128,IF(K128&gt;0,"Jatuh Tempo - Dibayar Sebagian","Jatuh Tempo"),IF(K128&gt;0,"Dibayar Sebagian",IF(C128-TODAY()&lt;=MASTER!$AF$5,"Segera Jatuh Tempo","Belum Dibayar")))))))</f>
        <v/>
      </c>
      <c r="O128" s="6" t="str">
        <f>IF(D128="","",IFERROR(INDEX(PERKARA!$D$5:$D$104,MATCH(D128,PERKARA!$A$5:$A$104,0)),""))</f>
        <v/>
      </c>
      <c r="P128" s="10"/>
      <c r="Q128" s="6" t="str">
        <f>IF(D128="","",IFERROR(INDEX(PERKARA!$S$5:$S$104,MATCH(D128,PERKARA!$A$5:$A$104,0)),""))</f>
        <v/>
      </c>
      <c r="R128" s="6"/>
      <c r="S128" s="74" t="str">
        <f t="shared" ca="1" si="37"/>
        <v/>
      </c>
      <c r="T128" s="74" t="str">
        <f t="shared" si="38"/>
        <v/>
      </c>
      <c r="U128" s="74" t="str">
        <f t="shared" si="39"/>
        <v/>
      </c>
      <c r="V128" s="74" t="str">
        <f t="shared" si="40"/>
        <v/>
      </c>
      <c r="W128" s="74" t="str">
        <f t="shared" si="41"/>
        <v/>
      </c>
      <c r="X128" s="67" t="str">
        <f t="shared" si="43"/>
        <v/>
      </c>
      <c r="Y128" s="98"/>
      <c r="Z128" s="98"/>
      <c r="AA128" s="105"/>
      <c r="AB128" s="98"/>
      <c r="AC128" s="104" t="str">
        <f t="shared" si="42"/>
        <v/>
      </c>
      <c r="AD128" s="123"/>
    </row>
    <row r="129" spans="1:30">
      <c r="A129" s="6" t="str">
        <f t="shared" si="33"/>
        <v/>
      </c>
      <c r="B129" s="80"/>
      <c r="C129" s="80" t="str">
        <f>IF(B129="","",IFERROR(B129+MASTER!$AF$9,""))</f>
        <v/>
      </c>
      <c r="D129" s="46"/>
      <c r="E129" s="47" t="str">
        <f>IF(D129="","",IFERROR(INDEX(PERKARA!$B$5:$B$104,MATCH(D129,PERKARA!$A$5:$A$104,0)),"ID TIDAK TERDAFTAR"))</f>
        <v/>
      </c>
      <c r="F129" s="6"/>
      <c r="G129" s="72"/>
      <c r="H129" s="72"/>
      <c r="I129" s="72"/>
      <c r="J129" s="73" t="str">
        <f t="shared" si="34"/>
        <v/>
      </c>
      <c r="K129" s="73" t="str">
        <f>IF(A129="","",IF(AD129="",0,AD129)+SUMIFS(PEMASUKAN!$H$5:$H$204,PEMASUKAN!$G$5:$G$204,A129))</f>
        <v/>
      </c>
      <c r="L129" s="73" t="str">
        <f t="shared" si="35"/>
        <v/>
      </c>
      <c r="M129" s="81" t="str">
        <f t="shared" ca="1" si="36"/>
        <v/>
      </c>
      <c r="N129" s="9" t="str">
        <f ca="1">IF(A129="","",IF(J129=0,"NILAI BELUM DIISI",IF(L129=0,"Lunas",IF(C129="","Belum Ada Jatuh Tempo",IF(TODAY()&gt;C129,IF(K129&gt;0,"Jatuh Tempo - Dibayar Sebagian","Jatuh Tempo"),IF(K129&gt;0,"Dibayar Sebagian",IF(C129-TODAY()&lt;=MASTER!$AF$5,"Segera Jatuh Tempo","Belum Dibayar")))))))</f>
        <v/>
      </c>
      <c r="O129" s="6" t="str">
        <f>IF(D129="","",IFERROR(INDEX(PERKARA!$D$5:$D$104,MATCH(D129,PERKARA!$A$5:$A$104,0)),""))</f>
        <v/>
      </c>
      <c r="P129" s="10"/>
      <c r="Q129" s="6" t="str">
        <f>IF(D129="","",IFERROR(INDEX(PERKARA!$S$5:$S$104,MATCH(D129,PERKARA!$A$5:$A$104,0)),""))</f>
        <v/>
      </c>
      <c r="R129" s="6"/>
      <c r="S129" s="74" t="str">
        <f t="shared" ca="1" si="37"/>
        <v/>
      </c>
      <c r="T129" s="74" t="str">
        <f t="shared" si="38"/>
        <v/>
      </c>
      <c r="U129" s="74" t="str">
        <f t="shared" si="39"/>
        <v/>
      </c>
      <c r="V129" s="74" t="str">
        <f t="shared" si="40"/>
        <v/>
      </c>
      <c r="W129" s="74" t="str">
        <f t="shared" si="41"/>
        <v/>
      </c>
      <c r="X129" s="67" t="str">
        <f t="shared" si="43"/>
        <v/>
      </c>
      <c r="Y129" s="98"/>
      <c r="Z129" s="98"/>
      <c r="AA129" s="105"/>
      <c r="AB129" s="98"/>
      <c r="AC129" s="104" t="str">
        <f t="shared" si="42"/>
        <v/>
      </c>
      <c r="AD129" s="123"/>
    </row>
    <row r="130" spans="1:30">
      <c r="A130" s="6" t="str">
        <f t="shared" ref="A130:A151" si="44">IF(B130="","",IFERROR("RPK-INV-"&amp;TEXT(B130,"yyyy")&amp;"-"&amp;TEXT(ROW()-4,"000"),"TANGGAL TIDAK VALID"))</f>
        <v/>
      </c>
      <c r="B130" s="80"/>
      <c r="C130" s="80" t="str">
        <f>IF(B130="","",IFERROR(B130+MASTER!$AF$9,""))</f>
        <v/>
      </c>
      <c r="D130" s="46"/>
      <c r="E130" s="47" t="str">
        <f>IF(D130="","",IFERROR(INDEX(PERKARA!$B$5:$B$104,MATCH(D130,PERKARA!$A$5:$A$104,0)),"ID TIDAK TERDAFTAR"))</f>
        <v/>
      </c>
      <c r="F130" s="6"/>
      <c r="G130" s="72"/>
      <c r="H130" s="72"/>
      <c r="I130" s="72"/>
      <c r="J130" s="73" t="str">
        <f t="shared" ref="J130:J151" si="45">IF(A130="","",SUM(G130:I130))</f>
        <v/>
      </c>
      <c r="K130" s="73" t="str">
        <f>IF(A130="","",IF(AD130="",0,AD130)+SUMIFS(PEMASUKAN!$H$5:$H$204,PEMASUKAN!$G$5:$G$204,A130))</f>
        <v/>
      </c>
      <c r="L130" s="73" t="str">
        <f t="shared" ref="L130:L151" si="46">IF(A130="","",MAX(J130-K130,0))</f>
        <v/>
      </c>
      <c r="M130" s="81" t="str">
        <f t="shared" ref="M130:M151" ca="1" si="47">IF(OR(A130="",C130="",L130=0),"",MAX(TODAY()-C130,0))</f>
        <v/>
      </c>
      <c r="N130" s="9" t="str">
        <f ca="1">IF(A130="","",IF(J130=0,"NILAI BELUM DIISI",IF(L130=0,"Lunas",IF(C130="","Belum Ada Jatuh Tempo",IF(TODAY()&gt;C130,IF(K130&gt;0,"Jatuh Tempo - Dibayar Sebagian","Jatuh Tempo"),IF(K130&gt;0,"Dibayar Sebagian",IF(C130-TODAY()&lt;=MASTER!$AF$5,"Segera Jatuh Tempo","Belum Dibayar")))))))</f>
        <v/>
      </c>
      <c r="O130" s="6" t="str">
        <f>IF(D130="","",IFERROR(INDEX(PERKARA!$D$5:$D$104,MATCH(D130,PERKARA!$A$5:$A$104,0)),""))</f>
        <v/>
      </c>
      <c r="P130" s="10"/>
      <c r="Q130" s="6" t="str">
        <f>IF(D130="","",IFERROR(INDEX(PERKARA!$S$5:$S$104,MATCH(D130,PERKARA!$A$5:$A$104,0)),""))</f>
        <v/>
      </c>
      <c r="R130" s="6"/>
      <c r="S130" s="74" t="str">
        <f t="shared" ref="S130:S151" ca="1" si="48">IF(A130="","",IF(OR(C130="",TODAY()&lt;=C130),L130,0))</f>
        <v/>
      </c>
      <c r="T130" s="74" t="str">
        <f t="shared" ref="T130:T151" si="49">IF(A130="","",IF(AND(M130&gt;=1,M130&lt;=30),L130,0))</f>
        <v/>
      </c>
      <c r="U130" s="74" t="str">
        <f t="shared" ref="U130:U151" si="50">IF(A130="","",IF(AND(M130&gt;=31,M130&lt;=60),L130,0))</f>
        <v/>
      </c>
      <c r="V130" s="74" t="str">
        <f t="shared" ref="V130:V151" si="51">IF(A130="","",IF(AND(M130&gt;=61,M130&lt;=90),L130,0))</f>
        <v/>
      </c>
      <c r="W130" s="74" t="str">
        <f t="shared" ref="W130:W151" si="52">IF(A130="","",IF(M130&gt;90,L130,0))</f>
        <v/>
      </c>
      <c r="X130" s="67" t="str">
        <f t="shared" si="43"/>
        <v/>
      </c>
      <c r="Y130" s="98"/>
      <c r="Z130" s="98"/>
      <c r="AA130" s="105"/>
      <c r="AB130" s="98"/>
      <c r="AC130" s="104" t="str">
        <f t="shared" ref="AC130:AC151" si="53">IF(B130="","",IF(Y130="Ditolak","DITOLAK",IF(AND(Y130="Disetujui",Z130&lt;&gt;""),"LENGKAP",IF(Y130="Disetujui","NAMA PENYETUJU BELUM DIISI","MENUNGGU PERSETUJUAN MANUAL"))))</f>
        <v/>
      </c>
      <c r="AD130" s="123"/>
    </row>
    <row r="131" spans="1:30">
      <c r="A131" s="6" t="str">
        <f t="shared" si="44"/>
        <v/>
      </c>
      <c r="B131" s="80"/>
      <c r="C131" s="80" t="str">
        <f>IF(B131="","",IFERROR(B131+MASTER!$AF$9,""))</f>
        <v/>
      </c>
      <c r="D131" s="46"/>
      <c r="E131" s="47" t="str">
        <f>IF(D131="","",IFERROR(INDEX(PERKARA!$B$5:$B$104,MATCH(D131,PERKARA!$A$5:$A$104,0)),"ID TIDAK TERDAFTAR"))</f>
        <v/>
      </c>
      <c r="F131" s="6"/>
      <c r="G131" s="72"/>
      <c r="H131" s="72"/>
      <c r="I131" s="72"/>
      <c r="J131" s="73" t="str">
        <f t="shared" si="45"/>
        <v/>
      </c>
      <c r="K131" s="73" t="str">
        <f>IF(A131="","",IF(AD131="",0,AD131)+SUMIFS(PEMASUKAN!$H$5:$H$204,PEMASUKAN!$G$5:$G$204,A131))</f>
        <v/>
      </c>
      <c r="L131" s="73" t="str">
        <f t="shared" si="46"/>
        <v/>
      </c>
      <c r="M131" s="81" t="str">
        <f t="shared" ca="1" si="47"/>
        <v/>
      </c>
      <c r="N131" s="9" t="str">
        <f ca="1">IF(A131="","",IF(J131=0,"NILAI BELUM DIISI",IF(L131=0,"Lunas",IF(C131="","Belum Ada Jatuh Tempo",IF(TODAY()&gt;C131,IF(K131&gt;0,"Jatuh Tempo - Dibayar Sebagian","Jatuh Tempo"),IF(K131&gt;0,"Dibayar Sebagian",IF(C131-TODAY()&lt;=MASTER!$AF$5,"Segera Jatuh Tempo","Belum Dibayar")))))))</f>
        <v/>
      </c>
      <c r="O131" s="6" t="str">
        <f>IF(D131="","",IFERROR(INDEX(PERKARA!$D$5:$D$104,MATCH(D131,PERKARA!$A$5:$A$104,0)),""))</f>
        <v/>
      </c>
      <c r="P131" s="10"/>
      <c r="Q131" s="6" t="str">
        <f>IF(D131="","",IFERROR(INDEX(PERKARA!$S$5:$S$104,MATCH(D131,PERKARA!$A$5:$A$104,0)),""))</f>
        <v/>
      </c>
      <c r="R131" s="6"/>
      <c r="S131" s="74" t="str">
        <f t="shared" ca="1" si="48"/>
        <v/>
      </c>
      <c r="T131" s="74" t="str">
        <f t="shared" si="49"/>
        <v/>
      </c>
      <c r="U131" s="74" t="str">
        <f t="shared" si="50"/>
        <v/>
      </c>
      <c r="V131" s="74" t="str">
        <f t="shared" si="51"/>
        <v/>
      </c>
      <c r="W131" s="74" t="str">
        <f t="shared" si="52"/>
        <v/>
      </c>
      <c r="X131" s="67" t="str">
        <f t="shared" si="43"/>
        <v/>
      </c>
      <c r="Y131" s="98"/>
      <c r="Z131" s="98"/>
      <c r="AA131" s="105"/>
      <c r="AB131" s="98"/>
      <c r="AC131" s="104" t="str">
        <f t="shared" si="53"/>
        <v/>
      </c>
      <c r="AD131" s="123"/>
    </row>
    <row r="132" spans="1:30">
      <c r="A132" s="6" t="str">
        <f t="shared" si="44"/>
        <v/>
      </c>
      <c r="B132" s="80"/>
      <c r="C132" s="80" t="str">
        <f>IF(B132="","",IFERROR(B132+MASTER!$AF$9,""))</f>
        <v/>
      </c>
      <c r="D132" s="46"/>
      <c r="E132" s="47" t="str">
        <f>IF(D132="","",IFERROR(INDEX(PERKARA!$B$5:$B$104,MATCH(D132,PERKARA!$A$5:$A$104,0)),"ID TIDAK TERDAFTAR"))</f>
        <v/>
      </c>
      <c r="F132" s="6"/>
      <c r="G132" s="72"/>
      <c r="H132" s="72"/>
      <c r="I132" s="72"/>
      <c r="J132" s="73" t="str">
        <f t="shared" si="45"/>
        <v/>
      </c>
      <c r="K132" s="73" t="str">
        <f>IF(A132="","",IF(AD132="",0,AD132)+SUMIFS(PEMASUKAN!$H$5:$H$204,PEMASUKAN!$G$5:$G$204,A132))</f>
        <v/>
      </c>
      <c r="L132" s="73" t="str">
        <f t="shared" si="46"/>
        <v/>
      </c>
      <c r="M132" s="81" t="str">
        <f t="shared" ca="1" si="47"/>
        <v/>
      </c>
      <c r="N132" s="9" t="str">
        <f ca="1">IF(A132="","",IF(J132=0,"NILAI BELUM DIISI",IF(L132=0,"Lunas",IF(C132="","Belum Ada Jatuh Tempo",IF(TODAY()&gt;C132,IF(K132&gt;0,"Jatuh Tempo - Dibayar Sebagian","Jatuh Tempo"),IF(K132&gt;0,"Dibayar Sebagian",IF(C132-TODAY()&lt;=MASTER!$AF$5,"Segera Jatuh Tempo","Belum Dibayar")))))))</f>
        <v/>
      </c>
      <c r="O132" s="6" t="str">
        <f>IF(D132="","",IFERROR(INDEX(PERKARA!$D$5:$D$104,MATCH(D132,PERKARA!$A$5:$A$104,0)),""))</f>
        <v/>
      </c>
      <c r="P132" s="10"/>
      <c r="Q132" s="6" t="str">
        <f>IF(D132="","",IFERROR(INDEX(PERKARA!$S$5:$S$104,MATCH(D132,PERKARA!$A$5:$A$104,0)),""))</f>
        <v/>
      </c>
      <c r="R132" s="6"/>
      <c r="S132" s="74" t="str">
        <f t="shared" ca="1" si="48"/>
        <v/>
      </c>
      <c r="T132" s="74" t="str">
        <f t="shared" si="49"/>
        <v/>
      </c>
      <c r="U132" s="74" t="str">
        <f t="shared" si="50"/>
        <v/>
      </c>
      <c r="V132" s="74" t="str">
        <f t="shared" si="51"/>
        <v/>
      </c>
      <c r="W132" s="74" t="str">
        <f t="shared" si="52"/>
        <v/>
      </c>
      <c r="X132" s="67" t="str">
        <f t="shared" si="43"/>
        <v/>
      </c>
      <c r="Y132" s="98"/>
      <c r="Z132" s="98"/>
      <c r="AA132" s="105"/>
      <c r="AB132" s="98"/>
      <c r="AC132" s="104" t="str">
        <f t="shared" si="53"/>
        <v/>
      </c>
      <c r="AD132" s="123"/>
    </row>
    <row r="133" spans="1:30">
      <c r="A133" s="6" t="str">
        <f t="shared" si="44"/>
        <v/>
      </c>
      <c r="B133" s="80"/>
      <c r="C133" s="80" t="str">
        <f>IF(B133="","",IFERROR(B133+MASTER!$AF$9,""))</f>
        <v/>
      </c>
      <c r="D133" s="46"/>
      <c r="E133" s="47" t="str">
        <f>IF(D133="","",IFERROR(INDEX(PERKARA!$B$5:$B$104,MATCH(D133,PERKARA!$A$5:$A$104,0)),"ID TIDAK TERDAFTAR"))</f>
        <v/>
      </c>
      <c r="F133" s="6"/>
      <c r="G133" s="72"/>
      <c r="H133" s="72"/>
      <c r="I133" s="72"/>
      <c r="J133" s="73" t="str">
        <f t="shared" si="45"/>
        <v/>
      </c>
      <c r="K133" s="73" t="str">
        <f>IF(A133="","",IF(AD133="",0,AD133)+SUMIFS(PEMASUKAN!$H$5:$H$204,PEMASUKAN!$G$5:$G$204,A133))</f>
        <v/>
      </c>
      <c r="L133" s="73" t="str">
        <f t="shared" si="46"/>
        <v/>
      </c>
      <c r="M133" s="81" t="str">
        <f t="shared" ca="1" si="47"/>
        <v/>
      </c>
      <c r="N133" s="9" t="str">
        <f ca="1">IF(A133="","",IF(J133=0,"NILAI BELUM DIISI",IF(L133=0,"Lunas",IF(C133="","Belum Ada Jatuh Tempo",IF(TODAY()&gt;C133,IF(K133&gt;0,"Jatuh Tempo - Dibayar Sebagian","Jatuh Tempo"),IF(K133&gt;0,"Dibayar Sebagian",IF(C133-TODAY()&lt;=MASTER!$AF$5,"Segera Jatuh Tempo","Belum Dibayar")))))))</f>
        <v/>
      </c>
      <c r="O133" s="6" t="str">
        <f>IF(D133="","",IFERROR(INDEX(PERKARA!$D$5:$D$104,MATCH(D133,PERKARA!$A$5:$A$104,0)),""))</f>
        <v/>
      </c>
      <c r="P133" s="10"/>
      <c r="Q133" s="6" t="str">
        <f>IF(D133="","",IFERROR(INDEX(PERKARA!$S$5:$S$104,MATCH(D133,PERKARA!$A$5:$A$104,0)),""))</f>
        <v/>
      </c>
      <c r="R133" s="6"/>
      <c r="S133" s="74" t="str">
        <f t="shared" ca="1" si="48"/>
        <v/>
      </c>
      <c r="T133" s="74" t="str">
        <f t="shared" si="49"/>
        <v/>
      </c>
      <c r="U133" s="74" t="str">
        <f t="shared" si="50"/>
        <v/>
      </c>
      <c r="V133" s="74" t="str">
        <f t="shared" si="51"/>
        <v/>
      </c>
      <c r="W133" s="74" t="str">
        <f t="shared" si="52"/>
        <v/>
      </c>
      <c r="X133" s="67" t="str">
        <f t="shared" ref="X133:X151" si="54">IF(A133="","",IF(COUNTIF($A$5:$A$151,A133)&gt;1,"NOMOR INVOICE DUPLIKAT",IF(D133="","PERKARA BELUM DIISI",IF(E133="ID TIDAK TERDAFTAR","PERKARA TIDAK VALID",IF(K133&gt;J133,"PEMBAYARAN MELEBIHI TAGIHAN","OK")))))</f>
        <v/>
      </c>
      <c r="Y133" s="98"/>
      <c r="Z133" s="98"/>
      <c r="AA133" s="105"/>
      <c r="AB133" s="98"/>
      <c r="AC133" s="104" t="str">
        <f t="shared" si="53"/>
        <v/>
      </c>
      <c r="AD133" s="123"/>
    </row>
    <row r="134" spans="1:30">
      <c r="A134" s="6" t="str">
        <f t="shared" si="44"/>
        <v/>
      </c>
      <c r="B134" s="80"/>
      <c r="C134" s="80" t="str">
        <f>IF(B134="","",IFERROR(B134+MASTER!$AF$9,""))</f>
        <v/>
      </c>
      <c r="D134" s="46"/>
      <c r="E134" s="47" t="str">
        <f>IF(D134="","",IFERROR(INDEX(PERKARA!$B$5:$B$104,MATCH(D134,PERKARA!$A$5:$A$104,0)),"ID TIDAK TERDAFTAR"))</f>
        <v/>
      </c>
      <c r="F134" s="6"/>
      <c r="G134" s="72"/>
      <c r="H134" s="72"/>
      <c r="I134" s="72"/>
      <c r="J134" s="73" t="str">
        <f t="shared" si="45"/>
        <v/>
      </c>
      <c r="K134" s="73" t="str">
        <f>IF(A134="","",IF(AD134="",0,AD134)+SUMIFS(PEMASUKAN!$H$5:$H$204,PEMASUKAN!$G$5:$G$204,A134))</f>
        <v/>
      </c>
      <c r="L134" s="73" t="str">
        <f t="shared" si="46"/>
        <v/>
      </c>
      <c r="M134" s="81" t="str">
        <f t="shared" ca="1" si="47"/>
        <v/>
      </c>
      <c r="N134" s="9" t="str">
        <f ca="1">IF(A134="","",IF(J134=0,"NILAI BELUM DIISI",IF(L134=0,"Lunas",IF(C134="","Belum Ada Jatuh Tempo",IF(TODAY()&gt;C134,IF(K134&gt;0,"Jatuh Tempo - Dibayar Sebagian","Jatuh Tempo"),IF(K134&gt;0,"Dibayar Sebagian",IF(C134-TODAY()&lt;=MASTER!$AF$5,"Segera Jatuh Tempo","Belum Dibayar")))))))</f>
        <v/>
      </c>
      <c r="O134" s="6" t="str">
        <f>IF(D134="","",IFERROR(INDEX(PERKARA!$D$5:$D$104,MATCH(D134,PERKARA!$A$5:$A$104,0)),""))</f>
        <v/>
      </c>
      <c r="P134" s="10"/>
      <c r="Q134" s="6" t="str">
        <f>IF(D134="","",IFERROR(INDEX(PERKARA!$S$5:$S$104,MATCH(D134,PERKARA!$A$5:$A$104,0)),""))</f>
        <v/>
      </c>
      <c r="R134" s="6"/>
      <c r="S134" s="74" t="str">
        <f t="shared" ca="1" si="48"/>
        <v/>
      </c>
      <c r="T134" s="74" t="str">
        <f t="shared" si="49"/>
        <v/>
      </c>
      <c r="U134" s="74" t="str">
        <f t="shared" si="50"/>
        <v/>
      </c>
      <c r="V134" s="74" t="str">
        <f t="shared" si="51"/>
        <v/>
      </c>
      <c r="W134" s="74" t="str">
        <f t="shared" si="52"/>
        <v/>
      </c>
      <c r="X134" s="67" t="str">
        <f t="shared" si="54"/>
        <v/>
      </c>
      <c r="Y134" s="98"/>
      <c r="Z134" s="98"/>
      <c r="AA134" s="105"/>
      <c r="AB134" s="98"/>
      <c r="AC134" s="104" t="str">
        <f t="shared" si="53"/>
        <v/>
      </c>
      <c r="AD134" s="123"/>
    </row>
    <row r="135" spans="1:30">
      <c r="A135" s="6" t="str">
        <f t="shared" si="44"/>
        <v/>
      </c>
      <c r="B135" s="80"/>
      <c r="C135" s="80" t="str">
        <f>IF(B135="","",IFERROR(B135+MASTER!$AF$9,""))</f>
        <v/>
      </c>
      <c r="D135" s="46"/>
      <c r="E135" s="47" t="str">
        <f>IF(D135="","",IFERROR(INDEX(PERKARA!$B$5:$B$104,MATCH(D135,PERKARA!$A$5:$A$104,0)),"ID TIDAK TERDAFTAR"))</f>
        <v/>
      </c>
      <c r="F135" s="6"/>
      <c r="G135" s="72"/>
      <c r="H135" s="72"/>
      <c r="I135" s="72"/>
      <c r="J135" s="73" t="str">
        <f t="shared" si="45"/>
        <v/>
      </c>
      <c r="K135" s="73" t="str">
        <f>IF(A135="","",IF(AD135="",0,AD135)+SUMIFS(PEMASUKAN!$H$5:$H$204,PEMASUKAN!$G$5:$G$204,A135))</f>
        <v/>
      </c>
      <c r="L135" s="73" t="str">
        <f t="shared" si="46"/>
        <v/>
      </c>
      <c r="M135" s="81" t="str">
        <f t="shared" ca="1" si="47"/>
        <v/>
      </c>
      <c r="N135" s="9" t="str">
        <f ca="1">IF(A135="","",IF(J135=0,"NILAI BELUM DIISI",IF(L135=0,"Lunas",IF(C135="","Belum Ada Jatuh Tempo",IF(TODAY()&gt;C135,IF(K135&gt;0,"Jatuh Tempo - Dibayar Sebagian","Jatuh Tempo"),IF(K135&gt;0,"Dibayar Sebagian",IF(C135-TODAY()&lt;=MASTER!$AF$5,"Segera Jatuh Tempo","Belum Dibayar")))))))</f>
        <v/>
      </c>
      <c r="O135" s="6" t="str">
        <f>IF(D135="","",IFERROR(INDEX(PERKARA!$D$5:$D$104,MATCH(D135,PERKARA!$A$5:$A$104,0)),""))</f>
        <v/>
      </c>
      <c r="P135" s="10"/>
      <c r="Q135" s="6" t="str">
        <f>IF(D135="","",IFERROR(INDEX(PERKARA!$S$5:$S$104,MATCH(D135,PERKARA!$A$5:$A$104,0)),""))</f>
        <v/>
      </c>
      <c r="R135" s="6"/>
      <c r="S135" s="74" t="str">
        <f t="shared" ca="1" si="48"/>
        <v/>
      </c>
      <c r="T135" s="74" t="str">
        <f t="shared" si="49"/>
        <v/>
      </c>
      <c r="U135" s="74" t="str">
        <f t="shared" si="50"/>
        <v/>
      </c>
      <c r="V135" s="74" t="str">
        <f t="shared" si="51"/>
        <v/>
      </c>
      <c r="W135" s="74" t="str">
        <f t="shared" si="52"/>
        <v/>
      </c>
      <c r="X135" s="67" t="str">
        <f t="shared" si="54"/>
        <v/>
      </c>
      <c r="Y135" s="98"/>
      <c r="Z135" s="98"/>
      <c r="AA135" s="105"/>
      <c r="AB135" s="98"/>
      <c r="AC135" s="104" t="str">
        <f t="shared" si="53"/>
        <v/>
      </c>
      <c r="AD135" s="123"/>
    </row>
    <row r="136" spans="1:30">
      <c r="A136" s="6" t="str">
        <f t="shared" si="44"/>
        <v/>
      </c>
      <c r="B136" s="80"/>
      <c r="C136" s="80" t="str">
        <f>IF(B136="","",IFERROR(B136+MASTER!$AF$9,""))</f>
        <v/>
      </c>
      <c r="D136" s="46"/>
      <c r="E136" s="47" t="str">
        <f>IF(D136="","",IFERROR(INDEX(PERKARA!$B$5:$B$104,MATCH(D136,PERKARA!$A$5:$A$104,0)),"ID TIDAK TERDAFTAR"))</f>
        <v/>
      </c>
      <c r="F136" s="6"/>
      <c r="G136" s="72"/>
      <c r="H136" s="72"/>
      <c r="I136" s="72"/>
      <c r="J136" s="73" t="str">
        <f t="shared" si="45"/>
        <v/>
      </c>
      <c r="K136" s="73" t="str">
        <f>IF(A136="","",IF(AD136="",0,AD136)+SUMIFS(PEMASUKAN!$H$5:$H$204,PEMASUKAN!$G$5:$G$204,A136))</f>
        <v/>
      </c>
      <c r="L136" s="73" t="str">
        <f t="shared" si="46"/>
        <v/>
      </c>
      <c r="M136" s="81" t="str">
        <f t="shared" ca="1" si="47"/>
        <v/>
      </c>
      <c r="N136" s="9" t="str">
        <f ca="1">IF(A136="","",IF(J136=0,"NILAI BELUM DIISI",IF(L136=0,"Lunas",IF(C136="","Belum Ada Jatuh Tempo",IF(TODAY()&gt;C136,IF(K136&gt;0,"Jatuh Tempo - Dibayar Sebagian","Jatuh Tempo"),IF(K136&gt;0,"Dibayar Sebagian",IF(C136-TODAY()&lt;=MASTER!$AF$5,"Segera Jatuh Tempo","Belum Dibayar")))))))</f>
        <v/>
      </c>
      <c r="O136" s="6" t="str">
        <f>IF(D136="","",IFERROR(INDEX(PERKARA!$D$5:$D$104,MATCH(D136,PERKARA!$A$5:$A$104,0)),""))</f>
        <v/>
      </c>
      <c r="P136" s="10"/>
      <c r="Q136" s="6" t="str">
        <f>IF(D136="","",IFERROR(INDEX(PERKARA!$S$5:$S$104,MATCH(D136,PERKARA!$A$5:$A$104,0)),""))</f>
        <v/>
      </c>
      <c r="R136" s="6"/>
      <c r="S136" s="74" t="str">
        <f t="shared" ca="1" si="48"/>
        <v/>
      </c>
      <c r="T136" s="74" t="str">
        <f t="shared" si="49"/>
        <v/>
      </c>
      <c r="U136" s="74" t="str">
        <f t="shared" si="50"/>
        <v/>
      </c>
      <c r="V136" s="74" t="str">
        <f t="shared" si="51"/>
        <v/>
      </c>
      <c r="W136" s="74" t="str">
        <f t="shared" si="52"/>
        <v/>
      </c>
      <c r="X136" s="67" t="str">
        <f t="shared" si="54"/>
        <v/>
      </c>
      <c r="Y136" s="98"/>
      <c r="Z136" s="98"/>
      <c r="AA136" s="105"/>
      <c r="AB136" s="98"/>
      <c r="AC136" s="104" t="str">
        <f t="shared" si="53"/>
        <v/>
      </c>
      <c r="AD136" s="123"/>
    </row>
    <row r="137" spans="1:30">
      <c r="A137" s="6" t="str">
        <f t="shared" si="44"/>
        <v/>
      </c>
      <c r="B137" s="80"/>
      <c r="C137" s="80" t="str">
        <f>IF(B137="","",IFERROR(B137+MASTER!$AF$9,""))</f>
        <v/>
      </c>
      <c r="D137" s="46"/>
      <c r="E137" s="47" t="str">
        <f>IF(D137="","",IFERROR(INDEX(PERKARA!$B$5:$B$104,MATCH(D137,PERKARA!$A$5:$A$104,0)),"ID TIDAK TERDAFTAR"))</f>
        <v/>
      </c>
      <c r="F137" s="6"/>
      <c r="G137" s="72"/>
      <c r="H137" s="72"/>
      <c r="I137" s="72"/>
      <c r="J137" s="73" t="str">
        <f t="shared" si="45"/>
        <v/>
      </c>
      <c r="K137" s="73" t="str">
        <f>IF(A137="","",IF(AD137="",0,AD137)+SUMIFS(PEMASUKAN!$H$5:$H$204,PEMASUKAN!$G$5:$G$204,A137))</f>
        <v/>
      </c>
      <c r="L137" s="73" t="str">
        <f t="shared" si="46"/>
        <v/>
      </c>
      <c r="M137" s="81" t="str">
        <f t="shared" ca="1" si="47"/>
        <v/>
      </c>
      <c r="N137" s="9" t="str">
        <f ca="1">IF(A137="","",IF(J137=0,"NILAI BELUM DIISI",IF(L137=0,"Lunas",IF(C137="","Belum Ada Jatuh Tempo",IF(TODAY()&gt;C137,IF(K137&gt;0,"Jatuh Tempo - Dibayar Sebagian","Jatuh Tempo"),IF(K137&gt;0,"Dibayar Sebagian",IF(C137-TODAY()&lt;=MASTER!$AF$5,"Segera Jatuh Tempo","Belum Dibayar")))))))</f>
        <v/>
      </c>
      <c r="O137" s="6" t="str">
        <f>IF(D137="","",IFERROR(INDEX(PERKARA!$D$5:$D$104,MATCH(D137,PERKARA!$A$5:$A$104,0)),""))</f>
        <v/>
      </c>
      <c r="P137" s="10"/>
      <c r="Q137" s="6" t="str">
        <f>IF(D137="","",IFERROR(INDEX(PERKARA!$S$5:$S$104,MATCH(D137,PERKARA!$A$5:$A$104,0)),""))</f>
        <v/>
      </c>
      <c r="R137" s="6"/>
      <c r="S137" s="74" t="str">
        <f t="shared" ca="1" si="48"/>
        <v/>
      </c>
      <c r="T137" s="74" t="str">
        <f t="shared" si="49"/>
        <v/>
      </c>
      <c r="U137" s="74" t="str">
        <f t="shared" si="50"/>
        <v/>
      </c>
      <c r="V137" s="74" t="str">
        <f t="shared" si="51"/>
        <v/>
      </c>
      <c r="W137" s="74" t="str">
        <f t="shared" si="52"/>
        <v/>
      </c>
      <c r="X137" s="67" t="str">
        <f t="shared" si="54"/>
        <v/>
      </c>
      <c r="Y137" s="98"/>
      <c r="Z137" s="98"/>
      <c r="AA137" s="105"/>
      <c r="AB137" s="98"/>
      <c r="AC137" s="104" t="str">
        <f t="shared" si="53"/>
        <v/>
      </c>
      <c r="AD137" s="123"/>
    </row>
    <row r="138" spans="1:30">
      <c r="A138" s="6" t="str">
        <f t="shared" si="44"/>
        <v/>
      </c>
      <c r="B138" s="80"/>
      <c r="C138" s="80" t="str">
        <f>IF(B138="","",IFERROR(B138+MASTER!$AF$9,""))</f>
        <v/>
      </c>
      <c r="D138" s="46"/>
      <c r="E138" s="47" t="str">
        <f>IF(D138="","",IFERROR(INDEX(PERKARA!$B$5:$B$104,MATCH(D138,PERKARA!$A$5:$A$104,0)),"ID TIDAK TERDAFTAR"))</f>
        <v/>
      </c>
      <c r="F138" s="6"/>
      <c r="G138" s="72"/>
      <c r="H138" s="72"/>
      <c r="I138" s="72"/>
      <c r="J138" s="73" t="str">
        <f t="shared" si="45"/>
        <v/>
      </c>
      <c r="K138" s="73" t="str">
        <f>IF(A138="","",IF(AD138="",0,AD138)+SUMIFS(PEMASUKAN!$H$5:$H$204,PEMASUKAN!$G$5:$G$204,A138))</f>
        <v/>
      </c>
      <c r="L138" s="73" t="str">
        <f t="shared" si="46"/>
        <v/>
      </c>
      <c r="M138" s="81" t="str">
        <f t="shared" ca="1" si="47"/>
        <v/>
      </c>
      <c r="N138" s="9" t="str">
        <f ca="1">IF(A138="","",IF(J138=0,"NILAI BELUM DIISI",IF(L138=0,"Lunas",IF(C138="","Belum Ada Jatuh Tempo",IF(TODAY()&gt;C138,IF(K138&gt;0,"Jatuh Tempo - Dibayar Sebagian","Jatuh Tempo"),IF(K138&gt;0,"Dibayar Sebagian",IF(C138-TODAY()&lt;=MASTER!$AF$5,"Segera Jatuh Tempo","Belum Dibayar")))))))</f>
        <v/>
      </c>
      <c r="O138" s="6" t="str">
        <f>IF(D138="","",IFERROR(INDEX(PERKARA!$D$5:$D$104,MATCH(D138,PERKARA!$A$5:$A$104,0)),""))</f>
        <v/>
      </c>
      <c r="P138" s="10"/>
      <c r="Q138" s="6" t="str">
        <f>IF(D138="","",IFERROR(INDEX(PERKARA!$S$5:$S$104,MATCH(D138,PERKARA!$A$5:$A$104,0)),""))</f>
        <v/>
      </c>
      <c r="R138" s="6"/>
      <c r="S138" s="74" t="str">
        <f t="shared" ca="1" si="48"/>
        <v/>
      </c>
      <c r="T138" s="74" t="str">
        <f t="shared" si="49"/>
        <v/>
      </c>
      <c r="U138" s="74" t="str">
        <f t="shared" si="50"/>
        <v/>
      </c>
      <c r="V138" s="74" t="str">
        <f t="shared" si="51"/>
        <v/>
      </c>
      <c r="W138" s="74" t="str">
        <f t="shared" si="52"/>
        <v/>
      </c>
      <c r="X138" s="67" t="str">
        <f t="shared" si="54"/>
        <v/>
      </c>
      <c r="Y138" s="98"/>
      <c r="Z138" s="98"/>
      <c r="AA138" s="105"/>
      <c r="AB138" s="98"/>
      <c r="AC138" s="104" t="str">
        <f t="shared" si="53"/>
        <v/>
      </c>
      <c r="AD138" s="123"/>
    </row>
    <row r="139" spans="1:30">
      <c r="A139" s="6" t="str">
        <f t="shared" si="44"/>
        <v/>
      </c>
      <c r="B139" s="80"/>
      <c r="C139" s="80" t="str">
        <f>IF(B139="","",IFERROR(B139+MASTER!$AF$9,""))</f>
        <v/>
      </c>
      <c r="D139" s="46"/>
      <c r="E139" s="47" t="str">
        <f>IF(D139="","",IFERROR(INDEX(PERKARA!$B$5:$B$104,MATCH(D139,PERKARA!$A$5:$A$104,0)),"ID TIDAK TERDAFTAR"))</f>
        <v/>
      </c>
      <c r="F139" s="6"/>
      <c r="G139" s="72"/>
      <c r="H139" s="72"/>
      <c r="I139" s="72"/>
      <c r="J139" s="73" t="str">
        <f t="shared" si="45"/>
        <v/>
      </c>
      <c r="K139" s="73" t="str">
        <f>IF(A139="","",IF(AD139="",0,AD139)+SUMIFS(PEMASUKAN!$H$5:$H$204,PEMASUKAN!$G$5:$G$204,A139))</f>
        <v/>
      </c>
      <c r="L139" s="73" t="str">
        <f t="shared" si="46"/>
        <v/>
      </c>
      <c r="M139" s="81" t="str">
        <f t="shared" ca="1" si="47"/>
        <v/>
      </c>
      <c r="N139" s="9" t="str">
        <f ca="1">IF(A139="","",IF(J139=0,"NILAI BELUM DIISI",IF(L139=0,"Lunas",IF(C139="","Belum Ada Jatuh Tempo",IF(TODAY()&gt;C139,IF(K139&gt;0,"Jatuh Tempo - Dibayar Sebagian","Jatuh Tempo"),IF(K139&gt;0,"Dibayar Sebagian",IF(C139-TODAY()&lt;=MASTER!$AF$5,"Segera Jatuh Tempo","Belum Dibayar")))))))</f>
        <v/>
      </c>
      <c r="O139" s="6" t="str">
        <f>IF(D139="","",IFERROR(INDEX(PERKARA!$D$5:$D$104,MATCH(D139,PERKARA!$A$5:$A$104,0)),""))</f>
        <v/>
      </c>
      <c r="P139" s="10"/>
      <c r="Q139" s="6" t="str">
        <f>IF(D139="","",IFERROR(INDEX(PERKARA!$S$5:$S$104,MATCH(D139,PERKARA!$A$5:$A$104,0)),""))</f>
        <v/>
      </c>
      <c r="R139" s="6"/>
      <c r="S139" s="74" t="str">
        <f t="shared" ca="1" si="48"/>
        <v/>
      </c>
      <c r="T139" s="74" t="str">
        <f t="shared" si="49"/>
        <v/>
      </c>
      <c r="U139" s="74" t="str">
        <f t="shared" si="50"/>
        <v/>
      </c>
      <c r="V139" s="74" t="str">
        <f t="shared" si="51"/>
        <v/>
      </c>
      <c r="W139" s="74" t="str">
        <f t="shared" si="52"/>
        <v/>
      </c>
      <c r="X139" s="67" t="str">
        <f t="shared" si="54"/>
        <v/>
      </c>
      <c r="Y139" s="98"/>
      <c r="Z139" s="98"/>
      <c r="AA139" s="105"/>
      <c r="AB139" s="98"/>
      <c r="AC139" s="104" t="str">
        <f t="shared" si="53"/>
        <v/>
      </c>
      <c r="AD139" s="123"/>
    </row>
    <row r="140" spans="1:30">
      <c r="A140" s="6" t="str">
        <f t="shared" si="44"/>
        <v/>
      </c>
      <c r="B140" s="80"/>
      <c r="C140" s="80" t="str">
        <f>IF(B140="","",IFERROR(B140+MASTER!$AF$9,""))</f>
        <v/>
      </c>
      <c r="D140" s="46"/>
      <c r="E140" s="47" t="str">
        <f>IF(D140="","",IFERROR(INDEX(PERKARA!$B$5:$B$104,MATCH(D140,PERKARA!$A$5:$A$104,0)),"ID TIDAK TERDAFTAR"))</f>
        <v/>
      </c>
      <c r="F140" s="6"/>
      <c r="G140" s="72"/>
      <c r="H140" s="72"/>
      <c r="I140" s="72"/>
      <c r="J140" s="73" t="str">
        <f t="shared" si="45"/>
        <v/>
      </c>
      <c r="K140" s="73" t="str">
        <f>IF(A140="","",IF(AD140="",0,AD140)+SUMIFS(PEMASUKAN!$H$5:$H$204,PEMASUKAN!$G$5:$G$204,A140))</f>
        <v/>
      </c>
      <c r="L140" s="73" t="str">
        <f t="shared" si="46"/>
        <v/>
      </c>
      <c r="M140" s="81" t="str">
        <f t="shared" ca="1" si="47"/>
        <v/>
      </c>
      <c r="N140" s="9" t="str">
        <f ca="1">IF(A140="","",IF(J140=0,"NILAI BELUM DIISI",IF(L140=0,"Lunas",IF(C140="","Belum Ada Jatuh Tempo",IF(TODAY()&gt;C140,IF(K140&gt;0,"Jatuh Tempo - Dibayar Sebagian","Jatuh Tempo"),IF(K140&gt;0,"Dibayar Sebagian",IF(C140-TODAY()&lt;=MASTER!$AF$5,"Segera Jatuh Tempo","Belum Dibayar")))))))</f>
        <v/>
      </c>
      <c r="O140" s="6" t="str">
        <f>IF(D140="","",IFERROR(INDEX(PERKARA!$D$5:$D$104,MATCH(D140,PERKARA!$A$5:$A$104,0)),""))</f>
        <v/>
      </c>
      <c r="P140" s="10"/>
      <c r="Q140" s="6" t="str">
        <f>IF(D140="","",IFERROR(INDEX(PERKARA!$S$5:$S$104,MATCH(D140,PERKARA!$A$5:$A$104,0)),""))</f>
        <v/>
      </c>
      <c r="R140" s="6"/>
      <c r="S140" s="74" t="str">
        <f t="shared" ca="1" si="48"/>
        <v/>
      </c>
      <c r="T140" s="74" t="str">
        <f t="shared" si="49"/>
        <v/>
      </c>
      <c r="U140" s="74" t="str">
        <f t="shared" si="50"/>
        <v/>
      </c>
      <c r="V140" s="74" t="str">
        <f t="shared" si="51"/>
        <v/>
      </c>
      <c r="W140" s="74" t="str">
        <f t="shared" si="52"/>
        <v/>
      </c>
      <c r="X140" s="67" t="str">
        <f t="shared" si="54"/>
        <v/>
      </c>
      <c r="Y140" s="98"/>
      <c r="Z140" s="98"/>
      <c r="AA140" s="105"/>
      <c r="AB140" s="98"/>
      <c r="AC140" s="104" t="str">
        <f t="shared" si="53"/>
        <v/>
      </c>
      <c r="AD140" s="123"/>
    </row>
    <row r="141" spans="1:30">
      <c r="A141" s="6" t="str">
        <f t="shared" si="44"/>
        <v/>
      </c>
      <c r="B141" s="80"/>
      <c r="C141" s="80" t="str">
        <f>IF(B141="","",IFERROR(B141+MASTER!$AF$9,""))</f>
        <v/>
      </c>
      <c r="D141" s="46"/>
      <c r="E141" s="47" t="str">
        <f>IF(D141="","",IFERROR(INDEX(PERKARA!$B$5:$B$104,MATCH(D141,PERKARA!$A$5:$A$104,0)),"ID TIDAK TERDAFTAR"))</f>
        <v/>
      </c>
      <c r="F141" s="6"/>
      <c r="G141" s="72"/>
      <c r="H141" s="72"/>
      <c r="I141" s="72"/>
      <c r="J141" s="73" t="str">
        <f t="shared" si="45"/>
        <v/>
      </c>
      <c r="K141" s="73" t="str">
        <f>IF(A141="","",IF(AD141="",0,AD141)+SUMIFS(PEMASUKAN!$H$5:$H$204,PEMASUKAN!$G$5:$G$204,A141))</f>
        <v/>
      </c>
      <c r="L141" s="73" t="str">
        <f t="shared" si="46"/>
        <v/>
      </c>
      <c r="M141" s="81" t="str">
        <f t="shared" ca="1" si="47"/>
        <v/>
      </c>
      <c r="N141" s="9" t="str">
        <f ca="1">IF(A141="","",IF(J141=0,"NILAI BELUM DIISI",IF(L141=0,"Lunas",IF(C141="","Belum Ada Jatuh Tempo",IF(TODAY()&gt;C141,IF(K141&gt;0,"Jatuh Tempo - Dibayar Sebagian","Jatuh Tempo"),IF(K141&gt;0,"Dibayar Sebagian",IF(C141-TODAY()&lt;=MASTER!$AF$5,"Segera Jatuh Tempo","Belum Dibayar")))))))</f>
        <v/>
      </c>
      <c r="O141" s="6" t="str">
        <f>IF(D141="","",IFERROR(INDEX(PERKARA!$D$5:$D$104,MATCH(D141,PERKARA!$A$5:$A$104,0)),""))</f>
        <v/>
      </c>
      <c r="P141" s="10"/>
      <c r="Q141" s="6" t="str">
        <f>IF(D141="","",IFERROR(INDEX(PERKARA!$S$5:$S$104,MATCH(D141,PERKARA!$A$5:$A$104,0)),""))</f>
        <v/>
      </c>
      <c r="R141" s="6"/>
      <c r="S141" s="74" t="str">
        <f t="shared" ca="1" si="48"/>
        <v/>
      </c>
      <c r="T141" s="74" t="str">
        <f t="shared" si="49"/>
        <v/>
      </c>
      <c r="U141" s="74" t="str">
        <f t="shared" si="50"/>
        <v/>
      </c>
      <c r="V141" s="74" t="str">
        <f t="shared" si="51"/>
        <v/>
      </c>
      <c r="W141" s="74" t="str">
        <f t="shared" si="52"/>
        <v/>
      </c>
      <c r="X141" s="67" t="str">
        <f t="shared" si="54"/>
        <v/>
      </c>
      <c r="Y141" s="98"/>
      <c r="Z141" s="98"/>
      <c r="AA141" s="105"/>
      <c r="AB141" s="98"/>
      <c r="AC141" s="104" t="str">
        <f t="shared" si="53"/>
        <v/>
      </c>
      <c r="AD141" s="123"/>
    </row>
    <row r="142" spans="1:30">
      <c r="A142" s="6" t="str">
        <f t="shared" si="44"/>
        <v/>
      </c>
      <c r="B142" s="80"/>
      <c r="C142" s="80" t="str">
        <f>IF(B142="","",IFERROR(B142+MASTER!$AF$9,""))</f>
        <v/>
      </c>
      <c r="D142" s="46"/>
      <c r="E142" s="47" t="str">
        <f>IF(D142="","",IFERROR(INDEX(PERKARA!$B$5:$B$104,MATCH(D142,PERKARA!$A$5:$A$104,0)),"ID TIDAK TERDAFTAR"))</f>
        <v/>
      </c>
      <c r="F142" s="6"/>
      <c r="G142" s="72"/>
      <c r="H142" s="72"/>
      <c r="I142" s="72"/>
      <c r="J142" s="73" t="str">
        <f t="shared" si="45"/>
        <v/>
      </c>
      <c r="K142" s="73" t="str">
        <f>IF(A142="","",IF(AD142="",0,AD142)+SUMIFS(PEMASUKAN!$H$5:$H$204,PEMASUKAN!$G$5:$G$204,A142))</f>
        <v/>
      </c>
      <c r="L142" s="73" t="str">
        <f t="shared" si="46"/>
        <v/>
      </c>
      <c r="M142" s="81" t="str">
        <f t="shared" ca="1" si="47"/>
        <v/>
      </c>
      <c r="N142" s="9" t="str">
        <f ca="1">IF(A142="","",IF(J142=0,"NILAI BELUM DIISI",IF(L142=0,"Lunas",IF(C142="","Belum Ada Jatuh Tempo",IF(TODAY()&gt;C142,IF(K142&gt;0,"Jatuh Tempo - Dibayar Sebagian","Jatuh Tempo"),IF(K142&gt;0,"Dibayar Sebagian",IF(C142-TODAY()&lt;=MASTER!$AF$5,"Segera Jatuh Tempo","Belum Dibayar")))))))</f>
        <v/>
      </c>
      <c r="O142" s="6" t="str">
        <f>IF(D142="","",IFERROR(INDEX(PERKARA!$D$5:$D$104,MATCH(D142,PERKARA!$A$5:$A$104,0)),""))</f>
        <v/>
      </c>
      <c r="P142" s="10"/>
      <c r="Q142" s="6" t="str">
        <f>IF(D142="","",IFERROR(INDEX(PERKARA!$S$5:$S$104,MATCH(D142,PERKARA!$A$5:$A$104,0)),""))</f>
        <v/>
      </c>
      <c r="R142" s="6"/>
      <c r="S142" s="74" t="str">
        <f t="shared" ca="1" si="48"/>
        <v/>
      </c>
      <c r="T142" s="74" t="str">
        <f t="shared" si="49"/>
        <v/>
      </c>
      <c r="U142" s="74" t="str">
        <f t="shared" si="50"/>
        <v/>
      </c>
      <c r="V142" s="74" t="str">
        <f t="shared" si="51"/>
        <v/>
      </c>
      <c r="W142" s="74" t="str">
        <f t="shared" si="52"/>
        <v/>
      </c>
      <c r="X142" s="67" t="str">
        <f t="shared" si="54"/>
        <v/>
      </c>
      <c r="Y142" s="98"/>
      <c r="Z142" s="98"/>
      <c r="AA142" s="105"/>
      <c r="AB142" s="98"/>
      <c r="AC142" s="104" t="str">
        <f t="shared" si="53"/>
        <v/>
      </c>
      <c r="AD142" s="123"/>
    </row>
    <row r="143" spans="1:30">
      <c r="A143" s="6" t="str">
        <f t="shared" si="44"/>
        <v/>
      </c>
      <c r="B143" s="80"/>
      <c r="C143" s="80" t="str">
        <f>IF(B143="","",IFERROR(B143+MASTER!$AF$9,""))</f>
        <v/>
      </c>
      <c r="D143" s="46"/>
      <c r="E143" s="47" t="str">
        <f>IF(D143="","",IFERROR(INDEX(PERKARA!$B$5:$B$104,MATCH(D143,PERKARA!$A$5:$A$104,0)),"ID TIDAK TERDAFTAR"))</f>
        <v/>
      </c>
      <c r="F143" s="6"/>
      <c r="G143" s="72"/>
      <c r="H143" s="72"/>
      <c r="I143" s="72"/>
      <c r="J143" s="73" t="str">
        <f t="shared" si="45"/>
        <v/>
      </c>
      <c r="K143" s="73" t="str">
        <f>IF(A143="","",IF(AD143="",0,AD143)+SUMIFS(PEMASUKAN!$H$5:$H$204,PEMASUKAN!$G$5:$G$204,A143))</f>
        <v/>
      </c>
      <c r="L143" s="73" t="str">
        <f t="shared" si="46"/>
        <v/>
      </c>
      <c r="M143" s="81" t="str">
        <f t="shared" ca="1" si="47"/>
        <v/>
      </c>
      <c r="N143" s="9" t="str">
        <f ca="1">IF(A143="","",IF(J143=0,"NILAI BELUM DIISI",IF(L143=0,"Lunas",IF(C143="","Belum Ada Jatuh Tempo",IF(TODAY()&gt;C143,IF(K143&gt;0,"Jatuh Tempo - Dibayar Sebagian","Jatuh Tempo"),IF(K143&gt;0,"Dibayar Sebagian",IF(C143-TODAY()&lt;=MASTER!$AF$5,"Segera Jatuh Tempo","Belum Dibayar")))))))</f>
        <v/>
      </c>
      <c r="O143" s="6" t="str">
        <f>IF(D143="","",IFERROR(INDEX(PERKARA!$D$5:$D$104,MATCH(D143,PERKARA!$A$5:$A$104,0)),""))</f>
        <v/>
      </c>
      <c r="P143" s="10"/>
      <c r="Q143" s="6" t="str">
        <f>IF(D143="","",IFERROR(INDEX(PERKARA!$S$5:$S$104,MATCH(D143,PERKARA!$A$5:$A$104,0)),""))</f>
        <v/>
      </c>
      <c r="R143" s="6"/>
      <c r="S143" s="74" t="str">
        <f t="shared" ca="1" si="48"/>
        <v/>
      </c>
      <c r="T143" s="74" t="str">
        <f t="shared" si="49"/>
        <v/>
      </c>
      <c r="U143" s="74" t="str">
        <f t="shared" si="50"/>
        <v/>
      </c>
      <c r="V143" s="74" t="str">
        <f t="shared" si="51"/>
        <v/>
      </c>
      <c r="W143" s="74" t="str">
        <f t="shared" si="52"/>
        <v/>
      </c>
      <c r="X143" s="67" t="str">
        <f t="shared" si="54"/>
        <v/>
      </c>
      <c r="Y143" s="98"/>
      <c r="Z143" s="98"/>
      <c r="AA143" s="105"/>
      <c r="AB143" s="98"/>
      <c r="AC143" s="104" t="str">
        <f t="shared" si="53"/>
        <v/>
      </c>
      <c r="AD143" s="123"/>
    </row>
    <row r="144" spans="1:30">
      <c r="A144" s="6" t="str">
        <f t="shared" si="44"/>
        <v/>
      </c>
      <c r="B144" s="80"/>
      <c r="C144" s="80" t="str">
        <f>IF(B144="","",IFERROR(B144+MASTER!$AF$9,""))</f>
        <v/>
      </c>
      <c r="D144" s="46"/>
      <c r="E144" s="47" t="str">
        <f>IF(D144="","",IFERROR(INDEX(PERKARA!$B$5:$B$104,MATCH(D144,PERKARA!$A$5:$A$104,0)),"ID TIDAK TERDAFTAR"))</f>
        <v/>
      </c>
      <c r="F144" s="6"/>
      <c r="G144" s="72"/>
      <c r="H144" s="72"/>
      <c r="I144" s="72"/>
      <c r="J144" s="73" t="str">
        <f t="shared" si="45"/>
        <v/>
      </c>
      <c r="K144" s="73" t="str">
        <f>IF(A144="","",IF(AD144="",0,AD144)+SUMIFS(PEMASUKAN!$H$5:$H$204,PEMASUKAN!$G$5:$G$204,A144))</f>
        <v/>
      </c>
      <c r="L144" s="73" t="str">
        <f t="shared" si="46"/>
        <v/>
      </c>
      <c r="M144" s="81" t="str">
        <f t="shared" ca="1" si="47"/>
        <v/>
      </c>
      <c r="N144" s="9" t="str">
        <f ca="1">IF(A144="","",IF(J144=0,"NILAI BELUM DIISI",IF(L144=0,"Lunas",IF(C144="","Belum Ada Jatuh Tempo",IF(TODAY()&gt;C144,IF(K144&gt;0,"Jatuh Tempo - Dibayar Sebagian","Jatuh Tempo"),IF(K144&gt;0,"Dibayar Sebagian",IF(C144-TODAY()&lt;=MASTER!$AF$5,"Segera Jatuh Tempo","Belum Dibayar")))))))</f>
        <v/>
      </c>
      <c r="O144" s="6" t="str">
        <f>IF(D144="","",IFERROR(INDEX(PERKARA!$D$5:$D$104,MATCH(D144,PERKARA!$A$5:$A$104,0)),""))</f>
        <v/>
      </c>
      <c r="P144" s="10"/>
      <c r="Q144" s="6" t="str">
        <f>IF(D144="","",IFERROR(INDEX(PERKARA!$S$5:$S$104,MATCH(D144,PERKARA!$A$5:$A$104,0)),""))</f>
        <v/>
      </c>
      <c r="R144" s="6"/>
      <c r="S144" s="74" t="str">
        <f t="shared" ca="1" si="48"/>
        <v/>
      </c>
      <c r="T144" s="74" t="str">
        <f t="shared" si="49"/>
        <v/>
      </c>
      <c r="U144" s="74" t="str">
        <f t="shared" si="50"/>
        <v/>
      </c>
      <c r="V144" s="74" t="str">
        <f t="shared" si="51"/>
        <v/>
      </c>
      <c r="W144" s="74" t="str">
        <f t="shared" si="52"/>
        <v/>
      </c>
      <c r="X144" s="67" t="str">
        <f t="shared" si="54"/>
        <v/>
      </c>
      <c r="Y144" s="98"/>
      <c r="Z144" s="98"/>
      <c r="AA144" s="105"/>
      <c r="AB144" s="98"/>
      <c r="AC144" s="104" t="str">
        <f t="shared" si="53"/>
        <v/>
      </c>
      <c r="AD144" s="123"/>
    </row>
    <row r="145" spans="1:30">
      <c r="A145" s="6" t="str">
        <f t="shared" si="44"/>
        <v/>
      </c>
      <c r="B145" s="80"/>
      <c r="C145" s="80" t="str">
        <f>IF(B145="","",IFERROR(B145+MASTER!$AF$9,""))</f>
        <v/>
      </c>
      <c r="D145" s="46"/>
      <c r="E145" s="47" t="str">
        <f>IF(D145="","",IFERROR(INDEX(PERKARA!$B$5:$B$104,MATCH(D145,PERKARA!$A$5:$A$104,0)),"ID TIDAK TERDAFTAR"))</f>
        <v/>
      </c>
      <c r="F145" s="6"/>
      <c r="G145" s="72"/>
      <c r="H145" s="72"/>
      <c r="I145" s="72"/>
      <c r="J145" s="73" t="str">
        <f t="shared" si="45"/>
        <v/>
      </c>
      <c r="K145" s="73" t="str">
        <f>IF(A145="","",IF(AD145="",0,AD145)+SUMIFS(PEMASUKAN!$H$5:$H$204,PEMASUKAN!$G$5:$G$204,A145))</f>
        <v/>
      </c>
      <c r="L145" s="73" t="str">
        <f t="shared" si="46"/>
        <v/>
      </c>
      <c r="M145" s="81" t="str">
        <f t="shared" ca="1" si="47"/>
        <v/>
      </c>
      <c r="N145" s="9" t="str">
        <f ca="1">IF(A145="","",IF(J145=0,"NILAI BELUM DIISI",IF(L145=0,"Lunas",IF(C145="","Belum Ada Jatuh Tempo",IF(TODAY()&gt;C145,IF(K145&gt;0,"Jatuh Tempo - Dibayar Sebagian","Jatuh Tempo"),IF(K145&gt;0,"Dibayar Sebagian",IF(C145-TODAY()&lt;=MASTER!$AF$5,"Segera Jatuh Tempo","Belum Dibayar")))))))</f>
        <v/>
      </c>
      <c r="O145" s="6" t="str">
        <f>IF(D145="","",IFERROR(INDEX(PERKARA!$D$5:$D$104,MATCH(D145,PERKARA!$A$5:$A$104,0)),""))</f>
        <v/>
      </c>
      <c r="P145" s="10"/>
      <c r="Q145" s="6" t="str">
        <f>IF(D145="","",IFERROR(INDEX(PERKARA!$S$5:$S$104,MATCH(D145,PERKARA!$A$5:$A$104,0)),""))</f>
        <v/>
      </c>
      <c r="R145" s="6"/>
      <c r="S145" s="74" t="str">
        <f t="shared" ca="1" si="48"/>
        <v/>
      </c>
      <c r="T145" s="74" t="str">
        <f t="shared" si="49"/>
        <v/>
      </c>
      <c r="U145" s="74" t="str">
        <f t="shared" si="50"/>
        <v/>
      </c>
      <c r="V145" s="74" t="str">
        <f t="shared" si="51"/>
        <v/>
      </c>
      <c r="W145" s="74" t="str">
        <f t="shared" si="52"/>
        <v/>
      </c>
      <c r="X145" s="67" t="str">
        <f t="shared" si="54"/>
        <v/>
      </c>
      <c r="Y145" s="98"/>
      <c r="Z145" s="98"/>
      <c r="AA145" s="105"/>
      <c r="AB145" s="98"/>
      <c r="AC145" s="104" t="str">
        <f t="shared" si="53"/>
        <v/>
      </c>
      <c r="AD145" s="123"/>
    </row>
    <row r="146" spans="1:30">
      <c r="A146" s="6" t="str">
        <f t="shared" si="44"/>
        <v/>
      </c>
      <c r="B146" s="80"/>
      <c r="C146" s="80" t="str">
        <f>IF(B146="","",IFERROR(B146+MASTER!$AF$9,""))</f>
        <v/>
      </c>
      <c r="D146" s="46"/>
      <c r="E146" s="47" t="str">
        <f>IF(D146="","",IFERROR(INDEX(PERKARA!$B$5:$B$104,MATCH(D146,PERKARA!$A$5:$A$104,0)),"ID TIDAK TERDAFTAR"))</f>
        <v/>
      </c>
      <c r="F146" s="6"/>
      <c r="G146" s="72"/>
      <c r="H146" s="72"/>
      <c r="I146" s="72"/>
      <c r="J146" s="73" t="str">
        <f t="shared" si="45"/>
        <v/>
      </c>
      <c r="K146" s="73" t="str">
        <f>IF(A146="","",IF(AD146="",0,AD146)+SUMIFS(PEMASUKAN!$H$5:$H$204,PEMASUKAN!$G$5:$G$204,A146))</f>
        <v/>
      </c>
      <c r="L146" s="73" t="str">
        <f t="shared" si="46"/>
        <v/>
      </c>
      <c r="M146" s="81" t="str">
        <f t="shared" ca="1" si="47"/>
        <v/>
      </c>
      <c r="N146" s="9" t="str">
        <f ca="1">IF(A146="","",IF(J146=0,"NILAI BELUM DIISI",IF(L146=0,"Lunas",IF(C146="","Belum Ada Jatuh Tempo",IF(TODAY()&gt;C146,IF(K146&gt;0,"Jatuh Tempo - Dibayar Sebagian","Jatuh Tempo"),IF(K146&gt;0,"Dibayar Sebagian",IF(C146-TODAY()&lt;=MASTER!$AF$5,"Segera Jatuh Tempo","Belum Dibayar")))))))</f>
        <v/>
      </c>
      <c r="O146" s="6" t="str">
        <f>IF(D146="","",IFERROR(INDEX(PERKARA!$D$5:$D$104,MATCH(D146,PERKARA!$A$5:$A$104,0)),""))</f>
        <v/>
      </c>
      <c r="P146" s="10"/>
      <c r="Q146" s="6" t="str">
        <f>IF(D146="","",IFERROR(INDEX(PERKARA!$S$5:$S$104,MATCH(D146,PERKARA!$A$5:$A$104,0)),""))</f>
        <v/>
      </c>
      <c r="R146" s="6"/>
      <c r="S146" s="74" t="str">
        <f t="shared" ca="1" si="48"/>
        <v/>
      </c>
      <c r="T146" s="74" t="str">
        <f t="shared" si="49"/>
        <v/>
      </c>
      <c r="U146" s="74" t="str">
        <f t="shared" si="50"/>
        <v/>
      </c>
      <c r="V146" s="74" t="str">
        <f t="shared" si="51"/>
        <v/>
      </c>
      <c r="W146" s="74" t="str">
        <f t="shared" si="52"/>
        <v/>
      </c>
      <c r="X146" s="67" t="str">
        <f t="shared" si="54"/>
        <v/>
      </c>
      <c r="Y146" s="98"/>
      <c r="Z146" s="98"/>
      <c r="AA146" s="105"/>
      <c r="AB146" s="98"/>
      <c r="AC146" s="104" t="str">
        <f t="shared" si="53"/>
        <v/>
      </c>
      <c r="AD146" s="123"/>
    </row>
    <row r="147" spans="1:30">
      <c r="A147" s="6" t="str">
        <f t="shared" si="44"/>
        <v/>
      </c>
      <c r="B147" s="80"/>
      <c r="C147" s="80" t="str">
        <f>IF(B147="","",IFERROR(B147+MASTER!$AF$9,""))</f>
        <v/>
      </c>
      <c r="D147" s="46"/>
      <c r="E147" s="47" t="str">
        <f>IF(D147="","",IFERROR(INDEX(PERKARA!$B$5:$B$104,MATCH(D147,PERKARA!$A$5:$A$104,0)),"ID TIDAK TERDAFTAR"))</f>
        <v/>
      </c>
      <c r="F147" s="6"/>
      <c r="G147" s="72"/>
      <c r="H147" s="72"/>
      <c r="I147" s="72"/>
      <c r="J147" s="73" t="str">
        <f t="shared" si="45"/>
        <v/>
      </c>
      <c r="K147" s="73" t="str">
        <f>IF(A147="","",IF(AD147="",0,AD147)+SUMIFS(PEMASUKAN!$H$5:$H$204,PEMASUKAN!$G$5:$G$204,A147))</f>
        <v/>
      </c>
      <c r="L147" s="73" t="str">
        <f t="shared" si="46"/>
        <v/>
      </c>
      <c r="M147" s="81" t="str">
        <f t="shared" ca="1" si="47"/>
        <v/>
      </c>
      <c r="N147" s="9" t="str">
        <f ca="1">IF(A147="","",IF(J147=0,"NILAI BELUM DIISI",IF(L147=0,"Lunas",IF(C147="","Belum Ada Jatuh Tempo",IF(TODAY()&gt;C147,IF(K147&gt;0,"Jatuh Tempo - Dibayar Sebagian","Jatuh Tempo"),IF(K147&gt;0,"Dibayar Sebagian",IF(C147-TODAY()&lt;=MASTER!$AF$5,"Segera Jatuh Tempo","Belum Dibayar")))))))</f>
        <v/>
      </c>
      <c r="O147" s="6" t="str">
        <f>IF(D147="","",IFERROR(INDEX(PERKARA!$D$5:$D$104,MATCH(D147,PERKARA!$A$5:$A$104,0)),""))</f>
        <v/>
      </c>
      <c r="P147" s="10"/>
      <c r="Q147" s="6" t="str">
        <f>IF(D147="","",IFERROR(INDEX(PERKARA!$S$5:$S$104,MATCH(D147,PERKARA!$A$5:$A$104,0)),""))</f>
        <v/>
      </c>
      <c r="R147" s="6"/>
      <c r="S147" s="74" t="str">
        <f t="shared" ca="1" si="48"/>
        <v/>
      </c>
      <c r="T147" s="74" t="str">
        <f t="shared" si="49"/>
        <v/>
      </c>
      <c r="U147" s="74" t="str">
        <f t="shared" si="50"/>
        <v/>
      </c>
      <c r="V147" s="74" t="str">
        <f t="shared" si="51"/>
        <v/>
      </c>
      <c r="W147" s="74" t="str">
        <f t="shared" si="52"/>
        <v/>
      </c>
      <c r="X147" s="67" t="str">
        <f t="shared" si="54"/>
        <v/>
      </c>
      <c r="Y147" s="98"/>
      <c r="Z147" s="98"/>
      <c r="AA147" s="105"/>
      <c r="AB147" s="98"/>
      <c r="AC147" s="104" t="str">
        <f t="shared" si="53"/>
        <v/>
      </c>
      <c r="AD147" s="123"/>
    </row>
    <row r="148" spans="1:30">
      <c r="A148" s="6" t="str">
        <f t="shared" si="44"/>
        <v/>
      </c>
      <c r="B148" s="80"/>
      <c r="C148" s="80" t="str">
        <f>IF(B148="","",IFERROR(B148+MASTER!$AF$9,""))</f>
        <v/>
      </c>
      <c r="D148" s="46"/>
      <c r="E148" s="47" t="str">
        <f>IF(D148="","",IFERROR(INDEX(PERKARA!$B$5:$B$104,MATCH(D148,PERKARA!$A$5:$A$104,0)),"ID TIDAK TERDAFTAR"))</f>
        <v/>
      </c>
      <c r="F148" s="6"/>
      <c r="G148" s="72"/>
      <c r="H148" s="72"/>
      <c r="I148" s="72"/>
      <c r="J148" s="73" t="str">
        <f t="shared" si="45"/>
        <v/>
      </c>
      <c r="K148" s="73" t="str">
        <f>IF(A148="","",IF(AD148="",0,AD148)+SUMIFS(PEMASUKAN!$H$5:$H$204,PEMASUKAN!$G$5:$G$204,A148))</f>
        <v/>
      </c>
      <c r="L148" s="73" t="str">
        <f t="shared" si="46"/>
        <v/>
      </c>
      <c r="M148" s="81" t="str">
        <f t="shared" ca="1" si="47"/>
        <v/>
      </c>
      <c r="N148" s="9" t="str">
        <f ca="1">IF(A148="","",IF(J148=0,"NILAI BELUM DIISI",IF(L148=0,"Lunas",IF(C148="","Belum Ada Jatuh Tempo",IF(TODAY()&gt;C148,IF(K148&gt;0,"Jatuh Tempo - Dibayar Sebagian","Jatuh Tempo"),IF(K148&gt;0,"Dibayar Sebagian",IF(C148-TODAY()&lt;=MASTER!$AF$5,"Segera Jatuh Tempo","Belum Dibayar")))))))</f>
        <v/>
      </c>
      <c r="O148" s="6" t="str">
        <f>IF(D148="","",IFERROR(INDEX(PERKARA!$D$5:$D$104,MATCH(D148,PERKARA!$A$5:$A$104,0)),""))</f>
        <v/>
      </c>
      <c r="P148" s="10"/>
      <c r="Q148" s="6" t="str">
        <f>IF(D148="","",IFERROR(INDEX(PERKARA!$S$5:$S$104,MATCH(D148,PERKARA!$A$5:$A$104,0)),""))</f>
        <v/>
      </c>
      <c r="R148" s="6"/>
      <c r="S148" s="74" t="str">
        <f t="shared" ca="1" si="48"/>
        <v/>
      </c>
      <c r="T148" s="74" t="str">
        <f t="shared" si="49"/>
        <v/>
      </c>
      <c r="U148" s="74" t="str">
        <f t="shared" si="50"/>
        <v/>
      </c>
      <c r="V148" s="74" t="str">
        <f t="shared" si="51"/>
        <v/>
      </c>
      <c r="W148" s="74" t="str">
        <f t="shared" si="52"/>
        <v/>
      </c>
      <c r="X148" s="67" t="str">
        <f t="shared" si="54"/>
        <v/>
      </c>
      <c r="Y148" s="98"/>
      <c r="Z148" s="98"/>
      <c r="AA148" s="105"/>
      <c r="AB148" s="98"/>
      <c r="AC148" s="104" t="str">
        <f t="shared" si="53"/>
        <v/>
      </c>
      <c r="AD148" s="123"/>
    </row>
    <row r="149" spans="1:30">
      <c r="A149" s="6" t="str">
        <f t="shared" si="44"/>
        <v/>
      </c>
      <c r="B149" s="80"/>
      <c r="C149" s="80" t="str">
        <f>IF(B149="","",IFERROR(B149+MASTER!$AF$9,""))</f>
        <v/>
      </c>
      <c r="D149" s="46"/>
      <c r="E149" s="47" t="str">
        <f>IF(D149="","",IFERROR(INDEX(PERKARA!$B$5:$B$104,MATCH(D149,PERKARA!$A$5:$A$104,0)),"ID TIDAK TERDAFTAR"))</f>
        <v/>
      </c>
      <c r="F149" s="6"/>
      <c r="G149" s="72"/>
      <c r="H149" s="72"/>
      <c r="I149" s="72"/>
      <c r="J149" s="73" t="str">
        <f t="shared" si="45"/>
        <v/>
      </c>
      <c r="K149" s="73" t="str">
        <f>IF(A149="","",IF(AD149="",0,AD149)+SUMIFS(PEMASUKAN!$H$5:$H$204,PEMASUKAN!$G$5:$G$204,A149))</f>
        <v/>
      </c>
      <c r="L149" s="73" t="str">
        <f t="shared" si="46"/>
        <v/>
      </c>
      <c r="M149" s="81" t="str">
        <f t="shared" ca="1" si="47"/>
        <v/>
      </c>
      <c r="N149" s="9" t="str">
        <f ca="1">IF(A149="","",IF(J149=0,"NILAI BELUM DIISI",IF(L149=0,"Lunas",IF(C149="","Belum Ada Jatuh Tempo",IF(TODAY()&gt;C149,IF(K149&gt;0,"Jatuh Tempo - Dibayar Sebagian","Jatuh Tempo"),IF(K149&gt;0,"Dibayar Sebagian",IF(C149-TODAY()&lt;=MASTER!$AF$5,"Segera Jatuh Tempo","Belum Dibayar")))))))</f>
        <v/>
      </c>
      <c r="O149" s="6" t="str">
        <f>IF(D149="","",IFERROR(INDEX(PERKARA!$D$5:$D$104,MATCH(D149,PERKARA!$A$5:$A$104,0)),""))</f>
        <v/>
      </c>
      <c r="P149" s="10"/>
      <c r="Q149" s="6" t="str">
        <f>IF(D149="","",IFERROR(INDEX(PERKARA!$S$5:$S$104,MATCH(D149,PERKARA!$A$5:$A$104,0)),""))</f>
        <v/>
      </c>
      <c r="R149" s="6"/>
      <c r="S149" s="74" t="str">
        <f t="shared" ca="1" si="48"/>
        <v/>
      </c>
      <c r="T149" s="74" t="str">
        <f t="shared" si="49"/>
        <v/>
      </c>
      <c r="U149" s="74" t="str">
        <f t="shared" si="50"/>
        <v/>
      </c>
      <c r="V149" s="74" t="str">
        <f t="shared" si="51"/>
        <v/>
      </c>
      <c r="W149" s="74" t="str">
        <f t="shared" si="52"/>
        <v/>
      </c>
      <c r="X149" s="67" t="str">
        <f t="shared" si="54"/>
        <v/>
      </c>
      <c r="Y149" s="98"/>
      <c r="Z149" s="98"/>
      <c r="AA149" s="105"/>
      <c r="AB149" s="98"/>
      <c r="AC149" s="104" t="str">
        <f t="shared" si="53"/>
        <v/>
      </c>
      <c r="AD149" s="123"/>
    </row>
    <row r="150" spans="1:30">
      <c r="A150" s="6" t="str">
        <f t="shared" si="44"/>
        <v/>
      </c>
      <c r="B150" s="80"/>
      <c r="C150" s="80" t="str">
        <f>IF(B150="","",IFERROR(B150+MASTER!$AF$9,""))</f>
        <v/>
      </c>
      <c r="D150" s="46"/>
      <c r="E150" s="47" t="str">
        <f>IF(D150="","",IFERROR(INDEX(PERKARA!$B$5:$B$104,MATCH(D150,PERKARA!$A$5:$A$104,0)),"ID TIDAK TERDAFTAR"))</f>
        <v/>
      </c>
      <c r="F150" s="6"/>
      <c r="G150" s="72"/>
      <c r="H150" s="72"/>
      <c r="I150" s="72"/>
      <c r="J150" s="73" t="str">
        <f t="shared" si="45"/>
        <v/>
      </c>
      <c r="K150" s="73" t="str">
        <f>IF(A150="","",IF(AD150="",0,AD150)+SUMIFS(PEMASUKAN!$H$5:$H$204,PEMASUKAN!$G$5:$G$204,A150))</f>
        <v/>
      </c>
      <c r="L150" s="73" t="str">
        <f t="shared" si="46"/>
        <v/>
      </c>
      <c r="M150" s="81" t="str">
        <f t="shared" ca="1" si="47"/>
        <v/>
      </c>
      <c r="N150" s="9" t="str">
        <f ca="1">IF(A150="","",IF(J150=0,"NILAI BELUM DIISI",IF(L150=0,"Lunas",IF(C150="","Belum Ada Jatuh Tempo",IF(TODAY()&gt;C150,IF(K150&gt;0,"Jatuh Tempo - Dibayar Sebagian","Jatuh Tempo"),IF(K150&gt;0,"Dibayar Sebagian",IF(C150-TODAY()&lt;=MASTER!$AF$5,"Segera Jatuh Tempo","Belum Dibayar")))))))</f>
        <v/>
      </c>
      <c r="O150" s="6" t="str">
        <f>IF(D150="","",IFERROR(INDEX(PERKARA!$D$5:$D$104,MATCH(D150,PERKARA!$A$5:$A$104,0)),""))</f>
        <v/>
      </c>
      <c r="P150" s="10"/>
      <c r="Q150" s="6" t="str">
        <f>IF(D150="","",IFERROR(INDEX(PERKARA!$S$5:$S$104,MATCH(D150,PERKARA!$A$5:$A$104,0)),""))</f>
        <v/>
      </c>
      <c r="R150" s="6"/>
      <c r="S150" s="74" t="str">
        <f t="shared" ca="1" si="48"/>
        <v/>
      </c>
      <c r="T150" s="74" t="str">
        <f t="shared" si="49"/>
        <v/>
      </c>
      <c r="U150" s="74" t="str">
        <f t="shared" si="50"/>
        <v/>
      </c>
      <c r="V150" s="74" t="str">
        <f t="shared" si="51"/>
        <v/>
      </c>
      <c r="W150" s="74" t="str">
        <f t="shared" si="52"/>
        <v/>
      </c>
      <c r="X150" s="67" t="str">
        <f t="shared" si="54"/>
        <v/>
      </c>
      <c r="Y150" s="98"/>
      <c r="Z150" s="98"/>
      <c r="AA150" s="105"/>
      <c r="AB150" s="98"/>
      <c r="AC150" s="104" t="str">
        <f t="shared" si="53"/>
        <v/>
      </c>
      <c r="AD150" s="123"/>
    </row>
    <row r="151" spans="1:30">
      <c r="A151" s="6" t="str">
        <f t="shared" si="44"/>
        <v/>
      </c>
      <c r="B151" s="80"/>
      <c r="C151" s="80" t="str">
        <f>IF(B151="","",IFERROR(B151+MASTER!$AF$9,""))</f>
        <v/>
      </c>
      <c r="D151" s="46"/>
      <c r="E151" s="47" t="str">
        <f>IF(D151="","",IFERROR(INDEX(PERKARA!$B$5:$B$104,MATCH(D151,PERKARA!$A$5:$A$104,0)),"ID TIDAK TERDAFTAR"))</f>
        <v/>
      </c>
      <c r="F151" s="6"/>
      <c r="G151" s="72"/>
      <c r="H151" s="72"/>
      <c r="I151" s="72"/>
      <c r="J151" s="73" t="str">
        <f t="shared" si="45"/>
        <v/>
      </c>
      <c r="K151" s="73" t="str">
        <f>IF(A151="","",IF(AD151="",0,AD151)+SUMIFS(PEMASUKAN!$H$5:$H$204,PEMASUKAN!$G$5:$G$204,A151))</f>
        <v/>
      </c>
      <c r="L151" s="73" t="str">
        <f t="shared" si="46"/>
        <v/>
      </c>
      <c r="M151" s="81" t="str">
        <f t="shared" ca="1" si="47"/>
        <v/>
      </c>
      <c r="N151" s="9" t="str">
        <f ca="1">IF(A151="","",IF(J151=0,"NILAI BELUM DIISI",IF(L151=0,"Lunas",IF(C151="","Belum Ada Jatuh Tempo",IF(TODAY()&gt;C151,IF(K151&gt;0,"Jatuh Tempo - Dibayar Sebagian","Jatuh Tempo"),IF(K151&gt;0,"Dibayar Sebagian",IF(C151-TODAY()&lt;=MASTER!$AF$5,"Segera Jatuh Tempo","Belum Dibayar")))))))</f>
        <v/>
      </c>
      <c r="O151" s="6" t="str">
        <f>IF(D151="","",IFERROR(INDEX(PERKARA!$D$5:$D$104,MATCH(D151,PERKARA!$A$5:$A$104,0)),""))</f>
        <v/>
      </c>
      <c r="P151" s="10"/>
      <c r="Q151" s="6" t="str">
        <f>IF(D151="","",IFERROR(INDEX(PERKARA!$S$5:$S$104,MATCH(D151,PERKARA!$A$5:$A$104,0)),""))</f>
        <v/>
      </c>
      <c r="R151" s="6"/>
      <c r="S151" s="74" t="str">
        <f t="shared" ca="1" si="48"/>
        <v/>
      </c>
      <c r="T151" s="74" t="str">
        <f t="shared" si="49"/>
        <v/>
      </c>
      <c r="U151" s="74" t="str">
        <f t="shared" si="50"/>
        <v/>
      </c>
      <c r="V151" s="74" t="str">
        <f t="shared" si="51"/>
        <v/>
      </c>
      <c r="W151" s="74" t="str">
        <f t="shared" si="52"/>
        <v/>
      </c>
      <c r="X151" s="67" t="str">
        <f t="shared" si="54"/>
        <v/>
      </c>
      <c r="Y151" s="98"/>
      <c r="Z151" s="98"/>
      <c r="AA151" s="105"/>
      <c r="AB151" s="98"/>
      <c r="AC151" s="104" t="str">
        <f t="shared" si="53"/>
        <v/>
      </c>
      <c r="AD151" s="123"/>
    </row>
  </sheetData>
  <mergeCells count="2">
    <mergeCell ref="A1:AD2"/>
    <mergeCell ref="A3:AD3"/>
  </mergeCells>
  <conditionalFormatting sqref="E5:E151">
    <cfRule type="containsText" dxfId="20" priority="17" operator="containsText" text="ID TIDAK TERDAFTAR"/>
  </conditionalFormatting>
  <conditionalFormatting sqref="N5:N151">
    <cfRule type="containsText" dxfId="19" priority="5" operator="containsText" text="Lunas"/>
    <cfRule type="containsText" dxfId="18" priority="9" operator="containsText" text="Jatuh Tempo"/>
    <cfRule type="containsText" dxfId="17" priority="14" operator="containsText" text="Sebagian"/>
  </conditionalFormatting>
  <dataValidations count="1">
    <dataValidation type="list" sqref="F5:F151" xr:uid="{00000000-0002-0000-0700-000001000000}">
      <formula1>"Honorarium,Retainer,Success Fee,Konsultasi,Reimburse,Gabungan"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700-000000000000}">
          <x14:formula1>
            <xm:f>PERKARA!$A$5:$A$104</xm:f>
          </x14:formula1>
          <xm:sqref>D5:D151</xm:sqref>
        </x14:dataValidation>
        <x14:dataValidation type="list" xr:uid="{00000000-0002-0000-0700-000002000000}">
          <x14:formula1>
            <xm:f>MASTER!$M$5:$M$8</xm:f>
          </x14:formula1>
          <xm:sqref>Y5:Y151</xm:sqref>
        </x14:dataValidation>
        <x14:dataValidation type="list" xr:uid="{00000000-0002-0000-0700-000003000000}">
          <x14:formula1>
            <xm:f>MASTER!$A$5:$A$7</xm:f>
          </x14:formula1>
          <xm:sqref>Z5:Z151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55"/>
  <sheetViews>
    <sheetView showGridLines="0" topLeftCell="A33" workbookViewId="0">
      <selection sqref="A1:L54"/>
    </sheetView>
  </sheetViews>
  <sheetFormatPr defaultRowHeight="13.8"/>
  <cols>
    <col min="1" max="1" width="3.3984375" customWidth="1"/>
    <col min="2" max="11" width="9.5" customWidth="1"/>
    <col min="12" max="12" width="3.3984375" customWidth="1"/>
  </cols>
  <sheetData>
    <row r="1" spans="1:12" ht="7.95" customHeight="1">
      <c r="A1" s="30"/>
      <c r="B1" s="30"/>
      <c r="C1" s="30"/>
      <c r="D1" s="30"/>
      <c r="E1" s="30"/>
      <c r="F1" s="30"/>
      <c r="G1" s="30"/>
      <c r="H1" s="30"/>
      <c r="I1" s="30"/>
      <c r="J1" s="30"/>
      <c r="K1" s="30"/>
      <c r="L1" s="30"/>
    </row>
    <row r="2" spans="1:12" ht="16.95" customHeight="1">
      <c r="A2" s="31"/>
      <c r="B2" s="32"/>
      <c r="C2" s="32"/>
      <c r="D2" s="32"/>
      <c r="E2" s="32"/>
      <c r="F2" s="32"/>
      <c r="G2" s="32"/>
      <c r="H2" s="32"/>
      <c r="I2" s="32"/>
      <c r="J2" s="32"/>
      <c r="K2" s="32"/>
      <c r="L2" s="33"/>
    </row>
    <row r="3" spans="1:12" ht="16.95" customHeight="1">
      <c r="A3" s="34"/>
      <c r="B3" s="348"/>
      <c r="C3" s="348"/>
      <c r="D3" s="348"/>
      <c r="E3" s="348"/>
      <c r="F3" s="348"/>
      <c r="G3" s="51"/>
      <c r="H3" s="351" t="s">
        <v>402</v>
      </c>
      <c r="I3" s="351" t="s">
        <v>402</v>
      </c>
      <c r="J3" s="351" t="s">
        <v>402</v>
      </c>
      <c r="K3" s="351" t="s">
        <v>402</v>
      </c>
      <c r="L3" s="35"/>
    </row>
    <row r="4" spans="1:12" ht="16.95" customHeight="1">
      <c r="A4" s="34"/>
      <c r="B4" s="348"/>
      <c r="C4" s="348"/>
      <c r="D4" s="348"/>
      <c r="E4" s="348"/>
      <c r="F4" s="348"/>
      <c r="G4" s="51"/>
      <c r="H4" s="352" t="s">
        <v>403</v>
      </c>
      <c r="I4" s="352" t="s">
        <v>403</v>
      </c>
      <c r="J4" s="352" t="s">
        <v>403</v>
      </c>
      <c r="K4" s="352" t="s">
        <v>403</v>
      </c>
      <c r="L4" s="35"/>
    </row>
    <row r="5" spans="1:12" ht="16.95" customHeight="1">
      <c r="A5" s="34"/>
      <c r="B5" s="348"/>
      <c r="C5" s="348"/>
      <c r="D5" s="348"/>
      <c r="E5" s="348"/>
      <c r="F5" s="348"/>
      <c r="G5" s="51"/>
      <c r="H5" s="352" t="s">
        <v>404</v>
      </c>
      <c r="I5" s="352" t="s">
        <v>404</v>
      </c>
      <c r="J5" s="352" t="s">
        <v>404</v>
      </c>
      <c r="K5" s="352" t="s">
        <v>404</v>
      </c>
      <c r="L5" s="35"/>
    </row>
    <row r="6" spans="1:12" ht="16.95" customHeight="1">
      <c r="A6" s="34"/>
      <c r="B6" s="349"/>
      <c r="C6" s="349"/>
      <c r="D6" s="349"/>
      <c r="E6" s="349"/>
      <c r="F6" s="349"/>
      <c r="G6" s="51"/>
      <c r="H6" s="352" t="s">
        <v>405</v>
      </c>
      <c r="I6" s="352" t="s">
        <v>405</v>
      </c>
      <c r="J6" s="352" t="s">
        <v>405</v>
      </c>
      <c r="K6" s="352" t="s">
        <v>405</v>
      </c>
      <c r="L6" s="35"/>
    </row>
    <row r="7" spans="1:12" ht="16.95" customHeight="1">
      <c r="A7" s="34"/>
      <c r="B7" s="350"/>
      <c r="C7" s="350"/>
      <c r="D7" s="350"/>
      <c r="E7" s="350"/>
      <c r="F7" s="350"/>
      <c r="G7" s="51"/>
      <c r="H7" s="352" t="s">
        <v>406</v>
      </c>
      <c r="I7" s="352" t="s">
        <v>406</v>
      </c>
      <c r="J7" s="352" t="s">
        <v>406</v>
      </c>
      <c r="K7" s="352" t="s">
        <v>406</v>
      </c>
      <c r="L7" s="35"/>
    </row>
    <row r="8" spans="1:12" ht="16.95" customHeight="1">
      <c r="A8" s="34"/>
      <c r="B8" s="30"/>
      <c r="C8" s="30"/>
      <c r="D8" s="30"/>
      <c r="E8" s="30"/>
      <c r="F8" s="30"/>
      <c r="G8" s="30"/>
      <c r="H8" s="30"/>
      <c r="I8" s="30"/>
      <c r="J8" s="30"/>
      <c r="K8" s="30"/>
      <c r="L8" s="35"/>
    </row>
    <row r="9" spans="1:12" ht="4.95" customHeight="1">
      <c r="A9" s="34"/>
      <c r="B9" s="40"/>
      <c r="C9" s="40"/>
      <c r="D9" s="40"/>
      <c r="E9" s="40"/>
      <c r="F9" s="40"/>
      <c r="G9" s="40"/>
      <c r="H9" s="40"/>
      <c r="I9" s="40"/>
      <c r="J9" s="41"/>
      <c r="K9" s="41"/>
      <c r="L9" s="35"/>
    </row>
    <row r="10" spans="1:12" ht="16.95" customHeight="1">
      <c r="A10" s="34"/>
      <c r="B10" s="30"/>
      <c r="C10" s="30"/>
      <c r="D10" s="30"/>
      <c r="E10" s="30"/>
      <c r="F10" s="30"/>
      <c r="G10" s="30"/>
      <c r="H10" s="30"/>
      <c r="I10" s="30"/>
      <c r="J10" s="30"/>
      <c r="K10" s="30"/>
      <c r="L10" s="35"/>
    </row>
    <row r="11" spans="1:12" ht="16.95" customHeight="1">
      <c r="A11" s="34"/>
      <c r="B11" s="336" t="s">
        <v>407</v>
      </c>
      <c r="C11" s="336" t="s">
        <v>407</v>
      </c>
      <c r="D11" s="336" t="s">
        <v>407</v>
      </c>
      <c r="E11" s="336" t="s">
        <v>407</v>
      </c>
      <c r="F11" s="336" t="s">
        <v>407</v>
      </c>
      <c r="G11" s="336" t="s">
        <v>407</v>
      </c>
      <c r="H11" s="336" t="s">
        <v>407</v>
      </c>
      <c r="I11" s="338" t="s">
        <v>408</v>
      </c>
      <c r="J11" s="339" t="s">
        <v>408</v>
      </c>
      <c r="K11" s="340" t="s">
        <v>408</v>
      </c>
      <c r="L11" s="35"/>
    </row>
    <row r="12" spans="1:12" ht="16.95" customHeight="1">
      <c r="A12" s="34"/>
      <c r="B12" s="336" t="s">
        <v>407</v>
      </c>
      <c r="C12" s="336" t="s">
        <v>407</v>
      </c>
      <c r="D12" s="336" t="s">
        <v>407</v>
      </c>
      <c r="E12" s="336" t="s">
        <v>407</v>
      </c>
      <c r="F12" s="336" t="s">
        <v>407</v>
      </c>
      <c r="G12" s="336" t="s">
        <v>407</v>
      </c>
      <c r="H12" s="336" t="s">
        <v>407</v>
      </c>
      <c r="I12" s="341" t="s">
        <v>1020</v>
      </c>
      <c r="J12" s="342"/>
      <c r="K12" s="343"/>
      <c r="L12" s="35"/>
    </row>
    <row r="13" spans="1:12" ht="16.95" customHeight="1">
      <c r="A13" s="34"/>
      <c r="B13" s="336" t="s">
        <v>407</v>
      </c>
      <c r="C13" s="336" t="s">
        <v>407</v>
      </c>
      <c r="D13" s="336" t="s">
        <v>407</v>
      </c>
      <c r="E13" s="336" t="s">
        <v>407</v>
      </c>
      <c r="F13" s="336" t="s">
        <v>407</v>
      </c>
      <c r="G13" s="336" t="s">
        <v>407</v>
      </c>
      <c r="H13" s="336" t="s">
        <v>407</v>
      </c>
      <c r="I13" s="344"/>
      <c r="J13" s="345"/>
      <c r="K13" s="346"/>
      <c r="L13" s="35"/>
    </row>
    <row r="14" spans="1:12" ht="16.95" customHeight="1">
      <c r="A14" s="34"/>
      <c r="B14" s="337"/>
      <c r="C14" s="337" t="s">
        <v>409</v>
      </c>
      <c r="D14" s="337" t="s">
        <v>409</v>
      </c>
      <c r="E14" s="337" t="s">
        <v>409</v>
      </c>
      <c r="F14" s="337" t="s">
        <v>409</v>
      </c>
      <c r="G14" s="337" t="s">
        <v>409</v>
      </c>
      <c r="H14" s="337" t="s">
        <v>409</v>
      </c>
      <c r="I14" s="347"/>
      <c r="J14" s="347" t="s">
        <v>410</v>
      </c>
      <c r="K14" s="347" t="s">
        <v>410</v>
      </c>
      <c r="L14" s="35"/>
    </row>
    <row r="15" spans="1:12" ht="16.95" customHeight="1">
      <c r="A15" s="34"/>
      <c r="B15" s="30"/>
      <c r="C15" s="30"/>
      <c r="D15" s="30"/>
      <c r="E15" s="30"/>
      <c r="F15" s="30"/>
      <c r="G15" s="30"/>
      <c r="H15" s="30"/>
      <c r="I15" s="30"/>
      <c r="J15" s="30"/>
      <c r="K15" s="30"/>
      <c r="L15" s="35"/>
    </row>
    <row r="16" spans="1:12" ht="16.95" customHeight="1">
      <c r="A16" s="34"/>
      <c r="B16" s="316" t="s">
        <v>411</v>
      </c>
      <c r="C16" s="316" t="s">
        <v>411</v>
      </c>
      <c r="D16" s="316" t="s">
        <v>411</v>
      </c>
      <c r="E16" s="316" t="s">
        <v>411</v>
      </c>
      <c r="F16" s="316" t="s">
        <v>411</v>
      </c>
      <c r="G16" s="316" t="s">
        <v>412</v>
      </c>
      <c r="H16" s="316" t="s">
        <v>412</v>
      </c>
      <c r="I16" s="316" t="s">
        <v>412</v>
      </c>
      <c r="J16" s="316" t="s">
        <v>413</v>
      </c>
      <c r="K16" s="316" t="s">
        <v>413</v>
      </c>
      <c r="L16" s="35"/>
    </row>
    <row r="17" spans="1:12" ht="16.95" customHeight="1">
      <c r="A17" s="34"/>
      <c r="B17" s="331" t="str">
        <f>IF($I$12="","",IFERROR(INDEX(INVOICE_PIUTANG!$E$5:$E$151,MATCH($I$12,INVOICE_PIUTANG!$A$5:$A$151,0)),""))</f>
        <v>PT KKG</v>
      </c>
      <c r="C17" s="331"/>
      <c r="D17" s="331"/>
      <c r="E17" s="331"/>
      <c r="F17" s="331"/>
      <c r="G17" s="333">
        <f>IF($I$12="","",IFERROR(INDEX(INVOICE_PIUTANG!$B$5:$B$151,MATCH($I$12,INVOICE_PIUTANG!$A$5:$A$151,0)),""))</f>
        <v>46258</v>
      </c>
      <c r="H17" s="334"/>
      <c r="I17" s="334"/>
      <c r="J17" s="333">
        <f>IF($I$12="","",IFERROR(INDEX(INVOICE_PIUTANG!$C$5:$C$151,MATCH($I$12,INVOICE_PIUTANG!$A$5:$A$151,0)),""))</f>
        <v>46263</v>
      </c>
      <c r="K17" s="334"/>
      <c r="L17" s="35"/>
    </row>
    <row r="18" spans="1:12" ht="16.95" customHeight="1">
      <c r="A18" s="34"/>
      <c r="B18" s="332">
        <f>IF(B21="","",IFERROR(INDEX(PERKARA!$T$5:$T$104,MATCH(B21,PERKARA!$A$5:$A$104,0)),""))</f>
        <v>0</v>
      </c>
      <c r="C18" s="332"/>
      <c r="D18" s="332"/>
      <c r="E18" s="332"/>
      <c r="F18" s="332"/>
      <c r="G18" s="335"/>
      <c r="H18" s="335"/>
      <c r="I18" s="335"/>
      <c r="J18" s="335"/>
      <c r="K18" s="335"/>
      <c r="L18" s="35"/>
    </row>
    <row r="19" spans="1:12" ht="16.95" customHeight="1">
      <c r="A19" s="34"/>
      <c r="B19" s="30">
        <f>IF(B21="","",IFERROR(INDEX(PERKARA!$U$5:$U$104,MATCH(B21,PERKARA!$A$5:$A$104,0)),""))</f>
        <v>0</v>
      </c>
      <c r="C19" s="30"/>
      <c r="D19" s="30"/>
      <c r="E19" s="30"/>
      <c r="F19" s="30"/>
      <c r="G19" s="30"/>
      <c r="H19" s="30"/>
      <c r="I19" s="30"/>
      <c r="J19" s="30"/>
      <c r="K19" s="30"/>
      <c r="L19" s="35"/>
    </row>
    <row r="20" spans="1:12" ht="16.95" customHeight="1">
      <c r="A20" s="34"/>
      <c r="B20" s="312" t="s">
        <v>414</v>
      </c>
      <c r="C20" s="312" t="s">
        <v>414</v>
      </c>
      <c r="D20" s="312" t="s">
        <v>414</v>
      </c>
      <c r="E20" s="312" t="s">
        <v>415</v>
      </c>
      <c r="F20" s="312" t="s">
        <v>415</v>
      </c>
      <c r="G20" s="312" t="s">
        <v>415</v>
      </c>
      <c r="H20" s="312" t="s">
        <v>415</v>
      </c>
      <c r="I20" s="312" t="s">
        <v>416</v>
      </c>
      <c r="J20" s="312" t="s">
        <v>416</v>
      </c>
      <c r="K20" s="312" t="s">
        <v>416</v>
      </c>
      <c r="L20" s="35"/>
    </row>
    <row r="21" spans="1:12" ht="16.95" customHeight="1">
      <c r="A21" s="34"/>
      <c r="B21" s="330" t="str">
        <f>IF($I$12="","",IFERROR(INDEX(INVOICE_PIUTANG!$D$5:$D$151,MATCH($I$12,INVOICE_PIUTANG!$A$5:$A$151,0)),""))</f>
        <v>001/2026</v>
      </c>
      <c r="C21" s="330"/>
      <c r="D21" s="330"/>
      <c r="E21" s="330" t="str">
        <f>IF($I$12="","",IFERROR(INDEX(INVOICE_PIUTANG!$F$5:$F$151,MATCH($I$12,INVOICE_PIUTANG!$A$5:$A$151,0)),""))</f>
        <v>Honorarium</v>
      </c>
      <c r="F21" s="330"/>
      <c r="G21" s="330"/>
      <c r="H21" s="330"/>
      <c r="I21" s="330" t="str">
        <f ca="1">IF($I$12="","",IFERROR(INDEX(INVOICE_PIUTANG!$N$5:$N$151,MATCH($I$12,INVOICE_PIUTANG!$A$5:$A$151,0)),""))</f>
        <v>Segera Jatuh Tempo</v>
      </c>
      <c r="J21" s="330"/>
      <c r="K21" s="330"/>
      <c r="L21" s="35"/>
    </row>
    <row r="22" spans="1:12" ht="16.95" customHeight="1">
      <c r="A22" s="34"/>
      <c r="B22" s="30"/>
      <c r="C22" s="30"/>
      <c r="D22" s="30"/>
      <c r="E22" s="30"/>
      <c r="F22" s="30"/>
      <c r="G22" s="30"/>
      <c r="H22" s="30"/>
      <c r="I22" s="30"/>
      <c r="J22" s="30"/>
      <c r="K22" s="30"/>
      <c r="L22" s="35"/>
    </row>
    <row r="23" spans="1:12" ht="16.95" customHeight="1">
      <c r="A23" s="34"/>
      <c r="B23" s="324" t="s">
        <v>417</v>
      </c>
      <c r="C23" s="326" t="s">
        <v>418</v>
      </c>
      <c r="D23" s="326" t="s">
        <v>418</v>
      </c>
      <c r="E23" s="326" t="s">
        <v>418</v>
      </c>
      <c r="F23" s="326" t="s">
        <v>418</v>
      </c>
      <c r="G23" s="326" t="s">
        <v>418</v>
      </c>
      <c r="H23" s="326" t="s">
        <v>418</v>
      </c>
      <c r="I23" s="326" t="s">
        <v>419</v>
      </c>
      <c r="J23" s="326" t="s">
        <v>420</v>
      </c>
      <c r="K23" s="328" t="s">
        <v>420</v>
      </c>
      <c r="L23" s="35"/>
    </row>
    <row r="24" spans="1:12" ht="16.95" customHeight="1">
      <c r="A24" s="34"/>
      <c r="B24" s="325" t="s">
        <v>417</v>
      </c>
      <c r="C24" s="327" t="s">
        <v>418</v>
      </c>
      <c r="D24" s="327" t="s">
        <v>418</v>
      </c>
      <c r="E24" s="327" t="s">
        <v>418</v>
      </c>
      <c r="F24" s="327" t="s">
        <v>418</v>
      </c>
      <c r="G24" s="327" t="s">
        <v>418</v>
      </c>
      <c r="H24" s="327" t="s">
        <v>418</v>
      </c>
      <c r="I24" s="327" t="s">
        <v>419</v>
      </c>
      <c r="J24" s="327" t="s">
        <v>420</v>
      </c>
      <c r="K24" s="329" t="s">
        <v>420</v>
      </c>
      <c r="L24" s="35"/>
    </row>
    <row r="25" spans="1:12" ht="22.05" customHeight="1">
      <c r="A25" s="34"/>
      <c r="B25" s="43">
        <v>1</v>
      </c>
      <c r="C25" s="319" t="str">
        <f>IF($I$12="","Honorarium / jasa hukum",IFERROR(INDEX(PERKARA!$C$5:$C$104,MATCH(B21,PERKARA!$A$5:$A$104,0)),"Honorarium / jasa hukum"))</f>
        <v>Pendampingan Hukum Korporasi dan Penyelesaian Sengketa Internal PT Kembang Kembar Grup</v>
      </c>
      <c r="D25" s="319" t="s">
        <v>421</v>
      </c>
      <c r="E25" s="319" t="s">
        <v>421</v>
      </c>
      <c r="F25" s="319" t="s">
        <v>421</v>
      </c>
      <c r="G25" s="319" t="s">
        <v>421</v>
      </c>
      <c r="H25" s="319" t="s">
        <v>421</v>
      </c>
      <c r="I25" s="42">
        <f>IF(OR($I$12="",J25="",J25=0),"",1)</f>
        <v>1</v>
      </c>
      <c r="J25" s="315">
        <f>IF($I$12="","",IFERROR(INDEX(INVOICE_PIUTANG!$G$5:$G$151,MATCH($I$12,INVOICE_PIUTANG!$A$5:$A$151,0)),""))</f>
        <v>33500000</v>
      </c>
      <c r="K25" s="323"/>
      <c r="L25" s="35"/>
    </row>
    <row r="26" spans="1:12" ht="22.05" customHeight="1">
      <c r="A26" s="34"/>
      <c r="B26" s="43">
        <v>2</v>
      </c>
      <c r="C26" s="319" t="s">
        <v>422</v>
      </c>
      <c r="D26" s="319" t="s">
        <v>422</v>
      </c>
      <c r="E26" s="319" t="s">
        <v>422</v>
      </c>
      <c r="F26" s="319" t="s">
        <v>422</v>
      </c>
      <c r="G26" s="319" t="s">
        <v>422</v>
      </c>
      <c r="H26" s="319" t="s">
        <v>422</v>
      </c>
      <c r="I26" s="42" t="str">
        <f t="shared" ref="I26:I27" si="0">IF(OR($I$12="",J26="",J26=0),"",1)</f>
        <v/>
      </c>
      <c r="J26" s="315">
        <f>IF($I$12="","",IFERROR(INDEX(INVOICE_PIUTANG!$H$5:$H$151,MATCH($I$12,INVOICE_PIUTANG!$A$5:$A$151,0)),""))</f>
        <v>0</v>
      </c>
      <c r="K26" s="323"/>
      <c r="L26" s="35"/>
    </row>
    <row r="27" spans="1:12" ht="22.05" customHeight="1">
      <c r="A27" s="34"/>
      <c r="B27" s="43">
        <v>3</v>
      </c>
      <c r="C27" s="319" t="s">
        <v>423</v>
      </c>
      <c r="D27" s="319" t="s">
        <v>423</v>
      </c>
      <c r="E27" s="319" t="s">
        <v>423</v>
      </c>
      <c r="F27" s="319" t="s">
        <v>423</v>
      </c>
      <c r="G27" s="319" t="s">
        <v>423</v>
      </c>
      <c r="H27" s="319" t="s">
        <v>423</v>
      </c>
      <c r="I27" s="42" t="str">
        <f t="shared" si="0"/>
        <v/>
      </c>
      <c r="J27" s="315">
        <f>IF($I$12="","",IFERROR(INDEX(INVOICE_PIUTANG!$I$5:$I$151,MATCH($I$12,INVOICE_PIUTANG!$A$5:$A$151,0)),""))</f>
        <v>0</v>
      </c>
      <c r="K27" s="323"/>
      <c r="L27" s="35"/>
    </row>
    <row r="28" spans="1:12" ht="19.95" customHeight="1">
      <c r="A28" s="34"/>
      <c r="B28" s="43"/>
      <c r="C28" s="319"/>
      <c r="D28" s="319"/>
      <c r="E28" s="319"/>
      <c r="F28" s="319"/>
      <c r="G28" s="319"/>
      <c r="H28" s="319"/>
      <c r="I28" s="42"/>
      <c r="J28" s="319"/>
      <c r="K28" s="320"/>
      <c r="L28" s="35"/>
    </row>
    <row r="29" spans="1:12" ht="19.95" customHeight="1">
      <c r="A29" s="34"/>
      <c r="B29" s="43"/>
      <c r="C29" s="319"/>
      <c r="D29" s="319"/>
      <c r="E29" s="319"/>
      <c r="F29" s="319"/>
      <c r="G29" s="319"/>
      <c r="H29" s="319"/>
      <c r="I29" s="42"/>
      <c r="J29" s="319"/>
      <c r="K29" s="320"/>
      <c r="L29" s="35"/>
    </row>
    <row r="30" spans="1:12" ht="19.95" customHeight="1">
      <c r="A30" s="34"/>
      <c r="B30" s="44"/>
      <c r="C30" s="321"/>
      <c r="D30" s="321"/>
      <c r="E30" s="321"/>
      <c r="F30" s="321"/>
      <c r="G30" s="321"/>
      <c r="H30" s="321"/>
      <c r="I30" s="45"/>
      <c r="J30" s="321"/>
      <c r="K30" s="322"/>
      <c r="L30" s="35"/>
    </row>
    <row r="31" spans="1:12" ht="16.95" customHeight="1">
      <c r="A31" s="34"/>
      <c r="B31" s="30"/>
      <c r="C31" s="30"/>
      <c r="D31" s="30"/>
      <c r="E31" s="30"/>
      <c r="F31" s="30"/>
      <c r="G31" s="30"/>
      <c r="H31" s="30"/>
      <c r="I31" s="30"/>
      <c r="J31" s="30"/>
      <c r="K31" s="30"/>
      <c r="L31" s="35"/>
    </row>
    <row r="32" spans="1:12" ht="16.95" customHeight="1">
      <c r="A32" s="34"/>
      <c r="B32" s="30"/>
      <c r="C32" s="30"/>
      <c r="D32" s="30"/>
      <c r="E32" s="30"/>
      <c r="F32" s="30"/>
      <c r="G32" s="312" t="s">
        <v>424</v>
      </c>
      <c r="H32" s="312" t="s">
        <v>424</v>
      </c>
      <c r="I32" s="312" t="s">
        <v>424</v>
      </c>
      <c r="J32" s="315">
        <f>IF($I$12="","",IFERROR(INDEX(INVOICE_PIUTANG!$J$5:$J$151,MATCH($I$12,INVOICE_PIUTANG!$A$5:$A$151,0)),""))</f>
        <v>33500000</v>
      </c>
      <c r="K32" s="315"/>
      <c r="L32" s="35"/>
    </row>
    <row r="33" spans="1:12" ht="16.95" customHeight="1">
      <c r="A33" s="34"/>
      <c r="B33" s="30"/>
      <c r="C33" s="30"/>
      <c r="D33" s="30"/>
      <c r="E33" s="30"/>
      <c r="F33" s="30"/>
      <c r="G33" s="312" t="s">
        <v>425</v>
      </c>
      <c r="H33" s="312" t="s">
        <v>425</v>
      </c>
      <c r="I33" s="312" t="s">
        <v>425</v>
      </c>
      <c r="J33" s="315">
        <f>IF($I$12="","",IFERROR(INDEX(INVOICE_PIUTANG!$K$5:$K$151,MATCH($I$12,INVOICE_PIUTANG!$A$5:$A$151,0)),""))</f>
        <v>0</v>
      </c>
      <c r="K33" s="315"/>
      <c r="L33" s="35"/>
    </row>
    <row r="34" spans="1:12" ht="16.95" customHeight="1">
      <c r="A34" s="34"/>
      <c r="B34" s="30"/>
      <c r="C34" s="30"/>
      <c r="D34" s="30"/>
      <c r="E34" s="30"/>
      <c r="F34" s="30"/>
      <c r="G34" s="30"/>
      <c r="H34" s="30"/>
      <c r="I34" s="30"/>
      <c r="J34" s="30"/>
      <c r="K34" s="30"/>
      <c r="L34" s="35"/>
    </row>
    <row r="35" spans="1:12" ht="19.05" customHeight="1">
      <c r="A35" s="34"/>
      <c r="B35" s="316" t="s">
        <v>426</v>
      </c>
      <c r="C35" s="316" t="s">
        <v>426</v>
      </c>
      <c r="D35" s="316" t="s">
        <v>426</v>
      </c>
      <c r="E35" s="316" t="s">
        <v>426</v>
      </c>
      <c r="F35" s="316" t="s">
        <v>426</v>
      </c>
      <c r="G35" s="316" t="s">
        <v>426</v>
      </c>
      <c r="H35" s="316" t="s">
        <v>426</v>
      </c>
      <c r="I35" s="317">
        <f>IF($I$12="","",IFERROR(INDEX(INVOICE_PIUTANG!$L$5:$L$151,MATCH($I$12,INVOICE_PIUTANG!$A$5:$A$151,0)),""))</f>
        <v>33500000</v>
      </c>
      <c r="J35" s="317"/>
      <c r="K35" s="317"/>
      <c r="L35" s="35"/>
    </row>
    <row r="36" spans="1:12" ht="19.05" customHeight="1">
      <c r="A36" s="34"/>
      <c r="B36" s="316" t="s">
        <v>426</v>
      </c>
      <c r="C36" s="316" t="s">
        <v>426</v>
      </c>
      <c r="D36" s="316" t="s">
        <v>426</v>
      </c>
      <c r="E36" s="316" t="s">
        <v>426</v>
      </c>
      <c r="F36" s="316" t="s">
        <v>426</v>
      </c>
      <c r="G36" s="316" t="s">
        <v>426</v>
      </c>
      <c r="H36" s="316" t="s">
        <v>426</v>
      </c>
      <c r="I36" s="318"/>
      <c r="J36" s="318"/>
      <c r="K36" s="318"/>
      <c r="L36" s="35"/>
    </row>
    <row r="37" spans="1:12" ht="16.95" customHeight="1">
      <c r="A37" s="34"/>
      <c r="B37" s="30"/>
      <c r="C37" s="30"/>
      <c r="D37" s="30"/>
      <c r="E37" s="30"/>
      <c r="F37" s="30"/>
      <c r="G37" s="30"/>
      <c r="H37" s="30"/>
      <c r="I37" s="30"/>
      <c r="J37" s="30"/>
      <c r="K37" s="30"/>
      <c r="L37" s="35"/>
    </row>
    <row r="38" spans="1:12" ht="16.95" customHeight="1">
      <c r="A38" s="34"/>
      <c r="B38" s="316" t="s">
        <v>427</v>
      </c>
      <c r="C38" s="316" t="s">
        <v>427</v>
      </c>
      <c r="D38" s="316" t="s">
        <v>427</v>
      </c>
      <c r="E38" s="316" t="s">
        <v>427</v>
      </c>
      <c r="F38" s="316" t="s">
        <v>427</v>
      </c>
      <c r="G38" s="316" t="s">
        <v>428</v>
      </c>
      <c r="H38" s="316" t="s">
        <v>428</v>
      </c>
      <c r="I38" s="316" t="s">
        <v>428</v>
      </c>
      <c r="J38" s="316" t="s">
        <v>428</v>
      </c>
      <c r="K38" s="316" t="s">
        <v>428</v>
      </c>
      <c r="L38" s="35"/>
    </row>
    <row r="39" spans="1:12" ht="16.95" customHeight="1">
      <c r="A39" s="34"/>
      <c r="B39" s="312" t="s">
        <v>429</v>
      </c>
      <c r="C39" s="312" t="s">
        <v>429</v>
      </c>
      <c r="D39" s="313" t="str">
        <f>IF(MASTER!AF10="","Lengkapi pada MASTER",MASTER!AF10)</f>
        <v>Bank Central Asia</v>
      </c>
      <c r="E39" s="313"/>
      <c r="F39" s="313"/>
      <c r="G39" s="301" t="str">
        <f>IF($I$12="","",IFERROR(INDEX(INVOICE_PIUTANG!$R$5:$R$151,MATCH($I$12,INVOICE_PIUTANG!$A$5:$A$151,0)),""))</f>
        <v>Pembayaran Termin Ke 2 (dua) 20%, dan Pembayaran Kekurangan Termin ke 1 (satu) Sebesar Rp.500.000</v>
      </c>
      <c r="H39" s="302"/>
      <c r="I39" s="302"/>
      <c r="J39" s="302"/>
      <c r="K39" s="303"/>
      <c r="L39" s="35"/>
    </row>
    <row r="40" spans="1:12" ht="16.95" customHeight="1">
      <c r="A40" s="34"/>
      <c r="B40" s="312" t="s">
        <v>430</v>
      </c>
      <c r="C40" s="312" t="s">
        <v>430</v>
      </c>
      <c r="D40" s="313">
        <f>IF(MASTER!AF11="","",MASTER!AF11)</f>
        <v>8090324935</v>
      </c>
      <c r="E40" s="313"/>
      <c r="F40" s="313"/>
      <c r="G40" s="304"/>
      <c r="H40" s="305"/>
      <c r="I40" s="305"/>
      <c r="J40" s="305"/>
      <c r="K40" s="306"/>
      <c r="L40" s="35"/>
    </row>
    <row r="41" spans="1:12" ht="16.95" customHeight="1">
      <c r="A41" s="34"/>
      <c r="B41" s="312" t="s">
        <v>431</v>
      </c>
      <c r="C41" s="312" t="s">
        <v>431</v>
      </c>
      <c r="D41" s="313" t="str">
        <f>IF(MASTER!AF12="","",MASTER!AF12)</f>
        <v>Muhamad Fajar Roni</v>
      </c>
      <c r="E41" s="313"/>
      <c r="F41" s="313"/>
      <c r="G41" s="304"/>
      <c r="H41" s="305"/>
      <c r="I41" s="305"/>
      <c r="J41" s="305"/>
      <c r="K41" s="306"/>
      <c r="L41" s="35"/>
    </row>
    <row r="42" spans="1:12" ht="16.95" customHeight="1">
      <c r="A42" s="34"/>
      <c r="B42" s="30"/>
      <c r="C42" s="30"/>
      <c r="D42" s="30"/>
      <c r="E42" s="30"/>
      <c r="F42" s="30"/>
      <c r="G42" s="307"/>
      <c r="H42" s="308"/>
      <c r="I42" s="308"/>
      <c r="J42" s="308"/>
      <c r="K42" s="309"/>
      <c r="L42" s="35"/>
    </row>
    <row r="43" spans="1:12" ht="16.95" customHeight="1">
      <c r="A43" s="34"/>
      <c r="B43" s="30"/>
      <c r="C43" s="30"/>
      <c r="D43" s="30"/>
      <c r="E43" s="30"/>
      <c r="F43" s="30"/>
      <c r="G43" s="30"/>
      <c r="H43" s="30"/>
      <c r="I43" s="30"/>
      <c r="J43" s="30"/>
      <c r="K43" s="30"/>
      <c r="L43" s="35"/>
    </row>
    <row r="44" spans="1:12" ht="16.95" customHeight="1">
      <c r="A44" s="34"/>
      <c r="B44" s="310" t="s">
        <v>432</v>
      </c>
      <c r="C44" s="310" t="s">
        <v>432</v>
      </c>
      <c r="D44" s="310" t="s">
        <v>432</v>
      </c>
      <c r="E44" s="310" t="s">
        <v>432</v>
      </c>
      <c r="F44" s="310" t="s">
        <v>432</v>
      </c>
      <c r="G44" s="178"/>
      <c r="H44" s="299" t="str">
        <f>IF($I$12="","Bandung, ____________________","Bandung, "&amp;TEXT(G17,"dd mmmm yyyy"))</f>
        <v>Bandung, 24 August 2026</v>
      </c>
      <c r="I44" s="299"/>
      <c r="J44" s="299"/>
      <c r="K44" s="178"/>
      <c r="L44" s="35"/>
    </row>
    <row r="45" spans="1:12" ht="16.95" customHeight="1">
      <c r="A45" s="34"/>
      <c r="B45" s="310" t="s">
        <v>433</v>
      </c>
      <c r="C45" s="310" t="s">
        <v>433</v>
      </c>
      <c r="D45" s="310" t="s">
        <v>433</v>
      </c>
      <c r="E45" s="310" t="s">
        <v>433</v>
      </c>
      <c r="F45" s="310" t="s">
        <v>433</v>
      </c>
      <c r="G45" s="311"/>
      <c r="H45" s="311"/>
      <c r="I45" s="311"/>
      <c r="J45" s="311"/>
      <c r="K45" s="311"/>
      <c r="L45" s="35"/>
    </row>
    <row r="46" spans="1:12" ht="16.95" customHeight="1">
      <c r="A46" s="34"/>
      <c r="B46" s="30"/>
      <c r="C46" s="30"/>
      <c r="D46" s="30"/>
      <c r="E46" s="30"/>
      <c r="F46" s="30"/>
      <c r="G46" s="311"/>
      <c r="H46" s="311"/>
      <c r="I46" s="311"/>
      <c r="J46" s="311"/>
      <c r="K46" s="311"/>
      <c r="L46" s="35"/>
    </row>
    <row r="47" spans="1:12" ht="16.95" customHeight="1">
      <c r="A47" s="34"/>
      <c r="B47" s="30"/>
      <c r="C47" s="30"/>
      <c r="D47" s="30"/>
      <c r="E47" s="30"/>
      <c r="F47" s="30"/>
      <c r="G47" s="311"/>
      <c r="H47" s="311"/>
      <c r="I47" s="311"/>
      <c r="J47" s="311"/>
      <c r="K47" s="311"/>
      <c r="L47" s="35"/>
    </row>
    <row r="48" spans="1:12" ht="16.95" customHeight="1">
      <c r="A48" s="34"/>
      <c r="B48" s="30"/>
      <c r="C48" s="30"/>
      <c r="D48" s="30"/>
      <c r="E48" s="30"/>
      <c r="F48" s="30"/>
      <c r="G48" s="311"/>
      <c r="H48" s="311"/>
      <c r="I48" s="311"/>
      <c r="J48" s="311"/>
      <c r="K48" s="311"/>
      <c r="L48" s="35"/>
    </row>
    <row r="49" spans="1:12" ht="16.95" customHeight="1" thickBot="1">
      <c r="A49" s="34"/>
      <c r="B49" s="30"/>
      <c r="C49" s="30"/>
      <c r="D49" s="30"/>
      <c r="E49" s="30"/>
      <c r="F49" s="30"/>
      <c r="G49" s="30"/>
      <c r="H49" s="314" t="str">
        <f>IF($I$12="","",IFERROR(IF(INDEX(INVOICE_PIUTANG!$Z$5:$Z$151,MATCH($I$12,INVOICE_PIUTANG!$A$5:$A$151,0))="","[menunggu persetujuan manual]",INDEX(INVOICE_PIUTANG!$Z$5:$Z$151,MATCH($I$12,INVOICE_PIUTANG!$A$5:$A$151,0))),""))</f>
        <v>Fajar Roni</v>
      </c>
      <c r="I49" s="314"/>
      <c r="J49" s="314"/>
      <c r="K49" s="30"/>
      <c r="L49" s="35"/>
    </row>
    <row r="50" spans="1:12" ht="16.95" customHeight="1">
      <c r="A50" s="34"/>
      <c r="B50" s="30"/>
      <c r="C50" s="30"/>
      <c r="D50" s="30"/>
      <c r="E50" s="30"/>
      <c r="F50" s="30"/>
      <c r="G50" s="299" t="s">
        <v>1022</v>
      </c>
      <c r="H50" s="299" t="s">
        <v>434</v>
      </c>
      <c r="I50" s="299" t="s">
        <v>434</v>
      </c>
      <c r="J50" s="299" t="s">
        <v>434</v>
      </c>
      <c r="K50" s="299" t="s">
        <v>434</v>
      </c>
      <c r="L50" s="35"/>
    </row>
    <row r="51" spans="1:12" ht="4.05" customHeight="1">
      <c r="A51" s="34"/>
      <c r="B51" s="40"/>
      <c r="C51" s="40"/>
      <c r="D51" s="40"/>
      <c r="E51" s="40"/>
      <c r="F51" s="40"/>
      <c r="G51" s="40"/>
      <c r="H51" s="40"/>
      <c r="I51" s="40"/>
      <c r="J51" s="41"/>
      <c r="K51" s="41"/>
      <c r="L51" s="35"/>
    </row>
    <row r="52" spans="1:12" ht="16.95" customHeight="1">
      <c r="A52" s="34"/>
      <c r="B52" s="300"/>
      <c r="C52" s="300" t="s">
        <v>435</v>
      </c>
      <c r="D52" s="300" t="s">
        <v>435</v>
      </c>
      <c r="E52" s="300" t="s">
        <v>435</v>
      </c>
      <c r="F52" s="300" t="s">
        <v>435</v>
      </c>
      <c r="G52" s="300" t="s">
        <v>435</v>
      </c>
      <c r="H52" s="300" t="s">
        <v>435</v>
      </c>
      <c r="I52" s="300" t="s">
        <v>435</v>
      </c>
      <c r="J52" s="300" t="s">
        <v>435</v>
      </c>
      <c r="K52" s="300" t="s">
        <v>435</v>
      </c>
      <c r="L52" s="35"/>
    </row>
    <row r="53" spans="1:12" ht="16.95" customHeight="1">
      <c r="A53" s="34"/>
      <c r="B53" s="300" t="s">
        <v>435</v>
      </c>
      <c r="C53" s="300" t="s">
        <v>435</v>
      </c>
      <c r="D53" s="300" t="s">
        <v>435</v>
      </c>
      <c r="E53" s="300" t="s">
        <v>435</v>
      </c>
      <c r="F53" s="300" t="s">
        <v>435</v>
      </c>
      <c r="G53" s="300" t="s">
        <v>435</v>
      </c>
      <c r="H53" s="300" t="s">
        <v>435</v>
      </c>
      <c r="I53" s="300" t="s">
        <v>435</v>
      </c>
      <c r="J53" s="300" t="s">
        <v>435</v>
      </c>
      <c r="K53" s="300" t="s">
        <v>435</v>
      </c>
      <c r="L53" s="35"/>
    </row>
    <row r="54" spans="1:12" ht="16.95" customHeight="1">
      <c r="A54" s="36"/>
      <c r="B54" s="37"/>
      <c r="C54" s="37"/>
      <c r="D54" s="37"/>
      <c r="E54" s="37"/>
      <c r="F54" s="37"/>
      <c r="G54" s="37"/>
      <c r="H54" s="37"/>
      <c r="I54" s="37"/>
      <c r="J54" s="37"/>
      <c r="K54" s="37"/>
      <c r="L54" s="38"/>
    </row>
    <row r="55" spans="1:12" ht="7.95" customHeight="1">
      <c r="A55" s="30"/>
      <c r="B55" s="30"/>
      <c r="C55" s="30"/>
      <c r="D55" s="30"/>
      <c r="E55" s="30"/>
      <c r="F55" s="30"/>
      <c r="G55" s="30"/>
      <c r="H55" s="30"/>
      <c r="I55" s="30"/>
      <c r="J55" s="30"/>
      <c r="K55" s="30"/>
      <c r="L55" s="30"/>
    </row>
  </sheetData>
  <mergeCells count="63">
    <mergeCell ref="B3:F5"/>
    <mergeCell ref="B6:F6"/>
    <mergeCell ref="B7:F7"/>
    <mergeCell ref="H3:K3"/>
    <mergeCell ref="H4:K4"/>
    <mergeCell ref="H5:K5"/>
    <mergeCell ref="H6:K6"/>
    <mergeCell ref="H7:K7"/>
    <mergeCell ref="B11:H13"/>
    <mergeCell ref="B14:H14"/>
    <mergeCell ref="I11:K11"/>
    <mergeCell ref="I12:K13"/>
    <mergeCell ref="I14:K14"/>
    <mergeCell ref="B16:F16"/>
    <mergeCell ref="G16:I16"/>
    <mergeCell ref="J16:K16"/>
    <mergeCell ref="B17:F18"/>
    <mergeCell ref="G17:I18"/>
    <mergeCell ref="J17:K18"/>
    <mergeCell ref="B20:D20"/>
    <mergeCell ref="E20:H20"/>
    <mergeCell ref="I20:K20"/>
    <mergeCell ref="B21:D21"/>
    <mergeCell ref="E21:H21"/>
    <mergeCell ref="I21:K21"/>
    <mergeCell ref="B23:B24"/>
    <mergeCell ref="C23:H24"/>
    <mergeCell ref="I23:I24"/>
    <mergeCell ref="J23:K24"/>
    <mergeCell ref="C25:H25"/>
    <mergeCell ref="J25:K25"/>
    <mergeCell ref="C26:H26"/>
    <mergeCell ref="J26:K26"/>
    <mergeCell ref="C27:H27"/>
    <mergeCell ref="J27:K27"/>
    <mergeCell ref="C28:H28"/>
    <mergeCell ref="J28:K28"/>
    <mergeCell ref="C29:H29"/>
    <mergeCell ref="J29:K29"/>
    <mergeCell ref="C30:H30"/>
    <mergeCell ref="J30:K30"/>
    <mergeCell ref="G32:I32"/>
    <mergeCell ref="J32:K32"/>
    <mergeCell ref="G33:I33"/>
    <mergeCell ref="J33:K33"/>
    <mergeCell ref="B35:H36"/>
    <mergeCell ref="I35:K36"/>
    <mergeCell ref="B38:F38"/>
    <mergeCell ref="G38:K38"/>
    <mergeCell ref="G50:K50"/>
    <mergeCell ref="B52:K53"/>
    <mergeCell ref="G39:K42"/>
    <mergeCell ref="B44:F44"/>
    <mergeCell ref="B45:F45"/>
    <mergeCell ref="G45:K48"/>
    <mergeCell ref="B39:C39"/>
    <mergeCell ref="D39:F39"/>
    <mergeCell ref="B40:C40"/>
    <mergeCell ref="D40:F40"/>
    <mergeCell ref="B41:C41"/>
    <mergeCell ref="D41:F41"/>
    <mergeCell ref="H49:J49"/>
    <mergeCell ref="H44:J44"/>
  </mergeCells>
  <conditionalFormatting sqref="I21:K21">
    <cfRule type="containsText" dxfId="16" priority="1" operator="containsText" text="Lunas"/>
    <cfRule type="containsText" dxfId="15" priority="2" operator="containsText" text="Jatuh"/>
    <cfRule type="containsText" dxfId="14" priority="3" operator="containsText" text="Lunas"/>
    <cfRule type="containsText" dxfId="13" priority="4" operator="containsText" text="Jatuh"/>
  </conditionalFormatting>
  <dataValidations count="1">
    <dataValidation type="list" sqref="I12" xr:uid="{00000000-0002-0000-1200-000000000000}">
      <formula1>INDIRECT("'INVOICE_PIUTANG'!$A$5:$A$154")</formula1>
    </dataValidation>
  </dataValidations>
  <pageMargins left="0.7" right="0.7" top="0.75" bottom="0.75" header="0.3" footer="0.3"/>
  <pageSetup scale="7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54"/>
  <sheetViews>
    <sheetView showGridLines="0" workbookViewId="0">
      <selection activeCell="E25" sqref="E25"/>
    </sheetView>
  </sheetViews>
  <sheetFormatPr defaultRowHeight="13.8"/>
  <cols>
    <col min="1" max="1" width="22" customWidth="1"/>
    <col min="2" max="2" width="15" customWidth="1"/>
    <col min="3" max="3" width="27" customWidth="1"/>
    <col min="4" max="4" width="20" customWidth="1"/>
    <col min="5" max="5" width="27" customWidth="1"/>
    <col min="6" max="6" width="38" customWidth="1"/>
    <col min="7" max="8" width="20" customWidth="1"/>
    <col min="9" max="10" width="22" customWidth="1"/>
    <col min="11" max="11" width="28" customWidth="1"/>
    <col min="12" max="14" width="21" customWidth="1"/>
    <col min="15" max="15" width="36" customWidth="1"/>
    <col min="17" max="19" width="21" customWidth="1"/>
  </cols>
  <sheetData>
    <row r="1" spans="1:19" ht="25.05" customHeight="1">
      <c r="A1" s="282" t="s">
        <v>190</v>
      </c>
      <c r="B1" s="282" t="s">
        <v>190</v>
      </c>
      <c r="C1" s="282" t="s">
        <v>190</v>
      </c>
      <c r="D1" s="282" t="s">
        <v>190</v>
      </c>
      <c r="E1" s="282" t="s">
        <v>190</v>
      </c>
      <c r="F1" s="282" t="s">
        <v>190</v>
      </c>
      <c r="G1" s="282" t="s">
        <v>190</v>
      </c>
      <c r="H1" s="282" t="s">
        <v>190</v>
      </c>
      <c r="I1" s="282" t="s">
        <v>190</v>
      </c>
      <c r="J1" s="282" t="s">
        <v>190</v>
      </c>
      <c r="K1" s="282" t="s">
        <v>190</v>
      </c>
      <c r="L1" s="282" t="s">
        <v>190</v>
      </c>
      <c r="M1" s="282" t="s">
        <v>190</v>
      </c>
      <c r="N1" s="282" t="s">
        <v>190</v>
      </c>
      <c r="O1" s="282" t="s">
        <v>190</v>
      </c>
      <c r="P1" s="283"/>
      <c r="Q1" s="283"/>
      <c r="R1" s="283"/>
      <c r="S1" s="283"/>
    </row>
    <row r="2" spans="1:19" ht="25.05" customHeight="1">
      <c r="A2" s="282" t="s">
        <v>190</v>
      </c>
      <c r="B2" s="282" t="s">
        <v>190</v>
      </c>
      <c r="C2" s="282" t="s">
        <v>190</v>
      </c>
      <c r="D2" s="282" t="s">
        <v>190</v>
      </c>
      <c r="E2" s="282" t="s">
        <v>190</v>
      </c>
      <c r="F2" s="282" t="s">
        <v>190</v>
      </c>
      <c r="G2" s="282" t="s">
        <v>190</v>
      </c>
      <c r="H2" s="282" t="s">
        <v>190</v>
      </c>
      <c r="I2" s="282" t="s">
        <v>190</v>
      </c>
      <c r="J2" s="282" t="s">
        <v>190</v>
      </c>
      <c r="K2" s="282" t="s">
        <v>190</v>
      </c>
      <c r="L2" s="282" t="s">
        <v>190</v>
      </c>
      <c r="M2" s="282" t="s">
        <v>190</v>
      </c>
      <c r="N2" s="282" t="s">
        <v>190</v>
      </c>
      <c r="O2" s="282" t="s">
        <v>190</v>
      </c>
      <c r="P2" s="283"/>
      <c r="Q2" s="283"/>
      <c r="R2" s="283"/>
      <c r="S2" s="283"/>
    </row>
    <row r="3" spans="1:19" ht="30" customHeight="1">
      <c r="A3" s="284" t="s">
        <v>612</v>
      </c>
      <c r="B3" s="284" t="s">
        <v>191</v>
      </c>
      <c r="C3" s="284" t="s">
        <v>191</v>
      </c>
      <c r="D3" s="284" t="s">
        <v>191</v>
      </c>
      <c r="E3" s="284" t="s">
        <v>191</v>
      </c>
      <c r="F3" s="284" t="s">
        <v>191</v>
      </c>
      <c r="G3" s="284" t="s">
        <v>191</v>
      </c>
      <c r="H3" s="284" t="s">
        <v>191</v>
      </c>
      <c r="I3" s="284" t="s">
        <v>191</v>
      </c>
      <c r="J3" s="284" t="s">
        <v>191</v>
      </c>
      <c r="K3" s="284" t="s">
        <v>191</v>
      </c>
      <c r="L3" s="284" t="s">
        <v>191</v>
      </c>
      <c r="M3" s="284" t="s">
        <v>191</v>
      </c>
      <c r="N3" s="284" t="s">
        <v>191</v>
      </c>
      <c r="O3" s="284" t="s">
        <v>191</v>
      </c>
      <c r="P3" s="285"/>
      <c r="Q3" s="285"/>
      <c r="R3" s="285"/>
      <c r="S3" s="285"/>
    </row>
    <row r="4" spans="1:19" ht="34.950000000000003" customHeight="1">
      <c r="A4" s="7" t="s">
        <v>192</v>
      </c>
      <c r="B4" s="7" t="s">
        <v>99</v>
      </c>
      <c r="C4" s="7" t="s">
        <v>63</v>
      </c>
      <c r="D4" s="7" t="s">
        <v>62</v>
      </c>
      <c r="E4" s="7" t="s">
        <v>193</v>
      </c>
      <c r="F4" s="7" t="s">
        <v>194</v>
      </c>
      <c r="G4" s="7" t="s">
        <v>195</v>
      </c>
      <c r="H4" s="7" t="s">
        <v>196</v>
      </c>
      <c r="I4" s="7" t="s">
        <v>197</v>
      </c>
      <c r="J4" s="7" t="s">
        <v>198</v>
      </c>
      <c r="K4" s="7" t="s">
        <v>199</v>
      </c>
      <c r="L4" s="100" t="s">
        <v>587</v>
      </c>
      <c r="M4" s="100" t="s">
        <v>589</v>
      </c>
      <c r="N4" s="7" t="s">
        <v>200</v>
      </c>
      <c r="O4" s="7" t="s">
        <v>79</v>
      </c>
      <c r="P4" s="66" t="s">
        <v>581</v>
      </c>
      <c r="Q4" s="101" t="s">
        <v>590</v>
      </c>
      <c r="R4" s="101" t="s">
        <v>591</v>
      </c>
      <c r="S4" s="101" t="s">
        <v>585</v>
      </c>
    </row>
    <row r="5" spans="1:19">
      <c r="A5" s="9" t="str">
        <f t="shared" ref="A5:A36" si="0">IF(B5="","",IFERROR("TRUST-"&amp;TEXT(B5,"yyyymmdd")&amp;"-"&amp;TEXT(ROW()-4,"000"),"TANGGAL TIDAK VALID"))</f>
        <v/>
      </c>
      <c r="B5" s="10"/>
      <c r="C5" s="47" t="str">
        <f>IF(D5="","",IFERROR(INDEX(PERKARA!$B$5:$B$104,MATCH(D5,PERKARA!$A$5:$A$104,0)),"ID TIDAK TERDAFTAR"))</f>
        <v/>
      </c>
      <c r="D5" s="46"/>
      <c r="E5" s="6"/>
      <c r="F5" s="6"/>
      <c r="G5" s="11"/>
      <c r="H5" s="11"/>
      <c r="I5" s="12" t="str">
        <f>IF(C5="","",SUMIFS($G$5:G5,$C$5:C5,C5)-SUMIFS($H$5:H5,$C$5:C5,C5))</f>
        <v/>
      </c>
      <c r="J5" s="6"/>
      <c r="K5" s="6"/>
      <c r="L5" s="103"/>
      <c r="M5" s="103"/>
      <c r="N5" s="6"/>
      <c r="O5" s="6"/>
      <c r="P5" s="67" t="str">
        <f t="shared" ref="P5:P36" si="1">IF(B5="","",IF(D5="","PERKARA BELUM DIISI",IF(C5="ID TIDAK TERDAFTAR","PERKARA TIDAK VALID",IF(I5&lt;0,"SALDO DANA KLIEN NEGATIF",IF(J5="","AKUN DANA KLIEN BELUM DIISI",IF(AND(H5&gt;0,S5&lt;&gt;"LENGKAP"),"DANA KELUAR TANPA OTORISASI","OK"))))))</f>
        <v/>
      </c>
      <c r="Q5" s="105"/>
      <c r="R5" s="98"/>
      <c r="S5" s="104" t="str">
        <f t="shared" ref="S5:S36" si="2">IF(B5="","",IF(L5="Ditolak","DITOLAK",IF(AND(L5="Disetujui",M5&lt;&gt;""),"LENGKAP",IF(L5="Disetujui","NAMA PENYETUJU BELUM DIISI","MENUNGGU PERSETUJUAN MANUAL"))))</f>
        <v/>
      </c>
    </row>
    <row r="6" spans="1:19">
      <c r="A6" s="9" t="str">
        <f t="shared" si="0"/>
        <v/>
      </c>
      <c r="B6" s="10"/>
      <c r="C6" s="47" t="str">
        <f>IF(D6="","",IFERROR(INDEX(PERKARA!$B$5:$B$104,MATCH(D6,PERKARA!$A$5:$A$104,0)),"ID TIDAK TERDAFTAR"))</f>
        <v/>
      </c>
      <c r="D6" s="46"/>
      <c r="E6" s="6"/>
      <c r="F6" s="6"/>
      <c r="G6" s="11"/>
      <c r="H6" s="11"/>
      <c r="I6" s="12" t="str">
        <f>IF(C6="","",SUMIFS($G$5:G6,$C$5:C6,C6)-SUMIFS($H$5:H6,$C$5:C6,C6))</f>
        <v/>
      </c>
      <c r="J6" s="6"/>
      <c r="K6" s="6"/>
      <c r="L6" s="103"/>
      <c r="M6" s="103"/>
      <c r="N6" s="6"/>
      <c r="O6" s="6"/>
      <c r="P6" s="67" t="str">
        <f t="shared" si="1"/>
        <v/>
      </c>
      <c r="Q6" s="105"/>
      <c r="R6" s="98"/>
      <c r="S6" s="104" t="str">
        <f t="shared" si="2"/>
        <v/>
      </c>
    </row>
    <row r="7" spans="1:19">
      <c r="A7" s="9" t="str">
        <f t="shared" si="0"/>
        <v/>
      </c>
      <c r="B7" s="10"/>
      <c r="C7" s="47" t="str">
        <f>IF(D7="","",IFERROR(INDEX(PERKARA!$B$5:$B$104,MATCH(D7,PERKARA!$A$5:$A$104,0)),"ID TIDAK TERDAFTAR"))</f>
        <v/>
      </c>
      <c r="D7" s="46"/>
      <c r="E7" s="6"/>
      <c r="F7" s="6"/>
      <c r="G7" s="11"/>
      <c r="H7" s="11"/>
      <c r="I7" s="12" t="str">
        <f>IF(C7="","",SUMIFS($G$5:G7,$C$5:C7,C7)-SUMIFS($H$5:H7,$C$5:C7,C7))</f>
        <v/>
      </c>
      <c r="J7" s="6"/>
      <c r="K7" s="6"/>
      <c r="L7" s="103"/>
      <c r="M7" s="103"/>
      <c r="N7" s="6"/>
      <c r="O7" s="6"/>
      <c r="P7" s="67" t="str">
        <f t="shared" si="1"/>
        <v/>
      </c>
      <c r="Q7" s="105"/>
      <c r="R7" s="98"/>
      <c r="S7" s="104" t="str">
        <f t="shared" si="2"/>
        <v/>
      </c>
    </row>
    <row r="8" spans="1:19">
      <c r="A8" s="9" t="str">
        <f t="shared" si="0"/>
        <v/>
      </c>
      <c r="B8" s="10"/>
      <c r="C8" s="47" t="str">
        <f>IF(D8="","",IFERROR(INDEX(PERKARA!$B$5:$B$104,MATCH(D8,PERKARA!$A$5:$A$104,0)),"ID TIDAK TERDAFTAR"))</f>
        <v/>
      </c>
      <c r="D8" s="46"/>
      <c r="E8" s="6"/>
      <c r="F8" s="6"/>
      <c r="G8" s="11"/>
      <c r="H8" s="11"/>
      <c r="I8" s="12" t="str">
        <f>IF(C8="","",SUMIFS($G$5:G8,$C$5:C8,C8)-SUMIFS($H$5:H8,$C$5:C8,C8))</f>
        <v/>
      </c>
      <c r="J8" s="6"/>
      <c r="K8" s="6"/>
      <c r="L8" s="103"/>
      <c r="M8" s="103"/>
      <c r="N8" s="6"/>
      <c r="O8" s="6"/>
      <c r="P8" s="67" t="str">
        <f t="shared" si="1"/>
        <v/>
      </c>
      <c r="Q8" s="105"/>
      <c r="R8" s="98"/>
      <c r="S8" s="104" t="str">
        <f t="shared" si="2"/>
        <v/>
      </c>
    </row>
    <row r="9" spans="1:19">
      <c r="A9" s="9" t="str">
        <f t="shared" si="0"/>
        <v/>
      </c>
      <c r="B9" s="10"/>
      <c r="C9" s="47" t="str">
        <f>IF(D9="","",IFERROR(INDEX(PERKARA!$B$5:$B$104,MATCH(D9,PERKARA!$A$5:$A$104,0)),"ID TIDAK TERDAFTAR"))</f>
        <v/>
      </c>
      <c r="D9" s="46"/>
      <c r="E9" s="6"/>
      <c r="F9" s="6"/>
      <c r="G9" s="11"/>
      <c r="H9" s="11"/>
      <c r="I9" s="12" t="str">
        <f>IF(C9="","",SUMIFS($G$5:G9,$C$5:C9,C9)-SUMIFS($H$5:H9,$C$5:C9,C9))</f>
        <v/>
      </c>
      <c r="J9" s="6"/>
      <c r="K9" s="6"/>
      <c r="L9" s="103"/>
      <c r="M9" s="103"/>
      <c r="N9" s="6"/>
      <c r="O9" s="6"/>
      <c r="P9" s="67" t="str">
        <f t="shared" si="1"/>
        <v/>
      </c>
      <c r="Q9" s="105"/>
      <c r="R9" s="98"/>
      <c r="S9" s="104" t="str">
        <f t="shared" si="2"/>
        <v/>
      </c>
    </row>
    <row r="10" spans="1:19">
      <c r="A10" s="9" t="str">
        <f t="shared" si="0"/>
        <v/>
      </c>
      <c r="B10" s="10"/>
      <c r="C10" s="47" t="str">
        <f>IF(D10="","",IFERROR(INDEX(PERKARA!$B$5:$B$104,MATCH(D10,PERKARA!$A$5:$A$104,0)),"ID TIDAK TERDAFTAR"))</f>
        <v/>
      </c>
      <c r="D10" s="46"/>
      <c r="E10" s="6"/>
      <c r="F10" s="6"/>
      <c r="G10" s="11"/>
      <c r="H10" s="11"/>
      <c r="I10" s="12" t="str">
        <f>IF(C10="","",SUMIFS($G$5:G10,$C$5:C10,C10)-SUMIFS($H$5:H10,$C$5:C10,C10))</f>
        <v/>
      </c>
      <c r="J10" s="6"/>
      <c r="K10" s="6"/>
      <c r="L10" s="103"/>
      <c r="M10" s="103"/>
      <c r="N10" s="6"/>
      <c r="O10" s="6"/>
      <c r="P10" s="67" t="str">
        <f t="shared" si="1"/>
        <v/>
      </c>
      <c r="Q10" s="105"/>
      <c r="R10" s="98"/>
      <c r="S10" s="104" t="str">
        <f t="shared" si="2"/>
        <v/>
      </c>
    </row>
    <row r="11" spans="1:19">
      <c r="A11" s="9" t="str">
        <f t="shared" si="0"/>
        <v/>
      </c>
      <c r="B11" s="10"/>
      <c r="C11" s="47" t="str">
        <f>IF(D11="","",IFERROR(INDEX(PERKARA!$B$5:$B$104,MATCH(D11,PERKARA!$A$5:$A$104,0)),"ID TIDAK TERDAFTAR"))</f>
        <v/>
      </c>
      <c r="D11" s="46"/>
      <c r="E11" s="6"/>
      <c r="F11" s="6"/>
      <c r="G11" s="11"/>
      <c r="H11" s="11"/>
      <c r="I11" s="12" t="str">
        <f>IF(C11="","",SUMIFS($G$5:G11,$C$5:C11,C11)-SUMIFS($H$5:H11,$C$5:C11,C11))</f>
        <v/>
      </c>
      <c r="J11" s="6"/>
      <c r="K11" s="6"/>
      <c r="L11" s="103"/>
      <c r="M11" s="103"/>
      <c r="N11" s="6"/>
      <c r="O11" s="6"/>
      <c r="P11" s="67" t="str">
        <f t="shared" si="1"/>
        <v/>
      </c>
      <c r="Q11" s="105"/>
      <c r="R11" s="98"/>
      <c r="S11" s="104" t="str">
        <f t="shared" si="2"/>
        <v/>
      </c>
    </row>
    <row r="12" spans="1:19">
      <c r="A12" s="9" t="str">
        <f t="shared" si="0"/>
        <v/>
      </c>
      <c r="B12" s="10"/>
      <c r="C12" s="47" t="str">
        <f>IF(D12="","",IFERROR(INDEX(PERKARA!$B$5:$B$104,MATCH(D12,PERKARA!$A$5:$A$104,0)),"ID TIDAK TERDAFTAR"))</f>
        <v/>
      </c>
      <c r="D12" s="46"/>
      <c r="E12" s="6"/>
      <c r="F12" s="6"/>
      <c r="G12" s="11"/>
      <c r="H12" s="11"/>
      <c r="I12" s="12" t="str">
        <f>IF(C12="","",SUMIFS($G$5:G12,$C$5:C12,C12)-SUMIFS($H$5:H12,$C$5:C12,C12))</f>
        <v/>
      </c>
      <c r="J12" s="6"/>
      <c r="K12" s="6"/>
      <c r="L12" s="103"/>
      <c r="M12" s="103"/>
      <c r="N12" s="6"/>
      <c r="O12" s="6"/>
      <c r="P12" s="67" t="str">
        <f t="shared" si="1"/>
        <v/>
      </c>
      <c r="Q12" s="105"/>
      <c r="R12" s="98"/>
      <c r="S12" s="104" t="str">
        <f t="shared" si="2"/>
        <v/>
      </c>
    </row>
    <row r="13" spans="1:19">
      <c r="A13" s="9" t="str">
        <f t="shared" si="0"/>
        <v/>
      </c>
      <c r="B13" s="10"/>
      <c r="C13" s="47" t="str">
        <f>IF(D13="","",IFERROR(INDEX(PERKARA!$B$5:$B$104,MATCH(D13,PERKARA!$A$5:$A$104,0)),"ID TIDAK TERDAFTAR"))</f>
        <v/>
      </c>
      <c r="D13" s="46"/>
      <c r="E13" s="6"/>
      <c r="F13" s="6"/>
      <c r="G13" s="11"/>
      <c r="H13" s="11"/>
      <c r="I13" s="12" t="str">
        <f>IF(C13="","",SUMIFS($G$5:G13,$C$5:C13,C13)-SUMIFS($H$5:H13,$C$5:C13,C13))</f>
        <v/>
      </c>
      <c r="J13" s="6"/>
      <c r="K13" s="6"/>
      <c r="L13" s="103"/>
      <c r="M13" s="103"/>
      <c r="N13" s="6"/>
      <c r="O13" s="6"/>
      <c r="P13" s="67" t="str">
        <f t="shared" si="1"/>
        <v/>
      </c>
      <c r="Q13" s="105"/>
      <c r="R13" s="98"/>
      <c r="S13" s="104" t="str">
        <f t="shared" si="2"/>
        <v/>
      </c>
    </row>
    <row r="14" spans="1:19">
      <c r="A14" s="9" t="str">
        <f t="shared" si="0"/>
        <v/>
      </c>
      <c r="B14" s="10"/>
      <c r="C14" s="47" t="str">
        <f>IF(D14="","",IFERROR(INDEX(PERKARA!$B$5:$B$104,MATCH(D14,PERKARA!$A$5:$A$104,0)),"ID TIDAK TERDAFTAR"))</f>
        <v/>
      </c>
      <c r="D14" s="46"/>
      <c r="E14" s="6"/>
      <c r="F14" s="6"/>
      <c r="G14" s="11"/>
      <c r="H14" s="11"/>
      <c r="I14" s="12" t="str">
        <f>IF(C14="","",SUMIFS($G$5:G14,$C$5:C14,C14)-SUMIFS($H$5:H14,$C$5:C14,C14))</f>
        <v/>
      </c>
      <c r="J14" s="6"/>
      <c r="K14" s="6"/>
      <c r="L14" s="103"/>
      <c r="M14" s="103"/>
      <c r="N14" s="6"/>
      <c r="O14" s="6"/>
      <c r="P14" s="67" t="str">
        <f t="shared" si="1"/>
        <v/>
      </c>
      <c r="Q14" s="105"/>
      <c r="R14" s="98"/>
      <c r="S14" s="104" t="str">
        <f t="shared" si="2"/>
        <v/>
      </c>
    </row>
    <row r="15" spans="1:19">
      <c r="A15" s="9" t="str">
        <f t="shared" si="0"/>
        <v/>
      </c>
      <c r="B15" s="10"/>
      <c r="C15" s="47" t="str">
        <f>IF(D15="","",IFERROR(INDEX(PERKARA!$B$5:$B$104,MATCH(D15,PERKARA!$A$5:$A$104,0)),"ID TIDAK TERDAFTAR"))</f>
        <v/>
      </c>
      <c r="D15" s="46"/>
      <c r="E15" s="6"/>
      <c r="F15" s="6"/>
      <c r="G15" s="11"/>
      <c r="H15" s="11"/>
      <c r="I15" s="12" t="str">
        <f>IF(C15="","",SUMIFS($G$5:G15,$C$5:C15,C15)-SUMIFS($H$5:H15,$C$5:C15,C15))</f>
        <v/>
      </c>
      <c r="J15" s="6"/>
      <c r="K15" s="6"/>
      <c r="L15" s="103"/>
      <c r="M15" s="103"/>
      <c r="N15" s="6"/>
      <c r="O15" s="6"/>
      <c r="P15" s="67" t="str">
        <f t="shared" si="1"/>
        <v/>
      </c>
      <c r="Q15" s="105"/>
      <c r="R15" s="98"/>
      <c r="S15" s="104" t="str">
        <f t="shared" si="2"/>
        <v/>
      </c>
    </row>
    <row r="16" spans="1:19">
      <c r="A16" s="9" t="str">
        <f t="shared" si="0"/>
        <v/>
      </c>
      <c r="B16" s="10"/>
      <c r="C16" s="47" t="str">
        <f>IF(D16="","",IFERROR(INDEX(PERKARA!$B$5:$B$104,MATCH(D16,PERKARA!$A$5:$A$104,0)),"ID TIDAK TERDAFTAR"))</f>
        <v/>
      </c>
      <c r="D16" s="46"/>
      <c r="E16" s="6"/>
      <c r="F16" s="6"/>
      <c r="G16" s="11"/>
      <c r="H16" s="11"/>
      <c r="I16" s="12" t="str">
        <f>IF(C16="","",SUMIFS($G$5:G16,$C$5:C16,C16)-SUMIFS($H$5:H16,$C$5:C16,C16))</f>
        <v/>
      </c>
      <c r="J16" s="6"/>
      <c r="K16" s="6"/>
      <c r="L16" s="103"/>
      <c r="M16" s="103"/>
      <c r="N16" s="6"/>
      <c r="O16" s="6"/>
      <c r="P16" s="67" t="str">
        <f t="shared" si="1"/>
        <v/>
      </c>
      <c r="Q16" s="105"/>
      <c r="R16" s="98"/>
      <c r="S16" s="104" t="str">
        <f t="shared" si="2"/>
        <v/>
      </c>
    </row>
    <row r="17" spans="1:19">
      <c r="A17" s="9" t="str">
        <f t="shared" si="0"/>
        <v/>
      </c>
      <c r="B17" s="10"/>
      <c r="C17" s="47" t="str">
        <f>IF(D17="","",IFERROR(INDEX(PERKARA!$B$5:$B$104,MATCH(D17,PERKARA!$A$5:$A$104,0)),"ID TIDAK TERDAFTAR"))</f>
        <v/>
      </c>
      <c r="D17" s="46"/>
      <c r="E17" s="6"/>
      <c r="F17" s="6"/>
      <c r="G17" s="11"/>
      <c r="H17" s="11"/>
      <c r="I17" s="12" t="str">
        <f>IF(C17="","",SUMIFS($G$5:G17,$C$5:C17,C17)-SUMIFS($H$5:H17,$C$5:C17,C17))</f>
        <v/>
      </c>
      <c r="J17" s="6"/>
      <c r="K17" s="6"/>
      <c r="L17" s="103"/>
      <c r="M17" s="103"/>
      <c r="N17" s="6"/>
      <c r="O17" s="6"/>
      <c r="P17" s="67" t="str">
        <f t="shared" si="1"/>
        <v/>
      </c>
      <c r="Q17" s="105"/>
      <c r="R17" s="98"/>
      <c r="S17" s="104" t="str">
        <f t="shared" si="2"/>
        <v/>
      </c>
    </row>
    <row r="18" spans="1:19">
      <c r="A18" s="9" t="str">
        <f t="shared" si="0"/>
        <v/>
      </c>
      <c r="B18" s="10"/>
      <c r="C18" s="47" t="str">
        <f>IF(D18="","",IFERROR(INDEX(PERKARA!$B$5:$B$104,MATCH(D18,PERKARA!$A$5:$A$104,0)),"ID TIDAK TERDAFTAR"))</f>
        <v/>
      </c>
      <c r="D18" s="46"/>
      <c r="E18" s="6"/>
      <c r="F18" s="6"/>
      <c r="G18" s="11"/>
      <c r="H18" s="11"/>
      <c r="I18" s="12" t="str">
        <f>IF(C18="","",SUMIFS($G$5:G18,$C$5:C18,C18)-SUMIFS($H$5:H18,$C$5:C18,C18))</f>
        <v/>
      </c>
      <c r="J18" s="6"/>
      <c r="K18" s="6"/>
      <c r="L18" s="103"/>
      <c r="M18" s="103"/>
      <c r="N18" s="6"/>
      <c r="O18" s="6"/>
      <c r="P18" s="67" t="str">
        <f t="shared" si="1"/>
        <v/>
      </c>
      <c r="Q18" s="105"/>
      <c r="R18" s="98"/>
      <c r="S18" s="104" t="str">
        <f t="shared" si="2"/>
        <v/>
      </c>
    </row>
    <row r="19" spans="1:19">
      <c r="A19" s="9" t="str">
        <f t="shared" si="0"/>
        <v/>
      </c>
      <c r="B19" s="10"/>
      <c r="C19" s="47" t="str">
        <f>IF(D19="","",IFERROR(INDEX(PERKARA!$B$5:$B$104,MATCH(D19,PERKARA!$A$5:$A$104,0)),"ID TIDAK TERDAFTAR"))</f>
        <v/>
      </c>
      <c r="D19" s="46"/>
      <c r="E19" s="6"/>
      <c r="F19" s="6"/>
      <c r="G19" s="11"/>
      <c r="H19" s="11"/>
      <c r="I19" s="12" t="str">
        <f>IF(C19="","",SUMIFS($G$5:G19,$C$5:C19,C19)-SUMIFS($H$5:H19,$C$5:C19,C19))</f>
        <v/>
      </c>
      <c r="J19" s="6"/>
      <c r="K19" s="6"/>
      <c r="L19" s="103"/>
      <c r="M19" s="103"/>
      <c r="N19" s="6"/>
      <c r="O19" s="6"/>
      <c r="P19" s="67" t="str">
        <f t="shared" si="1"/>
        <v/>
      </c>
      <c r="Q19" s="105"/>
      <c r="R19" s="98"/>
      <c r="S19" s="104" t="str">
        <f t="shared" si="2"/>
        <v/>
      </c>
    </row>
    <row r="20" spans="1:19">
      <c r="A20" s="9" t="str">
        <f t="shared" si="0"/>
        <v/>
      </c>
      <c r="B20" s="10"/>
      <c r="C20" s="47" t="str">
        <f>IF(D20="","",IFERROR(INDEX(PERKARA!$B$5:$B$104,MATCH(D20,PERKARA!$A$5:$A$104,0)),"ID TIDAK TERDAFTAR"))</f>
        <v/>
      </c>
      <c r="D20" s="46"/>
      <c r="E20" s="6"/>
      <c r="F20" s="6"/>
      <c r="G20" s="11"/>
      <c r="H20" s="11"/>
      <c r="I20" s="12" t="str">
        <f>IF(C20="","",SUMIFS($G$5:G20,$C$5:C20,C20)-SUMIFS($H$5:H20,$C$5:C20,C20))</f>
        <v/>
      </c>
      <c r="J20" s="6"/>
      <c r="K20" s="6"/>
      <c r="L20" s="103"/>
      <c r="M20" s="103"/>
      <c r="N20" s="6"/>
      <c r="O20" s="6"/>
      <c r="P20" s="67" t="str">
        <f t="shared" si="1"/>
        <v/>
      </c>
      <c r="Q20" s="105"/>
      <c r="R20" s="98"/>
      <c r="S20" s="104" t="str">
        <f t="shared" si="2"/>
        <v/>
      </c>
    </row>
    <row r="21" spans="1:19">
      <c r="A21" s="9" t="str">
        <f t="shared" si="0"/>
        <v/>
      </c>
      <c r="B21" s="10"/>
      <c r="C21" s="47" t="str">
        <f>IF(D21="","",IFERROR(INDEX(PERKARA!$B$5:$B$104,MATCH(D21,PERKARA!$A$5:$A$104,0)),"ID TIDAK TERDAFTAR"))</f>
        <v/>
      </c>
      <c r="D21" s="46"/>
      <c r="E21" s="6"/>
      <c r="F21" s="6"/>
      <c r="G21" s="11"/>
      <c r="H21" s="11"/>
      <c r="I21" s="12" t="str">
        <f>IF(C21="","",SUMIFS($G$5:G21,$C$5:C21,C21)-SUMIFS($H$5:H21,$C$5:C21,C21))</f>
        <v/>
      </c>
      <c r="J21" s="6"/>
      <c r="K21" s="6"/>
      <c r="L21" s="103"/>
      <c r="M21" s="103"/>
      <c r="N21" s="6"/>
      <c r="O21" s="6"/>
      <c r="P21" s="67" t="str">
        <f t="shared" si="1"/>
        <v/>
      </c>
      <c r="Q21" s="105"/>
      <c r="R21" s="98"/>
      <c r="S21" s="104" t="str">
        <f t="shared" si="2"/>
        <v/>
      </c>
    </row>
    <row r="22" spans="1:19">
      <c r="A22" s="9" t="str">
        <f t="shared" si="0"/>
        <v/>
      </c>
      <c r="B22" s="10"/>
      <c r="C22" s="47" t="str">
        <f>IF(D22="","",IFERROR(INDEX(PERKARA!$B$5:$B$104,MATCH(D22,PERKARA!$A$5:$A$104,0)),"ID TIDAK TERDAFTAR"))</f>
        <v/>
      </c>
      <c r="D22" s="46"/>
      <c r="E22" s="6"/>
      <c r="F22" s="6"/>
      <c r="G22" s="11"/>
      <c r="H22" s="11"/>
      <c r="I22" s="12" t="str">
        <f>IF(C22="","",SUMIFS($G$5:G22,$C$5:C22,C22)-SUMIFS($H$5:H22,$C$5:C22,C22))</f>
        <v/>
      </c>
      <c r="J22" s="6"/>
      <c r="K22" s="6"/>
      <c r="L22" s="103"/>
      <c r="M22" s="103"/>
      <c r="N22" s="6"/>
      <c r="O22" s="6"/>
      <c r="P22" s="67" t="str">
        <f t="shared" si="1"/>
        <v/>
      </c>
      <c r="Q22" s="105"/>
      <c r="R22" s="98"/>
      <c r="S22" s="104" t="str">
        <f t="shared" si="2"/>
        <v/>
      </c>
    </row>
    <row r="23" spans="1:19">
      <c r="A23" s="9" t="str">
        <f t="shared" si="0"/>
        <v/>
      </c>
      <c r="B23" s="10"/>
      <c r="C23" s="47" t="str">
        <f>IF(D23="","",IFERROR(INDEX(PERKARA!$B$5:$B$104,MATCH(D23,PERKARA!$A$5:$A$104,0)),"ID TIDAK TERDAFTAR"))</f>
        <v/>
      </c>
      <c r="D23" s="46"/>
      <c r="E23" s="6"/>
      <c r="F23" s="6"/>
      <c r="G23" s="11"/>
      <c r="H23" s="11"/>
      <c r="I23" s="12" t="str">
        <f>IF(C23="","",SUMIFS($G$5:G23,$C$5:C23,C23)-SUMIFS($H$5:H23,$C$5:C23,C23))</f>
        <v/>
      </c>
      <c r="J23" s="6"/>
      <c r="K23" s="6"/>
      <c r="L23" s="103"/>
      <c r="M23" s="103"/>
      <c r="N23" s="6"/>
      <c r="O23" s="6"/>
      <c r="P23" s="67" t="str">
        <f t="shared" si="1"/>
        <v/>
      </c>
      <c r="Q23" s="105"/>
      <c r="R23" s="98"/>
      <c r="S23" s="104" t="str">
        <f t="shared" si="2"/>
        <v/>
      </c>
    </row>
    <row r="24" spans="1:19">
      <c r="A24" s="9" t="str">
        <f t="shared" si="0"/>
        <v/>
      </c>
      <c r="B24" s="10"/>
      <c r="C24" s="47" t="str">
        <f>IF(D24="","",IFERROR(INDEX(PERKARA!$B$5:$B$104,MATCH(D24,PERKARA!$A$5:$A$104,0)),"ID TIDAK TERDAFTAR"))</f>
        <v/>
      </c>
      <c r="D24" s="46"/>
      <c r="E24" s="6"/>
      <c r="F24" s="6"/>
      <c r="G24" s="11"/>
      <c r="H24" s="11"/>
      <c r="I24" s="12" t="str">
        <f>IF(C24="","",SUMIFS($G$5:G24,$C$5:C24,C24)-SUMIFS($H$5:H24,$C$5:C24,C24))</f>
        <v/>
      </c>
      <c r="J24" s="6"/>
      <c r="K24" s="6"/>
      <c r="L24" s="103"/>
      <c r="M24" s="103"/>
      <c r="N24" s="6"/>
      <c r="O24" s="6"/>
      <c r="P24" s="67" t="str">
        <f t="shared" si="1"/>
        <v/>
      </c>
      <c r="Q24" s="105"/>
      <c r="R24" s="98"/>
      <c r="S24" s="104" t="str">
        <f t="shared" si="2"/>
        <v/>
      </c>
    </row>
    <row r="25" spans="1:19">
      <c r="A25" s="9" t="str">
        <f t="shared" si="0"/>
        <v/>
      </c>
      <c r="B25" s="10"/>
      <c r="C25" s="47" t="str">
        <f>IF(D25="","",IFERROR(INDEX(PERKARA!$B$5:$B$104,MATCH(D25,PERKARA!$A$5:$A$104,0)),"ID TIDAK TERDAFTAR"))</f>
        <v/>
      </c>
      <c r="D25" s="46"/>
      <c r="E25" s="6"/>
      <c r="F25" s="6"/>
      <c r="G25" s="11"/>
      <c r="H25" s="11"/>
      <c r="I25" s="12" t="str">
        <f>IF(C25="","",SUMIFS($G$5:G25,$C$5:C25,C25)-SUMIFS($H$5:H25,$C$5:C25,C25))</f>
        <v/>
      </c>
      <c r="J25" s="6"/>
      <c r="K25" s="6"/>
      <c r="L25" s="103"/>
      <c r="M25" s="103"/>
      <c r="N25" s="6"/>
      <c r="O25" s="6"/>
      <c r="P25" s="67" t="str">
        <f t="shared" si="1"/>
        <v/>
      </c>
      <c r="Q25" s="105"/>
      <c r="R25" s="98"/>
      <c r="S25" s="104" t="str">
        <f t="shared" si="2"/>
        <v/>
      </c>
    </row>
    <row r="26" spans="1:19">
      <c r="A26" s="9" t="str">
        <f t="shared" si="0"/>
        <v/>
      </c>
      <c r="B26" s="10"/>
      <c r="C26" s="47" t="str">
        <f>IF(D26="","",IFERROR(INDEX(PERKARA!$B$5:$B$104,MATCH(D26,PERKARA!$A$5:$A$104,0)),"ID TIDAK TERDAFTAR"))</f>
        <v/>
      </c>
      <c r="D26" s="46"/>
      <c r="E26" s="6"/>
      <c r="F26" s="6"/>
      <c r="G26" s="11"/>
      <c r="H26" s="11"/>
      <c r="I26" s="12" t="str">
        <f>IF(C26="","",SUMIFS($G$5:G26,$C$5:C26,C26)-SUMIFS($H$5:H26,$C$5:C26,C26))</f>
        <v/>
      </c>
      <c r="J26" s="6"/>
      <c r="K26" s="6"/>
      <c r="L26" s="103"/>
      <c r="M26" s="103"/>
      <c r="N26" s="6"/>
      <c r="O26" s="6"/>
      <c r="P26" s="67" t="str">
        <f t="shared" si="1"/>
        <v/>
      </c>
      <c r="Q26" s="105"/>
      <c r="R26" s="98"/>
      <c r="S26" s="104" t="str">
        <f t="shared" si="2"/>
        <v/>
      </c>
    </row>
    <row r="27" spans="1:19">
      <c r="A27" s="9" t="str">
        <f t="shared" si="0"/>
        <v/>
      </c>
      <c r="B27" s="10"/>
      <c r="C27" s="47" t="str">
        <f>IF(D27="","",IFERROR(INDEX(PERKARA!$B$5:$B$104,MATCH(D27,PERKARA!$A$5:$A$104,0)),"ID TIDAK TERDAFTAR"))</f>
        <v/>
      </c>
      <c r="D27" s="46"/>
      <c r="E27" s="6"/>
      <c r="F27" s="6"/>
      <c r="G27" s="11"/>
      <c r="H27" s="11"/>
      <c r="I27" s="12" t="str">
        <f>IF(C27="","",SUMIFS($G$5:G27,$C$5:C27,C27)-SUMIFS($H$5:H27,$C$5:C27,C27))</f>
        <v/>
      </c>
      <c r="J27" s="6"/>
      <c r="K27" s="6"/>
      <c r="L27" s="103"/>
      <c r="M27" s="103"/>
      <c r="N27" s="6"/>
      <c r="O27" s="6"/>
      <c r="P27" s="67" t="str">
        <f t="shared" si="1"/>
        <v/>
      </c>
      <c r="Q27" s="105"/>
      <c r="R27" s="98"/>
      <c r="S27" s="104" t="str">
        <f t="shared" si="2"/>
        <v/>
      </c>
    </row>
    <row r="28" spans="1:19">
      <c r="A28" s="9" t="str">
        <f t="shared" si="0"/>
        <v/>
      </c>
      <c r="B28" s="10"/>
      <c r="C28" s="47" t="str">
        <f>IF(D28="","",IFERROR(INDEX(PERKARA!$B$5:$B$104,MATCH(D28,PERKARA!$A$5:$A$104,0)),"ID TIDAK TERDAFTAR"))</f>
        <v/>
      </c>
      <c r="D28" s="46"/>
      <c r="E28" s="6"/>
      <c r="F28" s="6"/>
      <c r="G28" s="11"/>
      <c r="H28" s="11"/>
      <c r="I28" s="12" t="str">
        <f>IF(C28="","",SUMIFS($G$5:G28,$C$5:C28,C28)-SUMIFS($H$5:H28,$C$5:C28,C28))</f>
        <v/>
      </c>
      <c r="J28" s="6"/>
      <c r="K28" s="6"/>
      <c r="L28" s="103"/>
      <c r="M28" s="103"/>
      <c r="N28" s="6"/>
      <c r="O28" s="6"/>
      <c r="P28" s="67" t="str">
        <f t="shared" si="1"/>
        <v/>
      </c>
      <c r="Q28" s="105"/>
      <c r="R28" s="98"/>
      <c r="S28" s="104" t="str">
        <f t="shared" si="2"/>
        <v/>
      </c>
    </row>
    <row r="29" spans="1:19">
      <c r="A29" s="9" t="str">
        <f t="shared" si="0"/>
        <v/>
      </c>
      <c r="B29" s="10"/>
      <c r="C29" s="47" t="str">
        <f>IF(D29="","",IFERROR(INDEX(PERKARA!$B$5:$B$104,MATCH(D29,PERKARA!$A$5:$A$104,0)),"ID TIDAK TERDAFTAR"))</f>
        <v/>
      </c>
      <c r="D29" s="46"/>
      <c r="E29" s="6"/>
      <c r="F29" s="6"/>
      <c r="G29" s="11"/>
      <c r="H29" s="11"/>
      <c r="I29" s="12" t="str">
        <f>IF(C29="","",SUMIFS($G$5:G29,$C$5:C29,C29)-SUMIFS($H$5:H29,$C$5:C29,C29))</f>
        <v/>
      </c>
      <c r="J29" s="6"/>
      <c r="K29" s="6"/>
      <c r="L29" s="103"/>
      <c r="M29" s="103"/>
      <c r="N29" s="6"/>
      <c r="O29" s="6"/>
      <c r="P29" s="67" t="str">
        <f t="shared" si="1"/>
        <v/>
      </c>
      <c r="Q29" s="105"/>
      <c r="R29" s="98"/>
      <c r="S29" s="104" t="str">
        <f t="shared" si="2"/>
        <v/>
      </c>
    </row>
    <row r="30" spans="1:19">
      <c r="A30" s="9" t="str">
        <f t="shared" si="0"/>
        <v/>
      </c>
      <c r="B30" s="10"/>
      <c r="C30" s="47" t="str">
        <f>IF(D30="","",IFERROR(INDEX(PERKARA!$B$5:$B$104,MATCH(D30,PERKARA!$A$5:$A$104,0)),"ID TIDAK TERDAFTAR"))</f>
        <v/>
      </c>
      <c r="D30" s="46"/>
      <c r="E30" s="6"/>
      <c r="F30" s="6"/>
      <c r="G30" s="11"/>
      <c r="H30" s="11"/>
      <c r="I30" s="12" t="str">
        <f>IF(C30="","",SUMIFS($G$5:G30,$C$5:C30,C30)-SUMIFS($H$5:H30,$C$5:C30,C30))</f>
        <v/>
      </c>
      <c r="J30" s="6"/>
      <c r="K30" s="6"/>
      <c r="L30" s="103"/>
      <c r="M30" s="103"/>
      <c r="N30" s="6"/>
      <c r="O30" s="6"/>
      <c r="P30" s="67" t="str">
        <f t="shared" si="1"/>
        <v/>
      </c>
      <c r="Q30" s="105"/>
      <c r="R30" s="98"/>
      <c r="S30" s="104" t="str">
        <f t="shared" si="2"/>
        <v/>
      </c>
    </row>
    <row r="31" spans="1:19">
      <c r="A31" s="9" t="str">
        <f t="shared" si="0"/>
        <v/>
      </c>
      <c r="B31" s="10"/>
      <c r="C31" s="47" t="str">
        <f>IF(D31="","",IFERROR(INDEX(PERKARA!$B$5:$B$104,MATCH(D31,PERKARA!$A$5:$A$104,0)),"ID TIDAK TERDAFTAR"))</f>
        <v/>
      </c>
      <c r="D31" s="46"/>
      <c r="E31" s="6"/>
      <c r="F31" s="6"/>
      <c r="G31" s="11"/>
      <c r="H31" s="11"/>
      <c r="I31" s="12" t="str">
        <f>IF(C31="","",SUMIFS($G$5:G31,$C$5:C31,C31)-SUMIFS($H$5:H31,$C$5:C31,C31))</f>
        <v/>
      </c>
      <c r="J31" s="6"/>
      <c r="K31" s="6"/>
      <c r="L31" s="103"/>
      <c r="M31" s="103"/>
      <c r="N31" s="6"/>
      <c r="O31" s="6"/>
      <c r="P31" s="67" t="str">
        <f t="shared" si="1"/>
        <v/>
      </c>
      <c r="Q31" s="105"/>
      <c r="R31" s="98"/>
      <c r="S31" s="104" t="str">
        <f t="shared" si="2"/>
        <v/>
      </c>
    </row>
    <row r="32" spans="1:19">
      <c r="A32" s="9" t="str">
        <f t="shared" si="0"/>
        <v/>
      </c>
      <c r="B32" s="10"/>
      <c r="C32" s="47" t="str">
        <f>IF(D32="","",IFERROR(INDEX(PERKARA!$B$5:$B$104,MATCH(D32,PERKARA!$A$5:$A$104,0)),"ID TIDAK TERDAFTAR"))</f>
        <v/>
      </c>
      <c r="D32" s="46"/>
      <c r="E32" s="6"/>
      <c r="F32" s="6"/>
      <c r="G32" s="11"/>
      <c r="H32" s="11"/>
      <c r="I32" s="12" t="str">
        <f>IF(C32="","",SUMIFS($G$5:G32,$C$5:C32,C32)-SUMIFS($H$5:H32,$C$5:C32,C32))</f>
        <v/>
      </c>
      <c r="J32" s="6"/>
      <c r="K32" s="6"/>
      <c r="L32" s="103"/>
      <c r="M32" s="103"/>
      <c r="N32" s="6"/>
      <c r="O32" s="6"/>
      <c r="P32" s="67" t="str">
        <f t="shared" si="1"/>
        <v/>
      </c>
      <c r="Q32" s="105"/>
      <c r="R32" s="98"/>
      <c r="S32" s="104" t="str">
        <f t="shared" si="2"/>
        <v/>
      </c>
    </row>
    <row r="33" spans="1:19">
      <c r="A33" s="9" t="str">
        <f t="shared" si="0"/>
        <v/>
      </c>
      <c r="B33" s="10"/>
      <c r="C33" s="47" t="str">
        <f>IF(D33="","",IFERROR(INDEX(PERKARA!$B$5:$B$104,MATCH(D33,PERKARA!$A$5:$A$104,0)),"ID TIDAK TERDAFTAR"))</f>
        <v/>
      </c>
      <c r="D33" s="46"/>
      <c r="E33" s="6"/>
      <c r="F33" s="6"/>
      <c r="G33" s="11"/>
      <c r="H33" s="11"/>
      <c r="I33" s="12" t="str">
        <f>IF(C33="","",SUMIFS($G$5:G33,$C$5:C33,C33)-SUMIFS($H$5:H33,$C$5:C33,C33))</f>
        <v/>
      </c>
      <c r="J33" s="6"/>
      <c r="K33" s="6"/>
      <c r="L33" s="103"/>
      <c r="M33" s="103"/>
      <c r="N33" s="6"/>
      <c r="O33" s="6"/>
      <c r="P33" s="67" t="str">
        <f t="shared" si="1"/>
        <v/>
      </c>
      <c r="Q33" s="105"/>
      <c r="R33" s="98"/>
      <c r="S33" s="104" t="str">
        <f t="shared" si="2"/>
        <v/>
      </c>
    </row>
    <row r="34" spans="1:19">
      <c r="A34" s="9" t="str">
        <f t="shared" si="0"/>
        <v/>
      </c>
      <c r="B34" s="10"/>
      <c r="C34" s="47" t="str">
        <f>IF(D34="","",IFERROR(INDEX(PERKARA!$B$5:$B$104,MATCH(D34,PERKARA!$A$5:$A$104,0)),"ID TIDAK TERDAFTAR"))</f>
        <v/>
      </c>
      <c r="D34" s="46"/>
      <c r="E34" s="6"/>
      <c r="F34" s="6"/>
      <c r="G34" s="11"/>
      <c r="H34" s="11"/>
      <c r="I34" s="12" t="str">
        <f>IF(C34="","",SUMIFS($G$5:G34,$C$5:C34,C34)-SUMIFS($H$5:H34,$C$5:C34,C34))</f>
        <v/>
      </c>
      <c r="J34" s="6"/>
      <c r="K34" s="6"/>
      <c r="L34" s="103"/>
      <c r="M34" s="103"/>
      <c r="N34" s="6"/>
      <c r="O34" s="6"/>
      <c r="P34" s="67" t="str">
        <f t="shared" si="1"/>
        <v/>
      </c>
      <c r="Q34" s="105"/>
      <c r="R34" s="98"/>
      <c r="S34" s="104" t="str">
        <f t="shared" si="2"/>
        <v/>
      </c>
    </row>
    <row r="35" spans="1:19">
      <c r="A35" s="9" t="str">
        <f t="shared" si="0"/>
        <v/>
      </c>
      <c r="B35" s="10"/>
      <c r="C35" s="47" t="str">
        <f>IF(D35="","",IFERROR(INDEX(PERKARA!$B$5:$B$104,MATCH(D35,PERKARA!$A$5:$A$104,0)),"ID TIDAK TERDAFTAR"))</f>
        <v/>
      </c>
      <c r="D35" s="46"/>
      <c r="E35" s="6"/>
      <c r="F35" s="6"/>
      <c r="G35" s="11"/>
      <c r="H35" s="11"/>
      <c r="I35" s="12" t="str">
        <f>IF(C35="","",SUMIFS($G$5:G35,$C$5:C35,C35)-SUMIFS($H$5:H35,$C$5:C35,C35))</f>
        <v/>
      </c>
      <c r="J35" s="6"/>
      <c r="K35" s="6"/>
      <c r="L35" s="103"/>
      <c r="M35" s="103"/>
      <c r="N35" s="6"/>
      <c r="O35" s="6"/>
      <c r="P35" s="67" t="str">
        <f t="shared" si="1"/>
        <v/>
      </c>
      <c r="Q35" s="105"/>
      <c r="R35" s="98"/>
      <c r="S35" s="104" t="str">
        <f t="shared" si="2"/>
        <v/>
      </c>
    </row>
    <row r="36" spans="1:19">
      <c r="A36" s="9" t="str">
        <f t="shared" si="0"/>
        <v/>
      </c>
      <c r="B36" s="10"/>
      <c r="C36" s="47" t="str">
        <f>IF(D36="","",IFERROR(INDEX(PERKARA!$B$5:$B$104,MATCH(D36,PERKARA!$A$5:$A$104,0)),"ID TIDAK TERDAFTAR"))</f>
        <v/>
      </c>
      <c r="D36" s="46"/>
      <c r="E36" s="6"/>
      <c r="F36" s="6"/>
      <c r="G36" s="11"/>
      <c r="H36" s="11"/>
      <c r="I36" s="12" t="str">
        <f>IF(C36="","",SUMIFS($G$5:G36,$C$5:C36,C36)-SUMIFS($H$5:H36,$C$5:C36,C36))</f>
        <v/>
      </c>
      <c r="J36" s="6"/>
      <c r="K36" s="6"/>
      <c r="L36" s="103"/>
      <c r="M36" s="103"/>
      <c r="N36" s="6"/>
      <c r="O36" s="6"/>
      <c r="P36" s="67" t="str">
        <f t="shared" si="1"/>
        <v/>
      </c>
      <c r="Q36" s="105"/>
      <c r="R36" s="98"/>
      <c r="S36" s="104" t="str">
        <f t="shared" si="2"/>
        <v/>
      </c>
    </row>
    <row r="37" spans="1:19">
      <c r="A37" s="9" t="str">
        <f t="shared" ref="A37:A68" si="3">IF(B37="","",IFERROR("TRUST-"&amp;TEXT(B37,"yyyymmdd")&amp;"-"&amp;TEXT(ROW()-4,"000"),"TANGGAL TIDAK VALID"))</f>
        <v/>
      </c>
      <c r="B37" s="10"/>
      <c r="C37" s="47" t="str">
        <f>IF(D37="","",IFERROR(INDEX(PERKARA!$B$5:$B$104,MATCH(D37,PERKARA!$A$5:$A$104,0)),"ID TIDAK TERDAFTAR"))</f>
        <v/>
      </c>
      <c r="D37" s="46"/>
      <c r="E37" s="6"/>
      <c r="F37" s="6"/>
      <c r="G37" s="11"/>
      <c r="H37" s="11"/>
      <c r="I37" s="12" t="str">
        <f>IF(C37="","",SUMIFS($G$5:G37,$C$5:C37,C37)-SUMIFS($H$5:H37,$C$5:C37,C37))</f>
        <v/>
      </c>
      <c r="J37" s="6"/>
      <c r="K37" s="6"/>
      <c r="L37" s="103"/>
      <c r="M37" s="103"/>
      <c r="N37" s="6"/>
      <c r="O37" s="6"/>
      <c r="P37" s="67" t="str">
        <f t="shared" ref="P37:P68" si="4">IF(B37="","",IF(D37="","PERKARA BELUM DIISI",IF(C37="ID TIDAK TERDAFTAR","PERKARA TIDAK VALID",IF(I37&lt;0,"SALDO DANA KLIEN NEGATIF",IF(J37="","AKUN DANA KLIEN BELUM DIISI",IF(AND(H37&gt;0,S37&lt;&gt;"LENGKAP"),"DANA KELUAR TANPA OTORISASI","OK"))))))</f>
        <v/>
      </c>
      <c r="Q37" s="105"/>
      <c r="R37" s="98"/>
      <c r="S37" s="104" t="str">
        <f t="shared" ref="S37:S68" si="5">IF(B37="","",IF(L37="Ditolak","DITOLAK",IF(AND(L37="Disetujui",M37&lt;&gt;""),"LENGKAP",IF(L37="Disetujui","NAMA PENYETUJU BELUM DIISI","MENUNGGU PERSETUJUAN MANUAL"))))</f>
        <v/>
      </c>
    </row>
    <row r="38" spans="1:19">
      <c r="A38" s="9" t="str">
        <f t="shared" si="3"/>
        <v/>
      </c>
      <c r="B38" s="10"/>
      <c r="C38" s="47" t="str">
        <f>IF(D38="","",IFERROR(INDEX(PERKARA!$B$5:$B$104,MATCH(D38,PERKARA!$A$5:$A$104,0)),"ID TIDAK TERDAFTAR"))</f>
        <v/>
      </c>
      <c r="D38" s="46"/>
      <c r="E38" s="6"/>
      <c r="F38" s="6"/>
      <c r="G38" s="11"/>
      <c r="H38" s="11"/>
      <c r="I38" s="12" t="str">
        <f>IF(C38="","",SUMIFS($G$5:G38,$C$5:C38,C38)-SUMIFS($H$5:H38,$C$5:C38,C38))</f>
        <v/>
      </c>
      <c r="J38" s="6"/>
      <c r="K38" s="6"/>
      <c r="L38" s="103"/>
      <c r="M38" s="103"/>
      <c r="N38" s="6"/>
      <c r="O38" s="6"/>
      <c r="P38" s="67" t="str">
        <f t="shared" si="4"/>
        <v/>
      </c>
      <c r="Q38" s="105"/>
      <c r="R38" s="98"/>
      <c r="S38" s="104" t="str">
        <f t="shared" si="5"/>
        <v/>
      </c>
    </row>
    <row r="39" spans="1:19">
      <c r="A39" s="9" t="str">
        <f t="shared" si="3"/>
        <v/>
      </c>
      <c r="B39" s="10"/>
      <c r="C39" s="47" t="str">
        <f>IF(D39="","",IFERROR(INDEX(PERKARA!$B$5:$B$104,MATCH(D39,PERKARA!$A$5:$A$104,0)),"ID TIDAK TERDAFTAR"))</f>
        <v/>
      </c>
      <c r="D39" s="46"/>
      <c r="E39" s="6"/>
      <c r="F39" s="6"/>
      <c r="G39" s="11"/>
      <c r="H39" s="11"/>
      <c r="I39" s="12" t="str">
        <f>IF(C39="","",SUMIFS($G$5:G39,$C$5:C39,C39)-SUMIFS($H$5:H39,$C$5:C39,C39))</f>
        <v/>
      </c>
      <c r="J39" s="6"/>
      <c r="K39" s="6"/>
      <c r="L39" s="103"/>
      <c r="M39" s="103"/>
      <c r="N39" s="6"/>
      <c r="O39" s="6"/>
      <c r="P39" s="67" t="str">
        <f t="shared" si="4"/>
        <v/>
      </c>
      <c r="Q39" s="105"/>
      <c r="R39" s="98"/>
      <c r="S39" s="104" t="str">
        <f t="shared" si="5"/>
        <v/>
      </c>
    </row>
    <row r="40" spans="1:19">
      <c r="A40" s="9" t="str">
        <f t="shared" si="3"/>
        <v/>
      </c>
      <c r="B40" s="10"/>
      <c r="C40" s="47" t="str">
        <f>IF(D40="","",IFERROR(INDEX(PERKARA!$B$5:$B$104,MATCH(D40,PERKARA!$A$5:$A$104,0)),"ID TIDAK TERDAFTAR"))</f>
        <v/>
      </c>
      <c r="D40" s="46"/>
      <c r="E40" s="6"/>
      <c r="F40" s="6"/>
      <c r="G40" s="11"/>
      <c r="H40" s="11"/>
      <c r="I40" s="12" t="str">
        <f>IF(C40="","",SUMIFS($G$5:G40,$C$5:C40,C40)-SUMIFS($H$5:H40,$C$5:C40,C40))</f>
        <v/>
      </c>
      <c r="J40" s="6"/>
      <c r="K40" s="6"/>
      <c r="L40" s="103"/>
      <c r="M40" s="103"/>
      <c r="N40" s="6"/>
      <c r="O40" s="6"/>
      <c r="P40" s="67" t="str">
        <f t="shared" si="4"/>
        <v/>
      </c>
      <c r="Q40" s="105"/>
      <c r="R40" s="98"/>
      <c r="S40" s="104" t="str">
        <f t="shared" si="5"/>
        <v/>
      </c>
    </row>
    <row r="41" spans="1:19">
      <c r="A41" s="9" t="str">
        <f t="shared" si="3"/>
        <v/>
      </c>
      <c r="B41" s="10"/>
      <c r="C41" s="47" t="str">
        <f>IF(D41="","",IFERROR(INDEX(PERKARA!$B$5:$B$104,MATCH(D41,PERKARA!$A$5:$A$104,0)),"ID TIDAK TERDAFTAR"))</f>
        <v/>
      </c>
      <c r="D41" s="46"/>
      <c r="E41" s="6"/>
      <c r="F41" s="6"/>
      <c r="G41" s="11"/>
      <c r="H41" s="11"/>
      <c r="I41" s="12" t="str">
        <f>IF(C41="","",SUMIFS($G$5:G41,$C$5:C41,C41)-SUMIFS($H$5:H41,$C$5:C41,C41))</f>
        <v/>
      </c>
      <c r="J41" s="6"/>
      <c r="K41" s="6"/>
      <c r="L41" s="103"/>
      <c r="M41" s="103"/>
      <c r="N41" s="6"/>
      <c r="O41" s="6"/>
      <c r="P41" s="67" t="str">
        <f t="shared" si="4"/>
        <v/>
      </c>
      <c r="Q41" s="105"/>
      <c r="R41" s="98"/>
      <c r="S41" s="104" t="str">
        <f t="shared" si="5"/>
        <v/>
      </c>
    </row>
    <row r="42" spans="1:19">
      <c r="A42" s="9" t="str">
        <f t="shared" si="3"/>
        <v/>
      </c>
      <c r="B42" s="10"/>
      <c r="C42" s="47" t="str">
        <f>IF(D42="","",IFERROR(INDEX(PERKARA!$B$5:$B$104,MATCH(D42,PERKARA!$A$5:$A$104,0)),"ID TIDAK TERDAFTAR"))</f>
        <v/>
      </c>
      <c r="D42" s="46"/>
      <c r="E42" s="6"/>
      <c r="F42" s="6"/>
      <c r="G42" s="11"/>
      <c r="H42" s="11"/>
      <c r="I42" s="12" t="str">
        <f>IF(C42="","",SUMIFS($G$5:G42,$C$5:C42,C42)-SUMIFS($H$5:H42,$C$5:C42,C42))</f>
        <v/>
      </c>
      <c r="J42" s="6"/>
      <c r="K42" s="6"/>
      <c r="L42" s="103"/>
      <c r="M42" s="103"/>
      <c r="N42" s="6"/>
      <c r="O42" s="6"/>
      <c r="P42" s="67" t="str">
        <f t="shared" si="4"/>
        <v/>
      </c>
      <c r="Q42" s="105"/>
      <c r="R42" s="98"/>
      <c r="S42" s="104" t="str">
        <f t="shared" si="5"/>
        <v/>
      </c>
    </row>
    <row r="43" spans="1:19">
      <c r="A43" s="9" t="str">
        <f t="shared" si="3"/>
        <v/>
      </c>
      <c r="B43" s="10"/>
      <c r="C43" s="47" t="str">
        <f>IF(D43="","",IFERROR(INDEX(PERKARA!$B$5:$B$104,MATCH(D43,PERKARA!$A$5:$A$104,0)),"ID TIDAK TERDAFTAR"))</f>
        <v/>
      </c>
      <c r="D43" s="46"/>
      <c r="E43" s="6"/>
      <c r="F43" s="6"/>
      <c r="G43" s="11"/>
      <c r="H43" s="11"/>
      <c r="I43" s="12" t="str">
        <f>IF(C43="","",SUMIFS($G$5:G43,$C$5:C43,C43)-SUMIFS($H$5:H43,$C$5:C43,C43))</f>
        <v/>
      </c>
      <c r="J43" s="6"/>
      <c r="K43" s="6"/>
      <c r="L43" s="103"/>
      <c r="M43" s="103"/>
      <c r="N43" s="6"/>
      <c r="O43" s="6"/>
      <c r="P43" s="67" t="str">
        <f t="shared" si="4"/>
        <v/>
      </c>
      <c r="Q43" s="105"/>
      <c r="R43" s="98"/>
      <c r="S43" s="104" t="str">
        <f t="shared" si="5"/>
        <v/>
      </c>
    </row>
    <row r="44" spans="1:19">
      <c r="A44" s="9" t="str">
        <f t="shared" si="3"/>
        <v/>
      </c>
      <c r="B44" s="10"/>
      <c r="C44" s="47" t="str">
        <f>IF(D44="","",IFERROR(INDEX(PERKARA!$B$5:$B$104,MATCH(D44,PERKARA!$A$5:$A$104,0)),"ID TIDAK TERDAFTAR"))</f>
        <v/>
      </c>
      <c r="D44" s="46"/>
      <c r="E44" s="6"/>
      <c r="F44" s="6"/>
      <c r="G44" s="11"/>
      <c r="H44" s="11"/>
      <c r="I44" s="12" t="str">
        <f>IF(C44="","",SUMIFS($G$5:G44,$C$5:C44,C44)-SUMIFS($H$5:H44,$C$5:C44,C44))</f>
        <v/>
      </c>
      <c r="J44" s="6"/>
      <c r="K44" s="6"/>
      <c r="L44" s="103"/>
      <c r="M44" s="103"/>
      <c r="N44" s="6"/>
      <c r="O44" s="6"/>
      <c r="P44" s="67" t="str">
        <f t="shared" si="4"/>
        <v/>
      </c>
      <c r="Q44" s="105"/>
      <c r="R44" s="98"/>
      <c r="S44" s="104" t="str">
        <f t="shared" si="5"/>
        <v/>
      </c>
    </row>
    <row r="45" spans="1:19">
      <c r="A45" s="9" t="str">
        <f t="shared" si="3"/>
        <v/>
      </c>
      <c r="B45" s="10"/>
      <c r="C45" s="47" t="str">
        <f>IF(D45="","",IFERROR(INDEX(PERKARA!$B$5:$B$104,MATCH(D45,PERKARA!$A$5:$A$104,0)),"ID TIDAK TERDAFTAR"))</f>
        <v/>
      </c>
      <c r="D45" s="46"/>
      <c r="E45" s="6"/>
      <c r="F45" s="6"/>
      <c r="G45" s="11"/>
      <c r="H45" s="11"/>
      <c r="I45" s="12" t="str">
        <f>IF(C45="","",SUMIFS($G$5:G45,$C$5:C45,C45)-SUMIFS($H$5:H45,$C$5:C45,C45))</f>
        <v/>
      </c>
      <c r="J45" s="6"/>
      <c r="K45" s="6"/>
      <c r="L45" s="103"/>
      <c r="M45" s="103"/>
      <c r="N45" s="6"/>
      <c r="O45" s="6"/>
      <c r="P45" s="67" t="str">
        <f t="shared" si="4"/>
        <v/>
      </c>
      <c r="Q45" s="105"/>
      <c r="R45" s="98"/>
      <c r="S45" s="104" t="str">
        <f t="shared" si="5"/>
        <v/>
      </c>
    </row>
    <row r="46" spans="1:19">
      <c r="A46" s="9" t="str">
        <f t="shared" si="3"/>
        <v/>
      </c>
      <c r="B46" s="10"/>
      <c r="C46" s="47" t="str">
        <f>IF(D46="","",IFERROR(INDEX(PERKARA!$B$5:$B$104,MATCH(D46,PERKARA!$A$5:$A$104,0)),"ID TIDAK TERDAFTAR"))</f>
        <v/>
      </c>
      <c r="D46" s="46"/>
      <c r="E46" s="6"/>
      <c r="F46" s="6"/>
      <c r="G46" s="11"/>
      <c r="H46" s="11"/>
      <c r="I46" s="12" t="str">
        <f>IF(C46="","",SUMIFS($G$5:G46,$C$5:C46,C46)-SUMIFS($H$5:H46,$C$5:C46,C46))</f>
        <v/>
      </c>
      <c r="J46" s="6"/>
      <c r="K46" s="6"/>
      <c r="L46" s="103"/>
      <c r="M46" s="103"/>
      <c r="N46" s="6"/>
      <c r="O46" s="6"/>
      <c r="P46" s="67" t="str">
        <f t="shared" si="4"/>
        <v/>
      </c>
      <c r="Q46" s="105"/>
      <c r="R46" s="98"/>
      <c r="S46" s="104" t="str">
        <f t="shared" si="5"/>
        <v/>
      </c>
    </row>
    <row r="47" spans="1:19">
      <c r="A47" s="9" t="str">
        <f t="shared" si="3"/>
        <v/>
      </c>
      <c r="B47" s="10"/>
      <c r="C47" s="47" t="str">
        <f>IF(D47="","",IFERROR(INDEX(PERKARA!$B$5:$B$104,MATCH(D47,PERKARA!$A$5:$A$104,0)),"ID TIDAK TERDAFTAR"))</f>
        <v/>
      </c>
      <c r="D47" s="46"/>
      <c r="E47" s="6"/>
      <c r="F47" s="6"/>
      <c r="G47" s="11"/>
      <c r="H47" s="11"/>
      <c r="I47" s="12" t="str">
        <f>IF(C47="","",SUMIFS($G$5:G47,$C$5:C47,C47)-SUMIFS($H$5:H47,$C$5:C47,C47))</f>
        <v/>
      </c>
      <c r="J47" s="6"/>
      <c r="K47" s="6"/>
      <c r="L47" s="103"/>
      <c r="M47" s="103"/>
      <c r="N47" s="6"/>
      <c r="O47" s="6"/>
      <c r="P47" s="67" t="str">
        <f t="shared" si="4"/>
        <v/>
      </c>
      <c r="Q47" s="105"/>
      <c r="R47" s="98"/>
      <c r="S47" s="104" t="str">
        <f t="shared" si="5"/>
        <v/>
      </c>
    </row>
    <row r="48" spans="1:19">
      <c r="A48" s="9" t="str">
        <f t="shared" si="3"/>
        <v/>
      </c>
      <c r="B48" s="10"/>
      <c r="C48" s="47" t="str">
        <f>IF(D48="","",IFERROR(INDEX(PERKARA!$B$5:$B$104,MATCH(D48,PERKARA!$A$5:$A$104,0)),"ID TIDAK TERDAFTAR"))</f>
        <v/>
      </c>
      <c r="D48" s="46"/>
      <c r="E48" s="6"/>
      <c r="F48" s="6"/>
      <c r="G48" s="11"/>
      <c r="H48" s="11"/>
      <c r="I48" s="12" t="str">
        <f>IF(C48="","",SUMIFS($G$5:G48,$C$5:C48,C48)-SUMIFS($H$5:H48,$C$5:C48,C48))</f>
        <v/>
      </c>
      <c r="J48" s="6"/>
      <c r="K48" s="6"/>
      <c r="L48" s="103"/>
      <c r="M48" s="103"/>
      <c r="N48" s="6"/>
      <c r="O48" s="6"/>
      <c r="P48" s="67" t="str">
        <f t="shared" si="4"/>
        <v/>
      </c>
      <c r="Q48" s="105"/>
      <c r="R48" s="98"/>
      <c r="S48" s="104" t="str">
        <f t="shared" si="5"/>
        <v/>
      </c>
    </row>
    <row r="49" spans="1:19">
      <c r="A49" s="9" t="str">
        <f t="shared" si="3"/>
        <v/>
      </c>
      <c r="B49" s="10"/>
      <c r="C49" s="47" t="str">
        <f>IF(D49="","",IFERROR(INDEX(PERKARA!$B$5:$B$104,MATCH(D49,PERKARA!$A$5:$A$104,0)),"ID TIDAK TERDAFTAR"))</f>
        <v/>
      </c>
      <c r="D49" s="46"/>
      <c r="E49" s="6"/>
      <c r="F49" s="6"/>
      <c r="G49" s="11"/>
      <c r="H49" s="11"/>
      <c r="I49" s="12" t="str">
        <f>IF(C49="","",SUMIFS($G$5:G49,$C$5:C49,C49)-SUMIFS($H$5:H49,$C$5:C49,C49))</f>
        <v/>
      </c>
      <c r="J49" s="6"/>
      <c r="K49" s="6"/>
      <c r="L49" s="103"/>
      <c r="M49" s="103"/>
      <c r="N49" s="6"/>
      <c r="O49" s="6"/>
      <c r="P49" s="67" t="str">
        <f t="shared" si="4"/>
        <v/>
      </c>
      <c r="Q49" s="105"/>
      <c r="R49" s="98"/>
      <c r="S49" s="104" t="str">
        <f t="shared" si="5"/>
        <v/>
      </c>
    </row>
    <row r="50" spans="1:19">
      <c r="A50" s="9" t="str">
        <f t="shared" si="3"/>
        <v/>
      </c>
      <c r="B50" s="10"/>
      <c r="C50" s="47" t="str">
        <f>IF(D50="","",IFERROR(INDEX(PERKARA!$B$5:$B$104,MATCH(D50,PERKARA!$A$5:$A$104,0)),"ID TIDAK TERDAFTAR"))</f>
        <v/>
      </c>
      <c r="D50" s="46"/>
      <c r="E50" s="6"/>
      <c r="F50" s="6"/>
      <c r="G50" s="11"/>
      <c r="H50" s="11"/>
      <c r="I50" s="12" t="str">
        <f>IF(C50="","",SUMIFS($G$5:G50,$C$5:C50,C50)-SUMIFS($H$5:H50,$C$5:C50,C50))</f>
        <v/>
      </c>
      <c r="J50" s="6"/>
      <c r="K50" s="6"/>
      <c r="L50" s="103"/>
      <c r="M50" s="103"/>
      <c r="N50" s="6"/>
      <c r="O50" s="6"/>
      <c r="P50" s="67" t="str">
        <f t="shared" si="4"/>
        <v/>
      </c>
      <c r="Q50" s="105"/>
      <c r="R50" s="98"/>
      <c r="S50" s="104" t="str">
        <f t="shared" si="5"/>
        <v/>
      </c>
    </row>
    <row r="51" spans="1:19">
      <c r="A51" s="9" t="str">
        <f t="shared" si="3"/>
        <v/>
      </c>
      <c r="B51" s="10"/>
      <c r="C51" s="47" t="str">
        <f>IF(D51="","",IFERROR(INDEX(PERKARA!$B$5:$B$104,MATCH(D51,PERKARA!$A$5:$A$104,0)),"ID TIDAK TERDAFTAR"))</f>
        <v/>
      </c>
      <c r="D51" s="46"/>
      <c r="E51" s="6"/>
      <c r="F51" s="6"/>
      <c r="G51" s="11"/>
      <c r="H51" s="11"/>
      <c r="I51" s="12" t="str">
        <f>IF(C51="","",SUMIFS($G$5:G51,$C$5:C51,C51)-SUMIFS($H$5:H51,$C$5:C51,C51))</f>
        <v/>
      </c>
      <c r="J51" s="6"/>
      <c r="K51" s="6"/>
      <c r="L51" s="103"/>
      <c r="M51" s="103"/>
      <c r="N51" s="6"/>
      <c r="O51" s="6"/>
      <c r="P51" s="67" t="str">
        <f t="shared" si="4"/>
        <v/>
      </c>
      <c r="Q51" s="105"/>
      <c r="R51" s="98"/>
      <c r="S51" s="104" t="str">
        <f t="shared" si="5"/>
        <v/>
      </c>
    </row>
    <row r="52" spans="1:19">
      <c r="A52" s="9" t="str">
        <f t="shared" si="3"/>
        <v/>
      </c>
      <c r="B52" s="10"/>
      <c r="C52" s="47" t="str">
        <f>IF(D52="","",IFERROR(INDEX(PERKARA!$B$5:$B$104,MATCH(D52,PERKARA!$A$5:$A$104,0)),"ID TIDAK TERDAFTAR"))</f>
        <v/>
      </c>
      <c r="D52" s="46"/>
      <c r="E52" s="6"/>
      <c r="F52" s="6"/>
      <c r="G52" s="11"/>
      <c r="H52" s="11"/>
      <c r="I52" s="12" t="str">
        <f>IF(C52="","",SUMIFS($G$5:G52,$C$5:C52,C52)-SUMIFS($H$5:H52,$C$5:C52,C52))</f>
        <v/>
      </c>
      <c r="J52" s="6"/>
      <c r="K52" s="6"/>
      <c r="L52" s="103"/>
      <c r="M52" s="103"/>
      <c r="N52" s="6"/>
      <c r="O52" s="6"/>
      <c r="P52" s="67" t="str">
        <f t="shared" si="4"/>
        <v/>
      </c>
      <c r="Q52" s="105"/>
      <c r="R52" s="98"/>
      <c r="S52" s="104" t="str">
        <f t="shared" si="5"/>
        <v/>
      </c>
    </row>
    <row r="53" spans="1:19">
      <c r="A53" s="9" t="str">
        <f t="shared" si="3"/>
        <v/>
      </c>
      <c r="B53" s="10"/>
      <c r="C53" s="47" t="str">
        <f>IF(D53="","",IFERROR(INDEX(PERKARA!$B$5:$B$104,MATCH(D53,PERKARA!$A$5:$A$104,0)),"ID TIDAK TERDAFTAR"))</f>
        <v/>
      </c>
      <c r="D53" s="46"/>
      <c r="E53" s="6"/>
      <c r="F53" s="6"/>
      <c r="G53" s="11"/>
      <c r="H53" s="11"/>
      <c r="I53" s="12" t="str">
        <f>IF(C53="","",SUMIFS($G$5:G53,$C$5:C53,C53)-SUMIFS($H$5:H53,$C$5:C53,C53))</f>
        <v/>
      </c>
      <c r="J53" s="6"/>
      <c r="K53" s="6"/>
      <c r="L53" s="103"/>
      <c r="M53" s="103"/>
      <c r="N53" s="6"/>
      <c r="O53" s="6"/>
      <c r="P53" s="67" t="str">
        <f t="shared" si="4"/>
        <v/>
      </c>
      <c r="Q53" s="105"/>
      <c r="R53" s="98"/>
      <c r="S53" s="104" t="str">
        <f t="shared" si="5"/>
        <v/>
      </c>
    </row>
    <row r="54" spans="1:19">
      <c r="A54" s="9" t="str">
        <f t="shared" si="3"/>
        <v/>
      </c>
      <c r="B54" s="10"/>
      <c r="C54" s="47" t="str">
        <f>IF(D54="","",IFERROR(INDEX(PERKARA!$B$5:$B$104,MATCH(D54,PERKARA!$A$5:$A$104,0)),"ID TIDAK TERDAFTAR"))</f>
        <v/>
      </c>
      <c r="D54" s="46"/>
      <c r="E54" s="6"/>
      <c r="F54" s="6"/>
      <c r="G54" s="11"/>
      <c r="H54" s="11"/>
      <c r="I54" s="12" t="str">
        <f>IF(C54="","",SUMIFS($G$5:G54,$C$5:C54,C54)-SUMIFS($H$5:H54,$C$5:C54,C54))</f>
        <v/>
      </c>
      <c r="J54" s="6"/>
      <c r="K54" s="6"/>
      <c r="L54" s="103"/>
      <c r="M54" s="103"/>
      <c r="N54" s="6"/>
      <c r="O54" s="6"/>
      <c r="P54" s="67" t="str">
        <f t="shared" si="4"/>
        <v/>
      </c>
      <c r="Q54" s="105"/>
      <c r="R54" s="98"/>
      <c r="S54" s="104" t="str">
        <f t="shared" si="5"/>
        <v/>
      </c>
    </row>
    <row r="55" spans="1:19">
      <c r="A55" s="9" t="str">
        <f t="shared" si="3"/>
        <v/>
      </c>
      <c r="B55" s="10"/>
      <c r="C55" s="47" t="str">
        <f>IF(D55="","",IFERROR(INDEX(PERKARA!$B$5:$B$104,MATCH(D55,PERKARA!$A$5:$A$104,0)),"ID TIDAK TERDAFTAR"))</f>
        <v/>
      </c>
      <c r="D55" s="46"/>
      <c r="E55" s="6"/>
      <c r="F55" s="6"/>
      <c r="G55" s="11"/>
      <c r="H55" s="11"/>
      <c r="I55" s="12" t="str">
        <f>IF(C55="","",SUMIFS($G$5:G55,$C$5:C55,C55)-SUMIFS($H$5:H55,$C$5:C55,C55))</f>
        <v/>
      </c>
      <c r="J55" s="6"/>
      <c r="K55" s="6"/>
      <c r="L55" s="103"/>
      <c r="M55" s="103"/>
      <c r="N55" s="6"/>
      <c r="O55" s="6"/>
      <c r="P55" s="67" t="str">
        <f t="shared" si="4"/>
        <v/>
      </c>
      <c r="Q55" s="105"/>
      <c r="R55" s="98"/>
      <c r="S55" s="104" t="str">
        <f t="shared" si="5"/>
        <v/>
      </c>
    </row>
    <row r="56" spans="1:19">
      <c r="A56" s="9" t="str">
        <f t="shared" si="3"/>
        <v/>
      </c>
      <c r="B56" s="10"/>
      <c r="C56" s="47" t="str">
        <f>IF(D56="","",IFERROR(INDEX(PERKARA!$B$5:$B$104,MATCH(D56,PERKARA!$A$5:$A$104,0)),"ID TIDAK TERDAFTAR"))</f>
        <v/>
      </c>
      <c r="D56" s="46"/>
      <c r="E56" s="6"/>
      <c r="F56" s="6"/>
      <c r="G56" s="11"/>
      <c r="H56" s="11"/>
      <c r="I56" s="12" t="str">
        <f>IF(C56="","",SUMIFS($G$5:G56,$C$5:C56,C56)-SUMIFS($H$5:H56,$C$5:C56,C56))</f>
        <v/>
      </c>
      <c r="J56" s="6"/>
      <c r="K56" s="6"/>
      <c r="L56" s="103"/>
      <c r="M56" s="103"/>
      <c r="N56" s="6"/>
      <c r="O56" s="6"/>
      <c r="P56" s="67" t="str">
        <f t="shared" si="4"/>
        <v/>
      </c>
      <c r="Q56" s="105"/>
      <c r="R56" s="98"/>
      <c r="S56" s="104" t="str">
        <f t="shared" si="5"/>
        <v/>
      </c>
    </row>
    <row r="57" spans="1:19">
      <c r="A57" s="9" t="str">
        <f t="shared" si="3"/>
        <v/>
      </c>
      <c r="B57" s="10"/>
      <c r="C57" s="47" t="str">
        <f>IF(D57="","",IFERROR(INDEX(PERKARA!$B$5:$B$104,MATCH(D57,PERKARA!$A$5:$A$104,0)),"ID TIDAK TERDAFTAR"))</f>
        <v/>
      </c>
      <c r="D57" s="46"/>
      <c r="E57" s="6"/>
      <c r="F57" s="6"/>
      <c r="G57" s="11"/>
      <c r="H57" s="11"/>
      <c r="I57" s="12" t="str">
        <f>IF(C57="","",SUMIFS($G$5:G57,$C$5:C57,C57)-SUMIFS($H$5:H57,$C$5:C57,C57))</f>
        <v/>
      </c>
      <c r="J57" s="6"/>
      <c r="K57" s="6"/>
      <c r="L57" s="103"/>
      <c r="M57" s="103"/>
      <c r="N57" s="6"/>
      <c r="O57" s="6"/>
      <c r="P57" s="67" t="str">
        <f t="shared" si="4"/>
        <v/>
      </c>
      <c r="Q57" s="105"/>
      <c r="R57" s="98"/>
      <c r="S57" s="104" t="str">
        <f t="shared" si="5"/>
        <v/>
      </c>
    </row>
    <row r="58" spans="1:19">
      <c r="A58" s="9" t="str">
        <f t="shared" si="3"/>
        <v/>
      </c>
      <c r="B58" s="10"/>
      <c r="C58" s="47" t="str">
        <f>IF(D58="","",IFERROR(INDEX(PERKARA!$B$5:$B$104,MATCH(D58,PERKARA!$A$5:$A$104,0)),"ID TIDAK TERDAFTAR"))</f>
        <v/>
      </c>
      <c r="D58" s="46"/>
      <c r="E58" s="6"/>
      <c r="F58" s="6"/>
      <c r="G58" s="11"/>
      <c r="H58" s="11"/>
      <c r="I58" s="12" t="str">
        <f>IF(C58="","",SUMIFS($G$5:G58,$C$5:C58,C58)-SUMIFS($H$5:H58,$C$5:C58,C58))</f>
        <v/>
      </c>
      <c r="J58" s="6"/>
      <c r="K58" s="6"/>
      <c r="L58" s="103"/>
      <c r="M58" s="103"/>
      <c r="N58" s="6"/>
      <c r="O58" s="6"/>
      <c r="P58" s="67" t="str">
        <f t="shared" si="4"/>
        <v/>
      </c>
      <c r="Q58" s="105"/>
      <c r="R58" s="98"/>
      <c r="S58" s="104" t="str">
        <f t="shared" si="5"/>
        <v/>
      </c>
    </row>
    <row r="59" spans="1:19">
      <c r="A59" s="9" t="str">
        <f t="shared" si="3"/>
        <v/>
      </c>
      <c r="B59" s="10"/>
      <c r="C59" s="47" t="str">
        <f>IF(D59="","",IFERROR(INDEX(PERKARA!$B$5:$B$104,MATCH(D59,PERKARA!$A$5:$A$104,0)),"ID TIDAK TERDAFTAR"))</f>
        <v/>
      </c>
      <c r="D59" s="46"/>
      <c r="E59" s="6"/>
      <c r="F59" s="6"/>
      <c r="G59" s="11"/>
      <c r="H59" s="11"/>
      <c r="I59" s="12" t="str">
        <f>IF(C59="","",SUMIFS($G$5:G59,$C$5:C59,C59)-SUMIFS($H$5:H59,$C$5:C59,C59))</f>
        <v/>
      </c>
      <c r="J59" s="6"/>
      <c r="K59" s="6"/>
      <c r="L59" s="103"/>
      <c r="M59" s="103"/>
      <c r="N59" s="6"/>
      <c r="O59" s="6"/>
      <c r="P59" s="67" t="str">
        <f t="shared" si="4"/>
        <v/>
      </c>
      <c r="Q59" s="105"/>
      <c r="R59" s="98"/>
      <c r="S59" s="104" t="str">
        <f t="shared" si="5"/>
        <v/>
      </c>
    </row>
    <row r="60" spans="1:19">
      <c r="A60" s="9" t="str">
        <f t="shared" si="3"/>
        <v/>
      </c>
      <c r="B60" s="10"/>
      <c r="C60" s="47" t="str">
        <f>IF(D60="","",IFERROR(INDEX(PERKARA!$B$5:$B$104,MATCH(D60,PERKARA!$A$5:$A$104,0)),"ID TIDAK TERDAFTAR"))</f>
        <v/>
      </c>
      <c r="D60" s="46"/>
      <c r="E60" s="6"/>
      <c r="F60" s="6"/>
      <c r="G60" s="11"/>
      <c r="H60" s="11"/>
      <c r="I60" s="12" t="str">
        <f>IF(C60="","",SUMIFS($G$5:G60,$C$5:C60,C60)-SUMIFS($H$5:H60,$C$5:C60,C60))</f>
        <v/>
      </c>
      <c r="J60" s="6"/>
      <c r="K60" s="6"/>
      <c r="L60" s="103"/>
      <c r="M60" s="103"/>
      <c r="N60" s="6"/>
      <c r="O60" s="6"/>
      <c r="P60" s="67" t="str">
        <f t="shared" si="4"/>
        <v/>
      </c>
      <c r="Q60" s="105"/>
      <c r="R60" s="98"/>
      <c r="S60" s="104" t="str">
        <f t="shared" si="5"/>
        <v/>
      </c>
    </row>
    <row r="61" spans="1:19">
      <c r="A61" s="9" t="str">
        <f t="shared" si="3"/>
        <v/>
      </c>
      <c r="B61" s="10"/>
      <c r="C61" s="47" t="str">
        <f>IF(D61="","",IFERROR(INDEX(PERKARA!$B$5:$B$104,MATCH(D61,PERKARA!$A$5:$A$104,0)),"ID TIDAK TERDAFTAR"))</f>
        <v/>
      </c>
      <c r="D61" s="46"/>
      <c r="E61" s="6"/>
      <c r="F61" s="6"/>
      <c r="G61" s="11"/>
      <c r="H61" s="11"/>
      <c r="I61" s="12" t="str">
        <f>IF(C61="","",SUMIFS($G$5:G61,$C$5:C61,C61)-SUMIFS($H$5:H61,$C$5:C61,C61))</f>
        <v/>
      </c>
      <c r="J61" s="6"/>
      <c r="K61" s="6"/>
      <c r="L61" s="103"/>
      <c r="M61" s="103"/>
      <c r="N61" s="6"/>
      <c r="O61" s="6"/>
      <c r="P61" s="67" t="str">
        <f t="shared" si="4"/>
        <v/>
      </c>
      <c r="Q61" s="105"/>
      <c r="R61" s="98"/>
      <c r="S61" s="104" t="str">
        <f t="shared" si="5"/>
        <v/>
      </c>
    </row>
    <row r="62" spans="1:19">
      <c r="A62" s="9" t="str">
        <f t="shared" si="3"/>
        <v/>
      </c>
      <c r="B62" s="10"/>
      <c r="C62" s="47" t="str">
        <f>IF(D62="","",IFERROR(INDEX(PERKARA!$B$5:$B$104,MATCH(D62,PERKARA!$A$5:$A$104,0)),"ID TIDAK TERDAFTAR"))</f>
        <v/>
      </c>
      <c r="D62" s="46"/>
      <c r="E62" s="6"/>
      <c r="F62" s="6"/>
      <c r="G62" s="11"/>
      <c r="H62" s="11"/>
      <c r="I62" s="12" t="str">
        <f>IF(C62="","",SUMIFS($G$5:G62,$C$5:C62,C62)-SUMIFS($H$5:H62,$C$5:C62,C62))</f>
        <v/>
      </c>
      <c r="J62" s="6"/>
      <c r="K62" s="6"/>
      <c r="L62" s="103"/>
      <c r="M62" s="103"/>
      <c r="N62" s="6"/>
      <c r="O62" s="6"/>
      <c r="P62" s="67" t="str">
        <f t="shared" si="4"/>
        <v/>
      </c>
      <c r="Q62" s="105"/>
      <c r="R62" s="98"/>
      <c r="S62" s="104" t="str">
        <f t="shared" si="5"/>
        <v/>
      </c>
    </row>
    <row r="63" spans="1:19">
      <c r="A63" s="9" t="str">
        <f t="shared" si="3"/>
        <v/>
      </c>
      <c r="B63" s="10"/>
      <c r="C63" s="47" t="str">
        <f>IF(D63="","",IFERROR(INDEX(PERKARA!$B$5:$B$104,MATCH(D63,PERKARA!$A$5:$A$104,0)),"ID TIDAK TERDAFTAR"))</f>
        <v/>
      </c>
      <c r="D63" s="46"/>
      <c r="E63" s="6"/>
      <c r="F63" s="6"/>
      <c r="G63" s="11"/>
      <c r="H63" s="11"/>
      <c r="I63" s="12" t="str">
        <f>IF(C63="","",SUMIFS($G$5:G63,$C$5:C63,C63)-SUMIFS($H$5:H63,$C$5:C63,C63))</f>
        <v/>
      </c>
      <c r="J63" s="6"/>
      <c r="K63" s="6"/>
      <c r="L63" s="103"/>
      <c r="M63" s="103"/>
      <c r="N63" s="6"/>
      <c r="O63" s="6"/>
      <c r="P63" s="67" t="str">
        <f t="shared" si="4"/>
        <v/>
      </c>
      <c r="Q63" s="105"/>
      <c r="R63" s="98"/>
      <c r="S63" s="104" t="str">
        <f t="shared" si="5"/>
        <v/>
      </c>
    </row>
    <row r="64" spans="1:19">
      <c r="A64" s="9" t="str">
        <f t="shared" si="3"/>
        <v/>
      </c>
      <c r="B64" s="10"/>
      <c r="C64" s="47" t="str">
        <f>IF(D64="","",IFERROR(INDEX(PERKARA!$B$5:$B$104,MATCH(D64,PERKARA!$A$5:$A$104,0)),"ID TIDAK TERDAFTAR"))</f>
        <v/>
      </c>
      <c r="D64" s="46"/>
      <c r="E64" s="6"/>
      <c r="F64" s="6"/>
      <c r="G64" s="11"/>
      <c r="H64" s="11"/>
      <c r="I64" s="12" t="str">
        <f>IF(C64="","",SUMIFS($G$5:G64,$C$5:C64,C64)-SUMIFS($H$5:H64,$C$5:C64,C64))</f>
        <v/>
      </c>
      <c r="J64" s="6"/>
      <c r="K64" s="6"/>
      <c r="L64" s="103"/>
      <c r="M64" s="103"/>
      <c r="N64" s="6"/>
      <c r="O64" s="6"/>
      <c r="P64" s="67" t="str">
        <f t="shared" si="4"/>
        <v/>
      </c>
      <c r="Q64" s="105"/>
      <c r="R64" s="98"/>
      <c r="S64" s="104" t="str">
        <f t="shared" si="5"/>
        <v/>
      </c>
    </row>
    <row r="65" spans="1:19">
      <c r="A65" s="9" t="str">
        <f t="shared" si="3"/>
        <v/>
      </c>
      <c r="B65" s="10"/>
      <c r="C65" s="47" t="str">
        <f>IF(D65="","",IFERROR(INDEX(PERKARA!$B$5:$B$104,MATCH(D65,PERKARA!$A$5:$A$104,0)),"ID TIDAK TERDAFTAR"))</f>
        <v/>
      </c>
      <c r="D65" s="46"/>
      <c r="E65" s="6"/>
      <c r="F65" s="6"/>
      <c r="G65" s="11"/>
      <c r="H65" s="11"/>
      <c r="I65" s="12" t="str">
        <f>IF(C65="","",SUMIFS($G$5:G65,$C$5:C65,C65)-SUMIFS($H$5:H65,$C$5:C65,C65))</f>
        <v/>
      </c>
      <c r="J65" s="6"/>
      <c r="K65" s="6"/>
      <c r="L65" s="103"/>
      <c r="M65" s="103"/>
      <c r="N65" s="6"/>
      <c r="O65" s="6"/>
      <c r="P65" s="67" t="str">
        <f t="shared" si="4"/>
        <v/>
      </c>
      <c r="Q65" s="105"/>
      <c r="R65" s="98"/>
      <c r="S65" s="104" t="str">
        <f t="shared" si="5"/>
        <v/>
      </c>
    </row>
    <row r="66" spans="1:19">
      <c r="A66" s="9" t="str">
        <f t="shared" si="3"/>
        <v/>
      </c>
      <c r="B66" s="10"/>
      <c r="C66" s="47" t="str">
        <f>IF(D66="","",IFERROR(INDEX(PERKARA!$B$5:$B$104,MATCH(D66,PERKARA!$A$5:$A$104,0)),"ID TIDAK TERDAFTAR"))</f>
        <v/>
      </c>
      <c r="D66" s="46"/>
      <c r="E66" s="6"/>
      <c r="F66" s="6"/>
      <c r="G66" s="11"/>
      <c r="H66" s="11"/>
      <c r="I66" s="12" t="str">
        <f>IF(C66="","",SUMIFS($G$5:G66,$C$5:C66,C66)-SUMIFS($H$5:H66,$C$5:C66,C66))</f>
        <v/>
      </c>
      <c r="J66" s="6"/>
      <c r="K66" s="6"/>
      <c r="L66" s="103"/>
      <c r="M66" s="103"/>
      <c r="N66" s="6"/>
      <c r="O66" s="6"/>
      <c r="P66" s="67" t="str">
        <f t="shared" si="4"/>
        <v/>
      </c>
      <c r="Q66" s="105"/>
      <c r="R66" s="98"/>
      <c r="S66" s="104" t="str">
        <f t="shared" si="5"/>
        <v/>
      </c>
    </row>
    <row r="67" spans="1:19">
      <c r="A67" s="9" t="str">
        <f t="shared" si="3"/>
        <v/>
      </c>
      <c r="B67" s="10"/>
      <c r="C67" s="47" t="str">
        <f>IF(D67="","",IFERROR(INDEX(PERKARA!$B$5:$B$104,MATCH(D67,PERKARA!$A$5:$A$104,0)),"ID TIDAK TERDAFTAR"))</f>
        <v/>
      </c>
      <c r="D67" s="46"/>
      <c r="E67" s="6"/>
      <c r="F67" s="6"/>
      <c r="G67" s="11"/>
      <c r="H67" s="11"/>
      <c r="I67" s="12" t="str">
        <f>IF(C67="","",SUMIFS($G$5:G67,$C$5:C67,C67)-SUMIFS($H$5:H67,$C$5:C67,C67))</f>
        <v/>
      </c>
      <c r="J67" s="6"/>
      <c r="K67" s="6"/>
      <c r="L67" s="103"/>
      <c r="M67" s="103"/>
      <c r="N67" s="6"/>
      <c r="O67" s="6"/>
      <c r="P67" s="67" t="str">
        <f t="shared" si="4"/>
        <v/>
      </c>
      <c r="Q67" s="105"/>
      <c r="R67" s="98"/>
      <c r="S67" s="104" t="str">
        <f t="shared" si="5"/>
        <v/>
      </c>
    </row>
    <row r="68" spans="1:19">
      <c r="A68" s="9" t="str">
        <f t="shared" si="3"/>
        <v/>
      </c>
      <c r="B68" s="10"/>
      <c r="C68" s="47" t="str">
        <f>IF(D68="","",IFERROR(INDEX(PERKARA!$B$5:$B$104,MATCH(D68,PERKARA!$A$5:$A$104,0)),"ID TIDAK TERDAFTAR"))</f>
        <v/>
      </c>
      <c r="D68" s="46"/>
      <c r="E68" s="6"/>
      <c r="F68" s="6"/>
      <c r="G68" s="11"/>
      <c r="H68" s="11"/>
      <c r="I68" s="12" t="str">
        <f>IF(C68="","",SUMIFS($G$5:G68,$C$5:C68,C68)-SUMIFS($H$5:H68,$C$5:C68,C68))</f>
        <v/>
      </c>
      <c r="J68" s="6"/>
      <c r="K68" s="6"/>
      <c r="L68" s="103"/>
      <c r="M68" s="103"/>
      <c r="N68" s="6"/>
      <c r="O68" s="6"/>
      <c r="P68" s="67" t="str">
        <f t="shared" si="4"/>
        <v/>
      </c>
      <c r="Q68" s="105"/>
      <c r="R68" s="98"/>
      <c r="S68" s="104" t="str">
        <f t="shared" si="5"/>
        <v/>
      </c>
    </row>
    <row r="69" spans="1:19">
      <c r="A69" s="9" t="str">
        <f t="shared" ref="A69:A100" si="6">IF(B69="","",IFERROR("TRUST-"&amp;TEXT(B69,"yyyymmdd")&amp;"-"&amp;TEXT(ROW()-4,"000"),"TANGGAL TIDAK VALID"))</f>
        <v/>
      </c>
      <c r="B69" s="10"/>
      <c r="C69" s="47" t="str">
        <f>IF(D69="","",IFERROR(INDEX(PERKARA!$B$5:$B$104,MATCH(D69,PERKARA!$A$5:$A$104,0)),"ID TIDAK TERDAFTAR"))</f>
        <v/>
      </c>
      <c r="D69" s="46"/>
      <c r="E69" s="6"/>
      <c r="F69" s="6"/>
      <c r="G69" s="11"/>
      <c r="H69" s="11"/>
      <c r="I69" s="12" t="str">
        <f>IF(C69="","",SUMIFS($G$5:G69,$C$5:C69,C69)-SUMIFS($H$5:H69,$C$5:C69,C69))</f>
        <v/>
      </c>
      <c r="J69" s="6"/>
      <c r="K69" s="6"/>
      <c r="L69" s="103"/>
      <c r="M69" s="103"/>
      <c r="N69" s="6"/>
      <c r="O69" s="6"/>
      <c r="P69" s="67" t="str">
        <f t="shared" ref="P69:P100" si="7">IF(B69="","",IF(D69="","PERKARA BELUM DIISI",IF(C69="ID TIDAK TERDAFTAR","PERKARA TIDAK VALID",IF(I69&lt;0,"SALDO DANA KLIEN NEGATIF",IF(J69="","AKUN DANA KLIEN BELUM DIISI",IF(AND(H69&gt;0,S69&lt;&gt;"LENGKAP"),"DANA KELUAR TANPA OTORISASI","OK"))))))</f>
        <v/>
      </c>
      <c r="Q69" s="105"/>
      <c r="R69" s="98"/>
      <c r="S69" s="104" t="str">
        <f t="shared" ref="S69:S100" si="8">IF(B69="","",IF(L69="Ditolak","DITOLAK",IF(AND(L69="Disetujui",M69&lt;&gt;""),"LENGKAP",IF(L69="Disetujui","NAMA PENYETUJU BELUM DIISI","MENUNGGU PERSETUJUAN MANUAL"))))</f>
        <v/>
      </c>
    </row>
    <row r="70" spans="1:19">
      <c r="A70" s="9" t="str">
        <f t="shared" si="6"/>
        <v/>
      </c>
      <c r="B70" s="10"/>
      <c r="C70" s="47" t="str">
        <f>IF(D70="","",IFERROR(INDEX(PERKARA!$B$5:$B$104,MATCH(D70,PERKARA!$A$5:$A$104,0)),"ID TIDAK TERDAFTAR"))</f>
        <v/>
      </c>
      <c r="D70" s="46"/>
      <c r="E70" s="6"/>
      <c r="F70" s="6"/>
      <c r="G70" s="11"/>
      <c r="H70" s="11"/>
      <c r="I70" s="12" t="str">
        <f>IF(C70="","",SUMIFS($G$5:G70,$C$5:C70,C70)-SUMIFS($H$5:H70,$C$5:C70,C70))</f>
        <v/>
      </c>
      <c r="J70" s="6"/>
      <c r="K70" s="6"/>
      <c r="L70" s="103"/>
      <c r="M70" s="103"/>
      <c r="N70" s="6"/>
      <c r="O70" s="6"/>
      <c r="P70" s="67" t="str">
        <f t="shared" si="7"/>
        <v/>
      </c>
      <c r="Q70" s="105"/>
      <c r="R70" s="98"/>
      <c r="S70" s="104" t="str">
        <f t="shared" si="8"/>
        <v/>
      </c>
    </row>
    <row r="71" spans="1:19">
      <c r="A71" s="9" t="str">
        <f t="shared" si="6"/>
        <v/>
      </c>
      <c r="B71" s="10"/>
      <c r="C71" s="47" t="str">
        <f>IF(D71="","",IFERROR(INDEX(PERKARA!$B$5:$B$104,MATCH(D71,PERKARA!$A$5:$A$104,0)),"ID TIDAK TERDAFTAR"))</f>
        <v/>
      </c>
      <c r="D71" s="46"/>
      <c r="E71" s="6"/>
      <c r="F71" s="6"/>
      <c r="G71" s="11"/>
      <c r="H71" s="11"/>
      <c r="I71" s="12" t="str">
        <f>IF(C71="","",SUMIFS($G$5:G71,$C$5:C71,C71)-SUMIFS($H$5:H71,$C$5:C71,C71))</f>
        <v/>
      </c>
      <c r="J71" s="6"/>
      <c r="K71" s="6"/>
      <c r="L71" s="103"/>
      <c r="M71" s="103"/>
      <c r="N71" s="6"/>
      <c r="O71" s="6"/>
      <c r="P71" s="67" t="str">
        <f t="shared" si="7"/>
        <v/>
      </c>
      <c r="Q71" s="105"/>
      <c r="R71" s="98"/>
      <c r="S71" s="104" t="str">
        <f t="shared" si="8"/>
        <v/>
      </c>
    </row>
    <row r="72" spans="1:19">
      <c r="A72" s="9" t="str">
        <f t="shared" si="6"/>
        <v/>
      </c>
      <c r="B72" s="10"/>
      <c r="C72" s="47" t="str">
        <f>IF(D72="","",IFERROR(INDEX(PERKARA!$B$5:$B$104,MATCH(D72,PERKARA!$A$5:$A$104,0)),"ID TIDAK TERDAFTAR"))</f>
        <v/>
      </c>
      <c r="D72" s="46"/>
      <c r="E72" s="6"/>
      <c r="F72" s="6"/>
      <c r="G72" s="11"/>
      <c r="H72" s="11"/>
      <c r="I72" s="12" t="str">
        <f>IF(C72="","",SUMIFS($G$5:G72,$C$5:C72,C72)-SUMIFS($H$5:H72,$C$5:C72,C72))</f>
        <v/>
      </c>
      <c r="J72" s="6"/>
      <c r="K72" s="6"/>
      <c r="L72" s="103"/>
      <c r="M72" s="103"/>
      <c r="N72" s="6"/>
      <c r="O72" s="6"/>
      <c r="P72" s="67" t="str">
        <f t="shared" si="7"/>
        <v/>
      </c>
      <c r="Q72" s="105"/>
      <c r="R72" s="98"/>
      <c r="S72" s="104" t="str">
        <f t="shared" si="8"/>
        <v/>
      </c>
    </row>
    <row r="73" spans="1:19">
      <c r="A73" s="9" t="str">
        <f t="shared" si="6"/>
        <v/>
      </c>
      <c r="B73" s="10"/>
      <c r="C73" s="47" t="str">
        <f>IF(D73="","",IFERROR(INDEX(PERKARA!$B$5:$B$104,MATCH(D73,PERKARA!$A$5:$A$104,0)),"ID TIDAK TERDAFTAR"))</f>
        <v/>
      </c>
      <c r="D73" s="46"/>
      <c r="E73" s="6"/>
      <c r="F73" s="6"/>
      <c r="G73" s="11"/>
      <c r="H73" s="11"/>
      <c r="I73" s="12" t="str">
        <f>IF(C73="","",SUMIFS($G$5:G73,$C$5:C73,C73)-SUMIFS($H$5:H73,$C$5:C73,C73))</f>
        <v/>
      </c>
      <c r="J73" s="6"/>
      <c r="K73" s="6"/>
      <c r="L73" s="103"/>
      <c r="M73" s="103"/>
      <c r="N73" s="6"/>
      <c r="O73" s="6"/>
      <c r="P73" s="67" t="str">
        <f t="shared" si="7"/>
        <v/>
      </c>
      <c r="Q73" s="105"/>
      <c r="R73" s="98"/>
      <c r="S73" s="104" t="str">
        <f t="shared" si="8"/>
        <v/>
      </c>
    </row>
    <row r="74" spans="1:19">
      <c r="A74" s="9" t="str">
        <f t="shared" si="6"/>
        <v/>
      </c>
      <c r="B74" s="10"/>
      <c r="C74" s="47" t="str">
        <f>IF(D74="","",IFERROR(INDEX(PERKARA!$B$5:$B$104,MATCH(D74,PERKARA!$A$5:$A$104,0)),"ID TIDAK TERDAFTAR"))</f>
        <v/>
      </c>
      <c r="D74" s="46"/>
      <c r="E74" s="6"/>
      <c r="F74" s="6"/>
      <c r="G74" s="11"/>
      <c r="H74" s="11"/>
      <c r="I74" s="12" t="str">
        <f>IF(C74="","",SUMIFS($G$5:G74,$C$5:C74,C74)-SUMIFS($H$5:H74,$C$5:C74,C74))</f>
        <v/>
      </c>
      <c r="J74" s="6"/>
      <c r="K74" s="6"/>
      <c r="L74" s="103"/>
      <c r="M74" s="103"/>
      <c r="N74" s="6"/>
      <c r="O74" s="6"/>
      <c r="P74" s="67" t="str">
        <f t="shared" si="7"/>
        <v/>
      </c>
      <c r="Q74" s="105"/>
      <c r="R74" s="98"/>
      <c r="S74" s="104" t="str">
        <f t="shared" si="8"/>
        <v/>
      </c>
    </row>
    <row r="75" spans="1:19">
      <c r="A75" s="9" t="str">
        <f t="shared" si="6"/>
        <v/>
      </c>
      <c r="B75" s="10"/>
      <c r="C75" s="47" t="str">
        <f>IF(D75="","",IFERROR(INDEX(PERKARA!$B$5:$B$104,MATCH(D75,PERKARA!$A$5:$A$104,0)),"ID TIDAK TERDAFTAR"))</f>
        <v/>
      </c>
      <c r="D75" s="46"/>
      <c r="E75" s="6"/>
      <c r="F75" s="6"/>
      <c r="G75" s="11"/>
      <c r="H75" s="11"/>
      <c r="I75" s="12" t="str">
        <f>IF(C75="","",SUMIFS($G$5:G75,$C$5:C75,C75)-SUMIFS($H$5:H75,$C$5:C75,C75))</f>
        <v/>
      </c>
      <c r="J75" s="6"/>
      <c r="K75" s="6"/>
      <c r="L75" s="103"/>
      <c r="M75" s="103"/>
      <c r="N75" s="6"/>
      <c r="O75" s="6"/>
      <c r="P75" s="67" t="str">
        <f t="shared" si="7"/>
        <v/>
      </c>
      <c r="Q75" s="105"/>
      <c r="R75" s="98"/>
      <c r="S75" s="104" t="str">
        <f t="shared" si="8"/>
        <v/>
      </c>
    </row>
    <row r="76" spans="1:19">
      <c r="A76" s="9" t="str">
        <f t="shared" si="6"/>
        <v/>
      </c>
      <c r="B76" s="10"/>
      <c r="C76" s="47" t="str">
        <f>IF(D76="","",IFERROR(INDEX(PERKARA!$B$5:$B$104,MATCH(D76,PERKARA!$A$5:$A$104,0)),"ID TIDAK TERDAFTAR"))</f>
        <v/>
      </c>
      <c r="D76" s="46"/>
      <c r="E76" s="6"/>
      <c r="F76" s="6"/>
      <c r="G76" s="11"/>
      <c r="H76" s="11"/>
      <c r="I76" s="12" t="str">
        <f>IF(C76="","",SUMIFS($G$5:G76,$C$5:C76,C76)-SUMIFS($H$5:H76,$C$5:C76,C76))</f>
        <v/>
      </c>
      <c r="J76" s="6"/>
      <c r="K76" s="6"/>
      <c r="L76" s="103"/>
      <c r="M76" s="103"/>
      <c r="N76" s="6"/>
      <c r="O76" s="6"/>
      <c r="P76" s="67" t="str">
        <f t="shared" si="7"/>
        <v/>
      </c>
      <c r="Q76" s="105"/>
      <c r="R76" s="98"/>
      <c r="S76" s="104" t="str">
        <f t="shared" si="8"/>
        <v/>
      </c>
    </row>
    <row r="77" spans="1:19">
      <c r="A77" s="9" t="str">
        <f t="shared" si="6"/>
        <v/>
      </c>
      <c r="B77" s="10"/>
      <c r="C77" s="47" t="str">
        <f>IF(D77="","",IFERROR(INDEX(PERKARA!$B$5:$B$104,MATCH(D77,PERKARA!$A$5:$A$104,0)),"ID TIDAK TERDAFTAR"))</f>
        <v/>
      </c>
      <c r="D77" s="46"/>
      <c r="E77" s="6"/>
      <c r="F77" s="6"/>
      <c r="G77" s="11"/>
      <c r="H77" s="11"/>
      <c r="I77" s="12" t="str">
        <f>IF(C77="","",SUMIFS($G$5:G77,$C$5:C77,C77)-SUMIFS($H$5:H77,$C$5:C77,C77))</f>
        <v/>
      </c>
      <c r="J77" s="6"/>
      <c r="K77" s="6"/>
      <c r="L77" s="103"/>
      <c r="M77" s="103"/>
      <c r="N77" s="6"/>
      <c r="O77" s="6"/>
      <c r="P77" s="67" t="str">
        <f t="shared" si="7"/>
        <v/>
      </c>
      <c r="Q77" s="105"/>
      <c r="R77" s="98"/>
      <c r="S77" s="104" t="str">
        <f t="shared" si="8"/>
        <v/>
      </c>
    </row>
    <row r="78" spans="1:19">
      <c r="A78" s="9" t="str">
        <f t="shared" si="6"/>
        <v/>
      </c>
      <c r="B78" s="10"/>
      <c r="C78" s="47" t="str">
        <f>IF(D78="","",IFERROR(INDEX(PERKARA!$B$5:$B$104,MATCH(D78,PERKARA!$A$5:$A$104,0)),"ID TIDAK TERDAFTAR"))</f>
        <v/>
      </c>
      <c r="D78" s="46"/>
      <c r="E78" s="6"/>
      <c r="F78" s="6"/>
      <c r="G78" s="11"/>
      <c r="H78" s="11"/>
      <c r="I78" s="12" t="str">
        <f>IF(C78="","",SUMIFS($G$5:G78,$C$5:C78,C78)-SUMIFS($H$5:H78,$C$5:C78,C78))</f>
        <v/>
      </c>
      <c r="J78" s="6"/>
      <c r="K78" s="6"/>
      <c r="L78" s="103"/>
      <c r="M78" s="103"/>
      <c r="N78" s="6"/>
      <c r="O78" s="6"/>
      <c r="P78" s="67" t="str">
        <f t="shared" si="7"/>
        <v/>
      </c>
      <c r="Q78" s="105"/>
      <c r="R78" s="98"/>
      <c r="S78" s="104" t="str">
        <f t="shared" si="8"/>
        <v/>
      </c>
    </row>
    <row r="79" spans="1:19">
      <c r="A79" s="9" t="str">
        <f t="shared" si="6"/>
        <v/>
      </c>
      <c r="B79" s="10"/>
      <c r="C79" s="47" t="str">
        <f>IF(D79="","",IFERROR(INDEX(PERKARA!$B$5:$B$104,MATCH(D79,PERKARA!$A$5:$A$104,0)),"ID TIDAK TERDAFTAR"))</f>
        <v/>
      </c>
      <c r="D79" s="46"/>
      <c r="E79" s="6"/>
      <c r="F79" s="6"/>
      <c r="G79" s="11"/>
      <c r="H79" s="11"/>
      <c r="I79" s="12" t="str">
        <f>IF(C79="","",SUMIFS($G$5:G79,$C$5:C79,C79)-SUMIFS($H$5:H79,$C$5:C79,C79))</f>
        <v/>
      </c>
      <c r="J79" s="6"/>
      <c r="K79" s="6"/>
      <c r="L79" s="103"/>
      <c r="M79" s="103"/>
      <c r="N79" s="6"/>
      <c r="O79" s="6"/>
      <c r="P79" s="67" t="str">
        <f t="shared" si="7"/>
        <v/>
      </c>
      <c r="Q79" s="105"/>
      <c r="R79" s="98"/>
      <c r="S79" s="104" t="str">
        <f t="shared" si="8"/>
        <v/>
      </c>
    </row>
    <row r="80" spans="1:19">
      <c r="A80" s="9" t="str">
        <f t="shared" si="6"/>
        <v/>
      </c>
      <c r="B80" s="10"/>
      <c r="C80" s="47" t="str">
        <f>IF(D80="","",IFERROR(INDEX(PERKARA!$B$5:$B$104,MATCH(D80,PERKARA!$A$5:$A$104,0)),"ID TIDAK TERDAFTAR"))</f>
        <v/>
      </c>
      <c r="D80" s="46"/>
      <c r="E80" s="6"/>
      <c r="F80" s="6"/>
      <c r="G80" s="11"/>
      <c r="H80" s="11"/>
      <c r="I80" s="12" t="str">
        <f>IF(C80="","",SUMIFS($G$5:G80,$C$5:C80,C80)-SUMIFS($H$5:H80,$C$5:C80,C80))</f>
        <v/>
      </c>
      <c r="J80" s="6"/>
      <c r="K80" s="6"/>
      <c r="L80" s="103"/>
      <c r="M80" s="103"/>
      <c r="N80" s="6"/>
      <c r="O80" s="6"/>
      <c r="P80" s="67" t="str">
        <f t="shared" si="7"/>
        <v/>
      </c>
      <c r="Q80" s="105"/>
      <c r="R80" s="98"/>
      <c r="S80" s="104" t="str">
        <f t="shared" si="8"/>
        <v/>
      </c>
    </row>
    <row r="81" spans="1:19">
      <c r="A81" s="9" t="str">
        <f t="shared" si="6"/>
        <v/>
      </c>
      <c r="B81" s="10"/>
      <c r="C81" s="47" t="str">
        <f>IF(D81="","",IFERROR(INDEX(PERKARA!$B$5:$B$104,MATCH(D81,PERKARA!$A$5:$A$104,0)),"ID TIDAK TERDAFTAR"))</f>
        <v/>
      </c>
      <c r="D81" s="46"/>
      <c r="E81" s="6"/>
      <c r="F81" s="6"/>
      <c r="G81" s="11"/>
      <c r="H81" s="11"/>
      <c r="I81" s="12" t="str">
        <f>IF(C81="","",SUMIFS($G$5:G81,$C$5:C81,C81)-SUMIFS($H$5:H81,$C$5:C81,C81))</f>
        <v/>
      </c>
      <c r="J81" s="6"/>
      <c r="K81" s="6"/>
      <c r="L81" s="103"/>
      <c r="M81" s="103"/>
      <c r="N81" s="6"/>
      <c r="O81" s="6"/>
      <c r="P81" s="67" t="str">
        <f t="shared" si="7"/>
        <v/>
      </c>
      <c r="Q81" s="105"/>
      <c r="R81" s="98"/>
      <c r="S81" s="104" t="str">
        <f t="shared" si="8"/>
        <v/>
      </c>
    </row>
    <row r="82" spans="1:19">
      <c r="A82" s="9" t="str">
        <f t="shared" si="6"/>
        <v/>
      </c>
      <c r="B82" s="10"/>
      <c r="C82" s="47" t="str">
        <f>IF(D82="","",IFERROR(INDEX(PERKARA!$B$5:$B$104,MATCH(D82,PERKARA!$A$5:$A$104,0)),"ID TIDAK TERDAFTAR"))</f>
        <v/>
      </c>
      <c r="D82" s="46"/>
      <c r="E82" s="6"/>
      <c r="F82" s="6"/>
      <c r="G82" s="11"/>
      <c r="H82" s="11"/>
      <c r="I82" s="12" t="str">
        <f>IF(C82="","",SUMIFS($G$5:G82,$C$5:C82,C82)-SUMIFS($H$5:H82,$C$5:C82,C82))</f>
        <v/>
      </c>
      <c r="J82" s="6"/>
      <c r="K82" s="6"/>
      <c r="L82" s="103"/>
      <c r="M82" s="103"/>
      <c r="N82" s="6"/>
      <c r="O82" s="6"/>
      <c r="P82" s="67" t="str">
        <f t="shared" si="7"/>
        <v/>
      </c>
      <c r="Q82" s="105"/>
      <c r="R82" s="98"/>
      <c r="S82" s="104" t="str">
        <f t="shared" si="8"/>
        <v/>
      </c>
    </row>
    <row r="83" spans="1:19">
      <c r="A83" s="9" t="str">
        <f t="shared" si="6"/>
        <v/>
      </c>
      <c r="B83" s="10"/>
      <c r="C83" s="47" t="str">
        <f>IF(D83="","",IFERROR(INDEX(PERKARA!$B$5:$B$104,MATCH(D83,PERKARA!$A$5:$A$104,0)),"ID TIDAK TERDAFTAR"))</f>
        <v/>
      </c>
      <c r="D83" s="46"/>
      <c r="E83" s="6"/>
      <c r="F83" s="6"/>
      <c r="G83" s="11"/>
      <c r="H83" s="11"/>
      <c r="I83" s="12" t="str">
        <f>IF(C83="","",SUMIFS($G$5:G83,$C$5:C83,C83)-SUMIFS($H$5:H83,$C$5:C83,C83))</f>
        <v/>
      </c>
      <c r="J83" s="6"/>
      <c r="K83" s="6"/>
      <c r="L83" s="103"/>
      <c r="M83" s="103"/>
      <c r="N83" s="6"/>
      <c r="O83" s="6"/>
      <c r="P83" s="67" t="str">
        <f t="shared" si="7"/>
        <v/>
      </c>
      <c r="Q83" s="105"/>
      <c r="R83" s="98"/>
      <c r="S83" s="104" t="str">
        <f t="shared" si="8"/>
        <v/>
      </c>
    </row>
    <row r="84" spans="1:19">
      <c r="A84" s="9" t="str">
        <f t="shared" si="6"/>
        <v/>
      </c>
      <c r="B84" s="10"/>
      <c r="C84" s="47" t="str">
        <f>IF(D84="","",IFERROR(INDEX(PERKARA!$B$5:$B$104,MATCH(D84,PERKARA!$A$5:$A$104,0)),"ID TIDAK TERDAFTAR"))</f>
        <v/>
      </c>
      <c r="D84" s="46"/>
      <c r="E84" s="6"/>
      <c r="F84" s="6"/>
      <c r="G84" s="11"/>
      <c r="H84" s="11"/>
      <c r="I84" s="12" t="str">
        <f>IF(C84="","",SUMIFS($G$5:G84,$C$5:C84,C84)-SUMIFS($H$5:H84,$C$5:C84,C84))</f>
        <v/>
      </c>
      <c r="J84" s="6"/>
      <c r="K84" s="6"/>
      <c r="L84" s="103"/>
      <c r="M84" s="103"/>
      <c r="N84" s="6"/>
      <c r="O84" s="6"/>
      <c r="P84" s="67" t="str">
        <f t="shared" si="7"/>
        <v/>
      </c>
      <c r="Q84" s="105"/>
      <c r="R84" s="98"/>
      <c r="S84" s="104" t="str">
        <f t="shared" si="8"/>
        <v/>
      </c>
    </row>
    <row r="85" spans="1:19">
      <c r="A85" s="9" t="str">
        <f t="shared" si="6"/>
        <v/>
      </c>
      <c r="B85" s="10"/>
      <c r="C85" s="47" t="str">
        <f>IF(D85="","",IFERROR(INDEX(PERKARA!$B$5:$B$104,MATCH(D85,PERKARA!$A$5:$A$104,0)),"ID TIDAK TERDAFTAR"))</f>
        <v/>
      </c>
      <c r="D85" s="46"/>
      <c r="E85" s="6"/>
      <c r="F85" s="6"/>
      <c r="G85" s="11"/>
      <c r="H85" s="11"/>
      <c r="I85" s="12" t="str">
        <f>IF(C85="","",SUMIFS($G$5:G85,$C$5:C85,C85)-SUMIFS($H$5:H85,$C$5:C85,C85))</f>
        <v/>
      </c>
      <c r="J85" s="6"/>
      <c r="K85" s="6"/>
      <c r="L85" s="103"/>
      <c r="M85" s="103"/>
      <c r="N85" s="6"/>
      <c r="O85" s="6"/>
      <c r="P85" s="67" t="str">
        <f t="shared" si="7"/>
        <v/>
      </c>
      <c r="Q85" s="105"/>
      <c r="R85" s="98"/>
      <c r="S85" s="104" t="str">
        <f t="shared" si="8"/>
        <v/>
      </c>
    </row>
    <row r="86" spans="1:19">
      <c r="A86" s="9" t="str">
        <f t="shared" si="6"/>
        <v/>
      </c>
      <c r="B86" s="10"/>
      <c r="C86" s="47" t="str">
        <f>IF(D86="","",IFERROR(INDEX(PERKARA!$B$5:$B$104,MATCH(D86,PERKARA!$A$5:$A$104,0)),"ID TIDAK TERDAFTAR"))</f>
        <v/>
      </c>
      <c r="D86" s="46"/>
      <c r="E86" s="6"/>
      <c r="F86" s="6"/>
      <c r="G86" s="11"/>
      <c r="H86" s="11"/>
      <c r="I86" s="12" t="str">
        <f>IF(C86="","",SUMIFS($G$5:G86,$C$5:C86,C86)-SUMIFS($H$5:H86,$C$5:C86,C86))</f>
        <v/>
      </c>
      <c r="J86" s="6"/>
      <c r="K86" s="6"/>
      <c r="L86" s="103"/>
      <c r="M86" s="103"/>
      <c r="N86" s="6"/>
      <c r="O86" s="6"/>
      <c r="P86" s="67" t="str">
        <f t="shared" si="7"/>
        <v/>
      </c>
      <c r="Q86" s="105"/>
      <c r="R86" s="98"/>
      <c r="S86" s="104" t="str">
        <f t="shared" si="8"/>
        <v/>
      </c>
    </row>
    <row r="87" spans="1:19">
      <c r="A87" s="9" t="str">
        <f t="shared" si="6"/>
        <v/>
      </c>
      <c r="B87" s="10"/>
      <c r="C87" s="47" t="str">
        <f>IF(D87="","",IFERROR(INDEX(PERKARA!$B$5:$B$104,MATCH(D87,PERKARA!$A$5:$A$104,0)),"ID TIDAK TERDAFTAR"))</f>
        <v/>
      </c>
      <c r="D87" s="46"/>
      <c r="E87" s="6"/>
      <c r="F87" s="6"/>
      <c r="G87" s="11"/>
      <c r="H87" s="11"/>
      <c r="I87" s="12" t="str">
        <f>IF(C87="","",SUMIFS($G$5:G87,$C$5:C87,C87)-SUMIFS($H$5:H87,$C$5:C87,C87))</f>
        <v/>
      </c>
      <c r="J87" s="6"/>
      <c r="K87" s="6"/>
      <c r="L87" s="103"/>
      <c r="M87" s="103"/>
      <c r="N87" s="6"/>
      <c r="O87" s="6"/>
      <c r="P87" s="67" t="str">
        <f t="shared" si="7"/>
        <v/>
      </c>
      <c r="Q87" s="105"/>
      <c r="R87" s="98"/>
      <c r="S87" s="104" t="str">
        <f t="shared" si="8"/>
        <v/>
      </c>
    </row>
    <row r="88" spans="1:19">
      <c r="A88" s="9" t="str">
        <f t="shared" si="6"/>
        <v/>
      </c>
      <c r="B88" s="10"/>
      <c r="C88" s="47" t="str">
        <f>IF(D88="","",IFERROR(INDEX(PERKARA!$B$5:$B$104,MATCH(D88,PERKARA!$A$5:$A$104,0)),"ID TIDAK TERDAFTAR"))</f>
        <v/>
      </c>
      <c r="D88" s="46"/>
      <c r="E88" s="6"/>
      <c r="F88" s="6"/>
      <c r="G88" s="11"/>
      <c r="H88" s="11"/>
      <c r="I88" s="12" t="str">
        <f>IF(C88="","",SUMIFS($G$5:G88,$C$5:C88,C88)-SUMIFS($H$5:H88,$C$5:C88,C88))</f>
        <v/>
      </c>
      <c r="J88" s="6"/>
      <c r="K88" s="6"/>
      <c r="L88" s="103"/>
      <c r="M88" s="103"/>
      <c r="N88" s="6"/>
      <c r="O88" s="6"/>
      <c r="P88" s="67" t="str">
        <f t="shared" si="7"/>
        <v/>
      </c>
      <c r="Q88" s="105"/>
      <c r="R88" s="98"/>
      <c r="S88" s="104" t="str">
        <f t="shared" si="8"/>
        <v/>
      </c>
    </row>
    <row r="89" spans="1:19">
      <c r="A89" s="9" t="str">
        <f t="shared" si="6"/>
        <v/>
      </c>
      <c r="B89" s="10"/>
      <c r="C89" s="47" t="str">
        <f>IF(D89="","",IFERROR(INDEX(PERKARA!$B$5:$B$104,MATCH(D89,PERKARA!$A$5:$A$104,0)),"ID TIDAK TERDAFTAR"))</f>
        <v/>
      </c>
      <c r="D89" s="46"/>
      <c r="E89" s="6"/>
      <c r="F89" s="6"/>
      <c r="G89" s="11"/>
      <c r="H89" s="11"/>
      <c r="I89" s="12" t="str">
        <f>IF(C89="","",SUMIFS($G$5:G89,$C$5:C89,C89)-SUMIFS($H$5:H89,$C$5:C89,C89))</f>
        <v/>
      </c>
      <c r="J89" s="6"/>
      <c r="K89" s="6"/>
      <c r="L89" s="103"/>
      <c r="M89" s="103"/>
      <c r="N89" s="6"/>
      <c r="O89" s="6"/>
      <c r="P89" s="67" t="str">
        <f t="shared" si="7"/>
        <v/>
      </c>
      <c r="Q89" s="105"/>
      <c r="R89" s="98"/>
      <c r="S89" s="104" t="str">
        <f t="shared" si="8"/>
        <v/>
      </c>
    </row>
    <row r="90" spans="1:19">
      <c r="A90" s="9" t="str">
        <f t="shared" si="6"/>
        <v/>
      </c>
      <c r="B90" s="10"/>
      <c r="C90" s="47" t="str">
        <f>IF(D90="","",IFERROR(INDEX(PERKARA!$B$5:$B$104,MATCH(D90,PERKARA!$A$5:$A$104,0)),"ID TIDAK TERDAFTAR"))</f>
        <v/>
      </c>
      <c r="D90" s="46"/>
      <c r="E90" s="6"/>
      <c r="F90" s="6"/>
      <c r="G90" s="11"/>
      <c r="H90" s="11"/>
      <c r="I90" s="12" t="str">
        <f>IF(C90="","",SUMIFS($G$5:G90,$C$5:C90,C90)-SUMIFS($H$5:H90,$C$5:C90,C90))</f>
        <v/>
      </c>
      <c r="J90" s="6"/>
      <c r="K90" s="6"/>
      <c r="L90" s="103"/>
      <c r="M90" s="103"/>
      <c r="N90" s="6"/>
      <c r="O90" s="6"/>
      <c r="P90" s="67" t="str">
        <f t="shared" si="7"/>
        <v/>
      </c>
      <c r="Q90" s="105"/>
      <c r="R90" s="98"/>
      <c r="S90" s="104" t="str">
        <f t="shared" si="8"/>
        <v/>
      </c>
    </row>
    <row r="91" spans="1:19">
      <c r="A91" s="9" t="str">
        <f t="shared" si="6"/>
        <v/>
      </c>
      <c r="B91" s="10"/>
      <c r="C91" s="47" t="str">
        <f>IF(D91="","",IFERROR(INDEX(PERKARA!$B$5:$B$104,MATCH(D91,PERKARA!$A$5:$A$104,0)),"ID TIDAK TERDAFTAR"))</f>
        <v/>
      </c>
      <c r="D91" s="46"/>
      <c r="E91" s="6"/>
      <c r="F91" s="6"/>
      <c r="G91" s="11"/>
      <c r="H91" s="11"/>
      <c r="I91" s="12" t="str">
        <f>IF(C91="","",SUMIFS($G$5:G91,$C$5:C91,C91)-SUMIFS($H$5:H91,$C$5:C91,C91))</f>
        <v/>
      </c>
      <c r="J91" s="6"/>
      <c r="K91" s="6"/>
      <c r="L91" s="103"/>
      <c r="M91" s="103"/>
      <c r="N91" s="6"/>
      <c r="O91" s="6"/>
      <c r="P91" s="67" t="str">
        <f t="shared" si="7"/>
        <v/>
      </c>
      <c r="Q91" s="105"/>
      <c r="R91" s="98"/>
      <c r="S91" s="104" t="str">
        <f t="shared" si="8"/>
        <v/>
      </c>
    </row>
    <row r="92" spans="1:19">
      <c r="A92" s="9" t="str">
        <f t="shared" si="6"/>
        <v/>
      </c>
      <c r="B92" s="10"/>
      <c r="C92" s="47" t="str">
        <f>IF(D92="","",IFERROR(INDEX(PERKARA!$B$5:$B$104,MATCH(D92,PERKARA!$A$5:$A$104,0)),"ID TIDAK TERDAFTAR"))</f>
        <v/>
      </c>
      <c r="D92" s="46"/>
      <c r="E92" s="6"/>
      <c r="F92" s="6"/>
      <c r="G92" s="11"/>
      <c r="H92" s="11"/>
      <c r="I92" s="12" t="str">
        <f>IF(C92="","",SUMIFS($G$5:G92,$C$5:C92,C92)-SUMIFS($H$5:H92,$C$5:C92,C92))</f>
        <v/>
      </c>
      <c r="J92" s="6"/>
      <c r="K92" s="6"/>
      <c r="L92" s="103"/>
      <c r="M92" s="103"/>
      <c r="N92" s="6"/>
      <c r="O92" s="6"/>
      <c r="P92" s="67" t="str">
        <f t="shared" si="7"/>
        <v/>
      </c>
      <c r="Q92" s="105"/>
      <c r="R92" s="98"/>
      <c r="S92" s="104" t="str">
        <f t="shared" si="8"/>
        <v/>
      </c>
    </row>
    <row r="93" spans="1:19">
      <c r="A93" s="9" t="str">
        <f t="shared" si="6"/>
        <v/>
      </c>
      <c r="B93" s="10"/>
      <c r="C93" s="47" t="str">
        <f>IF(D93="","",IFERROR(INDEX(PERKARA!$B$5:$B$104,MATCH(D93,PERKARA!$A$5:$A$104,0)),"ID TIDAK TERDAFTAR"))</f>
        <v/>
      </c>
      <c r="D93" s="46"/>
      <c r="E93" s="6"/>
      <c r="F93" s="6"/>
      <c r="G93" s="11"/>
      <c r="H93" s="11"/>
      <c r="I93" s="12" t="str">
        <f>IF(C93="","",SUMIFS($G$5:G93,$C$5:C93,C93)-SUMIFS($H$5:H93,$C$5:C93,C93))</f>
        <v/>
      </c>
      <c r="J93" s="6"/>
      <c r="K93" s="6"/>
      <c r="L93" s="103"/>
      <c r="M93" s="103"/>
      <c r="N93" s="6"/>
      <c r="O93" s="6"/>
      <c r="P93" s="67" t="str">
        <f t="shared" si="7"/>
        <v/>
      </c>
      <c r="Q93" s="105"/>
      <c r="R93" s="98"/>
      <c r="S93" s="104" t="str">
        <f t="shared" si="8"/>
        <v/>
      </c>
    </row>
    <row r="94" spans="1:19">
      <c r="A94" s="9" t="str">
        <f t="shared" si="6"/>
        <v/>
      </c>
      <c r="B94" s="10"/>
      <c r="C94" s="47" t="str">
        <f>IF(D94="","",IFERROR(INDEX(PERKARA!$B$5:$B$104,MATCH(D94,PERKARA!$A$5:$A$104,0)),"ID TIDAK TERDAFTAR"))</f>
        <v/>
      </c>
      <c r="D94" s="46"/>
      <c r="E94" s="6"/>
      <c r="F94" s="6"/>
      <c r="G94" s="11"/>
      <c r="H94" s="11"/>
      <c r="I94" s="12" t="str">
        <f>IF(C94="","",SUMIFS($G$5:G94,$C$5:C94,C94)-SUMIFS($H$5:H94,$C$5:C94,C94))</f>
        <v/>
      </c>
      <c r="J94" s="6"/>
      <c r="K94" s="6"/>
      <c r="L94" s="103"/>
      <c r="M94" s="103"/>
      <c r="N94" s="6"/>
      <c r="O94" s="6"/>
      <c r="P94" s="67" t="str">
        <f t="shared" si="7"/>
        <v/>
      </c>
      <c r="Q94" s="105"/>
      <c r="R94" s="98"/>
      <c r="S94" s="104" t="str">
        <f t="shared" si="8"/>
        <v/>
      </c>
    </row>
    <row r="95" spans="1:19">
      <c r="A95" s="9" t="str">
        <f t="shared" si="6"/>
        <v/>
      </c>
      <c r="B95" s="10"/>
      <c r="C95" s="47" t="str">
        <f>IF(D95="","",IFERROR(INDEX(PERKARA!$B$5:$B$104,MATCH(D95,PERKARA!$A$5:$A$104,0)),"ID TIDAK TERDAFTAR"))</f>
        <v/>
      </c>
      <c r="D95" s="46"/>
      <c r="E95" s="6"/>
      <c r="F95" s="6"/>
      <c r="G95" s="11"/>
      <c r="H95" s="11"/>
      <c r="I95" s="12" t="str">
        <f>IF(C95="","",SUMIFS($G$5:G95,$C$5:C95,C95)-SUMIFS($H$5:H95,$C$5:C95,C95))</f>
        <v/>
      </c>
      <c r="J95" s="6"/>
      <c r="K95" s="6"/>
      <c r="L95" s="103"/>
      <c r="M95" s="103"/>
      <c r="N95" s="6"/>
      <c r="O95" s="6"/>
      <c r="P95" s="67" t="str">
        <f t="shared" si="7"/>
        <v/>
      </c>
      <c r="Q95" s="105"/>
      <c r="R95" s="98"/>
      <c r="S95" s="104" t="str">
        <f t="shared" si="8"/>
        <v/>
      </c>
    </row>
    <row r="96" spans="1:19">
      <c r="A96" s="9" t="str">
        <f t="shared" si="6"/>
        <v/>
      </c>
      <c r="B96" s="10"/>
      <c r="C96" s="47" t="str">
        <f>IF(D96="","",IFERROR(INDEX(PERKARA!$B$5:$B$104,MATCH(D96,PERKARA!$A$5:$A$104,0)),"ID TIDAK TERDAFTAR"))</f>
        <v/>
      </c>
      <c r="D96" s="46"/>
      <c r="E96" s="6"/>
      <c r="F96" s="6"/>
      <c r="G96" s="11"/>
      <c r="H96" s="11"/>
      <c r="I96" s="12" t="str">
        <f>IF(C96="","",SUMIFS($G$5:G96,$C$5:C96,C96)-SUMIFS($H$5:H96,$C$5:C96,C96))</f>
        <v/>
      </c>
      <c r="J96" s="6"/>
      <c r="K96" s="6"/>
      <c r="L96" s="103"/>
      <c r="M96" s="103"/>
      <c r="N96" s="6"/>
      <c r="O96" s="6"/>
      <c r="P96" s="67" t="str">
        <f t="shared" si="7"/>
        <v/>
      </c>
      <c r="Q96" s="105"/>
      <c r="R96" s="98"/>
      <c r="S96" s="104" t="str">
        <f t="shared" si="8"/>
        <v/>
      </c>
    </row>
    <row r="97" spans="1:19">
      <c r="A97" s="9" t="str">
        <f t="shared" si="6"/>
        <v/>
      </c>
      <c r="B97" s="10"/>
      <c r="C97" s="47" t="str">
        <f>IF(D97="","",IFERROR(INDEX(PERKARA!$B$5:$B$104,MATCH(D97,PERKARA!$A$5:$A$104,0)),"ID TIDAK TERDAFTAR"))</f>
        <v/>
      </c>
      <c r="D97" s="46"/>
      <c r="E97" s="6"/>
      <c r="F97" s="6"/>
      <c r="G97" s="11"/>
      <c r="H97" s="11"/>
      <c r="I97" s="12" t="str">
        <f>IF(C97="","",SUMIFS($G$5:G97,$C$5:C97,C97)-SUMIFS($H$5:H97,$C$5:C97,C97))</f>
        <v/>
      </c>
      <c r="J97" s="6"/>
      <c r="K97" s="6"/>
      <c r="L97" s="103"/>
      <c r="M97" s="103"/>
      <c r="N97" s="6"/>
      <c r="O97" s="6"/>
      <c r="P97" s="67" t="str">
        <f t="shared" si="7"/>
        <v/>
      </c>
      <c r="Q97" s="105"/>
      <c r="R97" s="98"/>
      <c r="S97" s="104" t="str">
        <f t="shared" si="8"/>
        <v/>
      </c>
    </row>
    <row r="98" spans="1:19">
      <c r="A98" s="9" t="str">
        <f t="shared" si="6"/>
        <v/>
      </c>
      <c r="B98" s="10"/>
      <c r="C98" s="47" t="str">
        <f>IF(D98="","",IFERROR(INDEX(PERKARA!$B$5:$B$104,MATCH(D98,PERKARA!$A$5:$A$104,0)),"ID TIDAK TERDAFTAR"))</f>
        <v/>
      </c>
      <c r="D98" s="46"/>
      <c r="E98" s="6"/>
      <c r="F98" s="6"/>
      <c r="G98" s="11"/>
      <c r="H98" s="11"/>
      <c r="I98" s="12" t="str">
        <f>IF(C98="","",SUMIFS($G$5:G98,$C$5:C98,C98)-SUMIFS($H$5:H98,$C$5:C98,C98))</f>
        <v/>
      </c>
      <c r="J98" s="6"/>
      <c r="K98" s="6"/>
      <c r="L98" s="103"/>
      <c r="M98" s="103"/>
      <c r="N98" s="6"/>
      <c r="O98" s="6"/>
      <c r="P98" s="67" t="str">
        <f t="shared" si="7"/>
        <v/>
      </c>
      <c r="Q98" s="105"/>
      <c r="R98" s="98"/>
      <c r="S98" s="104" t="str">
        <f t="shared" si="8"/>
        <v/>
      </c>
    </row>
    <row r="99" spans="1:19">
      <c r="A99" s="9" t="str">
        <f t="shared" si="6"/>
        <v/>
      </c>
      <c r="B99" s="10"/>
      <c r="C99" s="47" t="str">
        <f>IF(D99="","",IFERROR(INDEX(PERKARA!$B$5:$B$104,MATCH(D99,PERKARA!$A$5:$A$104,0)),"ID TIDAK TERDAFTAR"))</f>
        <v/>
      </c>
      <c r="D99" s="46"/>
      <c r="E99" s="6"/>
      <c r="F99" s="6"/>
      <c r="G99" s="11"/>
      <c r="H99" s="11"/>
      <c r="I99" s="12" t="str">
        <f>IF(C99="","",SUMIFS($G$5:G99,$C$5:C99,C99)-SUMIFS($H$5:H99,$C$5:C99,C99))</f>
        <v/>
      </c>
      <c r="J99" s="6"/>
      <c r="K99" s="6"/>
      <c r="L99" s="103"/>
      <c r="M99" s="103"/>
      <c r="N99" s="6"/>
      <c r="O99" s="6"/>
      <c r="P99" s="67" t="str">
        <f t="shared" si="7"/>
        <v/>
      </c>
      <c r="Q99" s="105"/>
      <c r="R99" s="98"/>
      <c r="S99" s="104" t="str">
        <f t="shared" si="8"/>
        <v/>
      </c>
    </row>
    <row r="100" spans="1:19">
      <c r="A100" s="9" t="str">
        <f t="shared" si="6"/>
        <v/>
      </c>
      <c r="B100" s="10"/>
      <c r="C100" s="47" t="str">
        <f>IF(D100="","",IFERROR(INDEX(PERKARA!$B$5:$B$104,MATCH(D100,PERKARA!$A$5:$A$104,0)),"ID TIDAK TERDAFTAR"))</f>
        <v/>
      </c>
      <c r="D100" s="46"/>
      <c r="E100" s="6"/>
      <c r="F100" s="6"/>
      <c r="G100" s="11"/>
      <c r="H100" s="11"/>
      <c r="I100" s="12" t="str">
        <f>IF(C100="","",SUMIFS($G$5:G100,$C$5:C100,C100)-SUMIFS($H$5:H100,$C$5:C100,C100))</f>
        <v/>
      </c>
      <c r="J100" s="6"/>
      <c r="K100" s="6"/>
      <c r="L100" s="103"/>
      <c r="M100" s="103"/>
      <c r="N100" s="6"/>
      <c r="O100" s="6"/>
      <c r="P100" s="67" t="str">
        <f t="shared" si="7"/>
        <v/>
      </c>
      <c r="Q100" s="105"/>
      <c r="R100" s="98"/>
      <c r="S100" s="104" t="str">
        <f t="shared" si="8"/>
        <v/>
      </c>
    </row>
    <row r="101" spans="1:19">
      <c r="A101" s="9" t="str">
        <f t="shared" ref="A101:A132" si="9">IF(B101="","",IFERROR("TRUST-"&amp;TEXT(B101,"yyyymmdd")&amp;"-"&amp;TEXT(ROW()-4,"000"),"TANGGAL TIDAK VALID"))</f>
        <v/>
      </c>
      <c r="B101" s="10"/>
      <c r="C101" s="47" t="str">
        <f>IF(D101="","",IFERROR(INDEX(PERKARA!$B$5:$B$104,MATCH(D101,PERKARA!$A$5:$A$104,0)),"ID TIDAK TERDAFTAR"))</f>
        <v/>
      </c>
      <c r="D101" s="46"/>
      <c r="E101" s="6"/>
      <c r="F101" s="6"/>
      <c r="G101" s="11"/>
      <c r="H101" s="11"/>
      <c r="I101" s="12" t="str">
        <f>IF(C101="","",SUMIFS($G$5:G101,$C$5:C101,C101)-SUMIFS($H$5:H101,$C$5:C101,C101))</f>
        <v/>
      </c>
      <c r="J101" s="6"/>
      <c r="K101" s="6"/>
      <c r="L101" s="103"/>
      <c r="M101" s="103"/>
      <c r="N101" s="6"/>
      <c r="O101" s="6"/>
      <c r="P101" s="67" t="str">
        <f t="shared" ref="P101:P132" si="10">IF(B101="","",IF(D101="","PERKARA BELUM DIISI",IF(C101="ID TIDAK TERDAFTAR","PERKARA TIDAK VALID",IF(I101&lt;0,"SALDO DANA KLIEN NEGATIF",IF(J101="","AKUN DANA KLIEN BELUM DIISI",IF(AND(H101&gt;0,S101&lt;&gt;"LENGKAP"),"DANA KELUAR TANPA OTORISASI","OK"))))))</f>
        <v/>
      </c>
      <c r="Q101" s="105"/>
      <c r="R101" s="98"/>
      <c r="S101" s="104" t="str">
        <f t="shared" ref="S101:S132" si="11">IF(B101="","",IF(L101="Ditolak","DITOLAK",IF(AND(L101="Disetujui",M101&lt;&gt;""),"LENGKAP",IF(L101="Disetujui","NAMA PENYETUJU BELUM DIISI","MENUNGGU PERSETUJUAN MANUAL"))))</f>
        <v/>
      </c>
    </row>
    <row r="102" spans="1:19">
      <c r="A102" s="9" t="str">
        <f t="shared" si="9"/>
        <v/>
      </c>
      <c r="B102" s="10"/>
      <c r="C102" s="47" t="str">
        <f>IF(D102="","",IFERROR(INDEX(PERKARA!$B$5:$B$104,MATCH(D102,PERKARA!$A$5:$A$104,0)),"ID TIDAK TERDAFTAR"))</f>
        <v/>
      </c>
      <c r="D102" s="46"/>
      <c r="E102" s="6"/>
      <c r="F102" s="6"/>
      <c r="G102" s="11"/>
      <c r="H102" s="11"/>
      <c r="I102" s="12" t="str">
        <f>IF(C102="","",SUMIFS($G$5:G102,$C$5:C102,C102)-SUMIFS($H$5:H102,$C$5:C102,C102))</f>
        <v/>
      </c>
      <c r="J102" s="6"/>
      <c r="K102" s="6"/>
      <c r="L102" s="103"/>
      <c r="M102" s="103"/>
      <c r="N102" s="6"/>
      <c r="O102" s="6"/>
      <c r="P102" s="67" t="str">
        <f t="shared" si="10"/>
        <v/>
      </c>
      <c r="Q102" s="105"/>
      <c r="R102" s="98"/>
      <c r="S102" s="104" t="str">
        <f t="shared" si="11"/>
        <v/>
      </c>
    </row>
    <row r="103" spans="1:19">
      <c r="A103" s="9" t="str">
        <f t="shared" si="9"/>
        <v/>
      </c>
      <c r="B103" s="10"/>
      <c r="C103" s="47" t="str">
        <f>IF(D103="","",IFERROR(INDEX(PERKARA!$B$5:$B$104,MATCH(D103,PERKARA!$A$5:$A$104,0)),"ID TIDAK TERDAFTAR"))</f>
        <v/>
      </c>
      <c r="D103" s="46"/>
      <c r="E103" s="6"/>
      <c r="F103" s="6"/>
      <c r="G103" s="11"/>
      <c r="H103" s="11"/>
      <c r="I103" s="12" t="str">
        <f>IF(C103="","",SUMIFS($G$5:G103,$C$5:C103,C103)-SUMIFS($H$5:H103,$C$5:C103,C103))</f>
        <v/>
      </c>
      <c r="J103" s="6"/>
      <c r="K103" s="6"/>
      <c r="L103" s="103"/>
      <c r="M103" s="103"/>
      <c r="N103" s="6"/>
      <c r="O103" s="6"/>
      <c r="P103" s="67" t="str">
        <f t="shared" si="10"/>
        <v/>
      </c>
      <c r="Q103" s="105"/>
      <c r="R103" s="98"/>
      <c r="S103" s="104" t="str">
        <f t="shared" si="11"/>
        <v/>
      </c>
    </row>
    <row r="104" spans="1:19">
      <c r="A104" s="9" t="str">
        <f t="shared" si="9"/>
        <v/>
      </c>
      <c r="B104" s="10"/>
      <c r="C104" s="47" t="str">
        <f>IF(D104="","",IFERROR(INDEX(PERKARA!$B$5:$B$104,MATCH(D104,PERKARA!$A$5:$A$104,0)),"ID TIDAK TERDAFTAR"))</f>
        <v/>
      </c>
      <c r="D104" s="46"/>
      <c r="E104" s="6"/>
      <c r="F104" s="6"/>
      <c r="G104" s="11"/>
      <c r="H104" s="11"/>
      <c r="I104" s="12" t="str">
        <f>IF(C104="","",SUMIFS($G$5:G104,$C$5:C104,C104)-SUMIFS($H$5:H104,$C$5:C104,C104))</f>
        <v/>
      </c>
      <c r="J104" s="6"/>
      <c r="K104" s="6"/>
      <c r="L104" s="103"/>
      <c r="M104" s="103"/>
      <c r="N104" s="6"/>
      <c r="O104" s="6"/>
      <c r="P104" s="67" t="str">
        <f t="shared" si="10"/>
        <v/>
      </c>
      <c r="Q104" s="105"/>
      <c r="R104" s="98"/>
      <c r="S104" s="104" t="str">
        <f t="shared" si="11"/>
        <v/>
      </c>
    </row>
    <row r="105" spans="1:19">
      <c r="A105" s="9" t="str">
        <f t="shared" si="9"/>
        <v/>
      </c>
      <c r="B105" s="10"/>
      <c r="C105" s="47" t="str">
        <f>IF(D105="","",IFERROR(INDEX(PERKARA!$B$5:$B$104,MATCH(D105,PERKARA!$A$5:$A$104,0)),"ID TIDAK TERDAFTAR"))</f>
        <v/>
      </c>
      <c r="D105" s="46"/>
      <c r="E105" s="6"/>
      <c r="F105" s="6"/>
      <c r="G105" s="11"/>
      <c r="H105" s="11"/>
      <c r="I105" s="12" t="str">
        <f>IF(C105="","",SUMIFS($G$5:G105,$C$5:C105,C105)-SUMIFS($H$5:H105,$C$5:C105,C105))</f>
        <v/>
      </c>
      <c r="J105" s="6"/>
      <c r="K105" s="6"/>
      <c r="L105" s="103"/>
      <c r="M105" s="103"/>
      <c r="N105" s="6"/>
      <c r="O105" s="6"/>
      <c r="P105" s="67" t="str">
        <f t="shared" si="10"/>
        <v/>
      </c>
      <c r="Q105" s="105"/>
      <c r="R105" s="98"/>
      <c r="S105" s="104" t="str">
        <f t="shared" si="11"/>
        <v/>
      </c>
    </row>
    <row r="106" spans="1:19">
      <c r="A106" s="9" t="str">
        <f t="shared" si="9"/>
        <v/>
      </c>
      <c r="B106" s="10"/>
      <c r="C106" s="47" t="str">
        <f>IF(D106="","",IFERROR(INDEX(PERKARA!$B$5:$B$104,MATCH(D106,PERKARA!$A$5:$A$104,0)),"ID TIDAK TERDAFTAR"))</f>
        <v/>
      </c>
      <c r="D106" s="46"/>
      <c r="E106" s="6"/>
      <c r="F106" s="6"/>
      <c r="G106" s="11"/>
      <c r="H106" s="11"/>
      <c r="I106" s="12" t="str">
        <f>IF(C106="","",SUMIFS($G$5:G106,$C$5:C106,C106)-SUMIFS($H$5:H106,$C$5:C106,C106))</f>
        <v/>
      </c>
      <c r="J106" s="6"/>
      <c r="K106" s="6"/>
      <c r="L106" s="103"/>
      <c r="M106" s="103"/>
      <c r="N106" s="6"/>
      <c r="O106" s="6"/>
      <c r="P106" s="67" t="str">
        <f t="shared" si="10"/>
        <v/>
      </c>
      <c r="Q106" s="105"/>
      <c r="R106" s="98"/>
      <c r="S106" s="104" t="str">
        <f t="shared" si="11"/>
        <v/>
      </c>
    </row>
    <row r="107" spans="1:19">
      <c r="A107" s="9" t="str">
        <f t="shared" si="9"/>
        <v/>
      </c>
      <c r="B107" s="10"/>
      <c r="C107" s="47" t="str">
        <f>IF(D107="","",IFERROR(INDEX(PERKARA!$B$5:$B$104,MATCH(D107,PERKARA!$A$5:$A$104,0)),"ID TIDAK TERDAFTAR"))</f>
        <v/>
      </c>
      <c r="D107" s="46"/>
      <c r="E107" s="6"/>
      <c r="F107" s="6"/>
      <c r="G107" s="11"/>
      <c r="H107" s="11"/>
      <c r="I107" s="12" t="str">
        <f>IF(C107="","",SUMIFS($G$5:G107,$C$5:C107,C107)-SUMIFS($H$5:H107,$C$5:C107,C107))</f>
        <v/>
      </c>
      <c r="J107" s="6"/>
      <c r="K107" s="6"/>
      <c r="L107" s="103"/>
      <c r="M107" s="103"/>
      <c r="N107" s="6"/>
      <c r="O107" s="6"/>
      <c r="P107" s="67" t="str">
        <f t="shared" si="10"/>
        <v/>
      </c>
      <c r="Q107" s="105"/>
      <c r="R107" s="98"/>
      <c r="S107" s="104" t="str">
        <f t="shared" si="11"/>
        <v/>
      </c>
    </row>
    <row r="108" spans="1:19">
      <c r="A108" s="9" t="str">
        <f t="shared" si="9"/>
        <v/>
      </c>
      <c r="B108" s="10"/>
      <c r="C108" s="47" t="str">
        <f>IF(D108="","",IFERROR(INDEX(PERKARA!$B$5:$B$104,MATCH(D108,PERKARA!$A$5:$A$104,0)),"ID TIDAK TERDAFTAR"))</f>
        <v/>
      </c>
      <c r="D108" s="46"/>
      <c r="E108" s="6"/>
      <c r="F108" s="6"/>
      <c r="G108" s="11"/>
      <c r="H108" s="11"/>
      <c r="I108" s="12" t="str">
        <f>IF(C108="","",SUMIFS($G$5:G108,$C$5:C108,C108)-SUMIFS($H$5:H108,$C$5:C108,C108))</f>
        <v/>
      </c>
      <c r="J108" s="6"/>
      <c r="K108" s="6"/>
      <c r="L108" s="103"/>
      <c r="M108" s="103"/>
      <c r="N108" s="6"/>
      <c r="O108" s="6"/>
      <c r="P108" s="67" t="str">
        <f t="shared" si="10"/>
        <v/>
      </c>
      <c r="Q108" s="105"/>
      <c r="R108" s="98"/>
      <c r="S108" s="104" t="str">
        <f t="shared" si="11"/>
        <v/>
      </c>
    </row>
    <row r="109" spans="1:19">
      <c r="A109" s="9" t="str">
        <f t="shared" si="9"/>
        <v/>
      </c>
      <c r="B109" s="10"/>
      <c r="C109" s="47" t="str">
        <f>IF(D109="","",IFERROR(INDEX(PERKARA!$B$5:$B$104,MATCH(D109,PERKARA!$A$5:$A$104,0)),"ID TIDAK TERDAFTAR"))</f>
        <v/>
      </c>
      <c r="D109" s="46"/>
      <c r="E109" s="6"/>
      <c r="F109" s="6"/>
      <c r="G109" s="11"/>
      <c r="H109" s="11"/>
      <c r="I109" s="12" t="str">
        <f>IF(C109="","",SUMIFS($G$5:G109,$C$5:C109,C109)-SUMIFS($H$5:H109,$C$5:C109,C109))</f>
        <v/>
      </c>
      <c r="J109" s="6"/>
      <c r="K109" s="6"/>
      <c r="L109" s="103"/>
      <c r="M109" s="103"/>
      <c r="N109" s="6"/>
      <c r="O109" s="6"/>
      <c r="P109" s="67" t="str">
        <f t="shared" si="10"/>
        <v/>
      </c>
      <c r="Q109" s="105"/>
      <c r="R109" s="98"/>
      <c r="S109" s="104" t="str">
        <f t="shared" si="11"/>
        <v/>
      </c>
    </row>
    <row r="110" spans="1:19">
      <c r="A110" s="9" t="str">
        <f t="shared" si="9"/>
        <v/>
      </c>
      <c r="B110" s="10"/>
      <c r="C110" s="47" t="str">
        <f>IF(D110="","",IFERROR(INDEX(PERKARA!$B$5:$B$104,MATCH(D110,PERKARA!$A$5:$A$104,0)),"ID TIDAK TERDAFTAR"))</f>
        <v/>
      </c>
      <c r="D110" s="46"/>
      <c r="E110" s="6"/>
      <c r="F110" s="6"/>
      <c r="G110" s="11"/>
      <c r="H110" s="11"/>
      <c r="I110" s="12" t="str">
        <f>IF(C110="","",SUMIFS($G$5:G110,$C$5:C110,C110)-SUMIFS($H$5:H110,$C$5:C110,C110))</f>
        <v/>
      </c>
      <c r="J110" s="6"/>
      <c r="K110" s="6"/>
      <c r="L110" s="103"/>
      <c r="M110" s="103"/>
      <c r="N110" s="6"/>
      <c r="O110" s="6"/>
      <c r="P110" s="67" t="str">
        <f t="shared" si="10"/>
        <v/>
      </c>
      <c r="Q110" s="105"/>
      <c r="R110" s="98"/>
      <c r="S110" s="104" t="str">
        <f t="shared" si="11"/>
        <v/>
      </c>
    </row>
    <row r="111" spans="1:19">
      <c r="A111" s="9" t="str">
        <f t="shared" si="9"/>
        <v/>
      </c>
      <c r="B111" s="10"/>
      <c r="C111" s="47" t="str">
        <f>IF(D111="","",IFERROR(INDEX(PERKARA!$B$5:$B$104,MATCH(D111,PERKARA!$A$5:$A$104,0)),"ID TIDAK TERDAFTAR"))</f>
        <v/>
      </c>
      <c r="D111" s="46"/>
      <c r="E111" s="6"/>
      <c r="F111" s="6"/>
      <c r="G111" s="11"/>
      <c r="H111" s="11"/>
      <c r="I111" s="12" t="str">
        <f>IF(C111="","",SUMIFS($G$5:G111,$C$5:C111,C111)-SUMIFS($H$5:H111,$C$5:C111,C111))</f>
        <v/>
      </c>
      <c r="J111" s="6"/>
      <c r="K111" s="6"/>
      <c r="L111" s="103"/>
      <c r="M111" s="103"/>
      <c r="N111" s="6"/>
      <c r="O111" s="6"/>
      <c r="P111" s="67" t="str">
        <f t="shared" si="10"/>
        <v/>
      </c>
      <c r="Q111" s="105"/>
      <c r="R111" s="98"/>
      <c r="S111" s="104" t="str">
        <f t="shared" si="11"/>
        <v/>
      </c>
    </row>
    <row r="112" spans="1:19">
      <c r="A112" s="9" t="str">
        <f t="shared" si="9"/>
        <v/>
      </c>
      <c r="B112" s="10"/>
      <c r="C112" s="47" t="str">
        <f>IF(D112="","",IFERROR(INDEX(PERKARA!$B$5:$B$104,MATCH(D112,PERKARA!$A$5:$A$104,0)),"ID TIDAK TERDAFTAR"))</f>
        <v/>
      </c>
      <c r="D112" s="46"/>
      <c r="E112" s="6"/>
      <c r="F112" s="6"/>
      <c r="G112" s="11"/>
      <c r="H112" s="11"/>
      <c r="I112" s="12" t="str">
        <f>IF(C112="","",SUMIFS($G$5:G112,$C$5:C112,C112)-SUMIFS($H$5:H112,$C$5:C112,C112))</f>
        <v/>
      </c>
      <c r="J112" s="6"/>
      <c r="K112" s="6"/>
      <c r="L112" s="103"/>
      <c r="M112" s="103"/>
      <c r="N112" s="6"/>
      <c r="O112" s="6"/>
      <c r="P112" s="67" t="str">
        <f t="shared" si="10"/>
        <v/>
      </c>
      <c r="Q112" s="105"/>
      <c r="R112" s="98"/>
      <c r="S112" s="104" t="str">
        <f t="shared" si="11"/>
        <v/>
      </c>
    </row>
    <row r="113" spans="1:19">
      <c r="A113" s="9" t="str">
        <f t="shared" si="9"/>
        <v/>
      </c>
      <c r="B113" s="10"/>
      <c r="C113" s="47" t="str">
        <f>IF(D113="","",IFERROR(INDEX(PERKARA!$B$5:$B$104,MATCH(D113,PERKARA!$A$5:$A$104,0)),"ID TIDAK TERDAFTAR"))</f>
        <v/>
      </c>
      <c r="D113" s="46"/>
      <c r="E113" s="6"/>
      <c r="F113" s="6"/>
      <c r="G113" s="11"/>
      <c r="H113" s="11"/>
      <c r="I113" s="12" t="str">
        <f>IF(C113="","",SUMIFS($G$5:G113,$C$5:C113,C113)-SUMIFS($H$5:H113,$C$5:C113,C113))</f>
        <v/>
      </c>
      <c r="J113" s="6"/>
      <c r="K113" s="6"/>
      <c r="L113" s="103"/>
      <c r="M113" s="103"/>
      <c r="N113" s="6"/>
      <c r="O113" s="6"/>
      <c r="P113" s="67" t="str">
        <f t="shared" si="10"/>
        <v/>
      </c>
      <c r="Q113" s="105"/>
      <c r="R113" s="98"/>
      <c r="S113" s="104" t="str">
        <f t="shared" si="11"/>
        <v/>
      </c>
    </row>
    <row r="114" spans="1:19">
      <c r="A114" s="9" t="str">
        <f t="shared" si="9"/>
        <v/>
      </c>
      <c r="B114" s="10"/>
      <c r="C114" s="47" t="str">
        <f>IF(D114="","",IFERROR(INDEX(PERKARA!$B$5:$B$104,MATCH(D114,PERKARA!$A$5:$A$104,0)),"ID TIDAK TERDAFTAR"))</f>
        <v/>
      </c>
      <c r="D114" s="46"/>
      <c r="E114" s="6"/>
      <c r="F114" s="6"/>
      <c r="G114" s="11"/>
      <c r="H114" s="11"/>
      <c r="I114" s="12" t="str">
        <f>IF(C114="","",SUMIFS($G$5:G114,$C$5:C114,C114)-SUMIFS($H$5:H114,$C$5:C114,C114))</f>
        <v/>
      </c>
      <c r="J114" s="6"/>
      <c r="K114" s="6"/>
      <c r="L114" s="103"/>
      <c r="M114" s="103"/>
      <c r="N114" s="6"/>
      <c r="O114" s="6"/>
      <c r="P114" s="67" t="str">
        <f t="shared" si="10"/>
        <v/>
      </c>
      <c r="Q114" s="105"/>
      <c r="R114" s="98"/>
      <c r="S114" s="104" t="str">
        <f t="shared" si="11"/>
        <v/>
      </c>
    </row>
    <row r="115" spans="1:19">
      <c r="A115" s="9" t="str">
        <f t="shared" si="9"/>
        <v/>
      </c>
      <c r="B115" s="10"/>
      <c r="C115" s="47" t="str">
        <f>IF(D115="","",IFERROR(INDEX(PERKARA!$B$5:$B$104,MATCH(D115,PERKARA!$A$5:$A$104,0)),"ID TIDAK TERDAFTAR"))</f>
        <v/>
      </c>
      <c r="D115" s="46"/>
      <c r="E115" s="6"/>
      <c r="F115" s="6"/>
      <c r="G115" s="11"/>
      <c r="H115" s="11"/>
      <c r="I115" s="12" t="str">
        <f>IF(C115="","",SUMIFS($G$5:G115,$C$5:C115,C115)-SUMIFS($H$5:H115,$C$5:C115,C115))</f>
        <v/>
      </c>
      <c r="J115" s="6"/>
      <c r="K115" s="6"/>
      <c r="L115" s="103"/>
      <c r="M115" s="103"/>
      <c r="N115" s="6"/>
      <c r="O115" s="6"/>
      <c r="P115" s="67" t="str">
        <f t="shared" si="10"/>
        <v/>
      </c>
      <c r="Q115" s="105"/>
      <c r="R115" s="98"/>
      <c r="S115" s="104" t="str">
        <f t="shared" si="11"/>
        <v/>
      </c>
    </row>
    <row r="116" spans="1:19">
      <c r="A116" s="9" t="str">
        <f t="shared" si="9"/>
        <v/>
      </c>
      <c r="B116" s="10"/>
      <c r="C116" s="47" t="str">
        <f>IF(D116="","",IFERROR(INDEX(PERKARA!$B$5:$B$104,MATCH(D116,PERKARA!$A$5:$A$104,0)),"ID TIDAK TERDAFTAR"))</f>
        <v/>
      </c>
      <c r="D116" s="46"/>
      <c r="E116" s="6"/>
      <c r="F116" s="6"/>
      <c r="G116" s="11"/>
      <c r="H116" s="11"/>
      <c r="I116" s="12" t="str">
        <f>IF(C116="","",SUMIFS($G$5:G116,$C$5:C116,C116)-SUMIFS($H$5:H116,$C$5:C116,C116))</f>
        <v/>
      </c>
      <c r="J116" s="6"/>
      <c r="K116" s="6"/>
      <c r="L116" s="103"/>
      <c r="M116" s="103"/>
      <c r="N116" s="6"/>
      <c r="O116" s="6"/>
      <c r="P116" s="67" t="str">
        <f t="shared" si="10"/>
        <v/>
      </c>
      <c r="Q116" s="105"/>
      <c r="R116" s="98"/>
      <c r="S116" s="104" t="str">
        <f t="shared" si="11"/>
        <v/>
      </c>
    </row>
    <row r="117" spans="1:19">
      <c r="A117" s="9" t="str">
        <f t="shared" si="9"/>
        <v/>
      </c>
      <c r="B117" s="10"/>
      <c r="C117" s="47" t="str">
        <f>IF(D117="","",IFERROR(INDEX(PERKARA!$B$5:$B$104,MATCH(D117,PERKARA!$A$5:$A$104,0)),"ID TIDAK TERDAFTAR"))</f>
        <v/>
      </c>
      <c r="D117" s="46"/>
      <c r="E117" s="6"/>
      <c r="F117" s="6"/>
      <c r="G117" s="11"/>
      <c r="H117" s="11"/>
      <c r="I117" s="12" t="str">
        <f>IF(C117="","",SUMIFS($G$5:G117,$C$5:C117,C117)-SUMIFS($H$5:H117,$C$5:C117,C117))</f>
        <v/>
      </c>
      <c r="J117" s="6"/>
      <c r="K117" s="6"/>
      <c r="L117" s="103"/>
      <c r="M117" s="103"/>
      <c r="N117" s="6"/>
      <c r="O117" s="6"/>
      <c r="P117" s="67" t="str">
        <f t="shared" si="10"/>
        <v/>
      </c>
      <c r="Q117" s="105"/>
      <c r="R117" s="98"/>
      <c r="S117" s="104" t="str">
        <f t="shared" si="11"/>
        <v/>
      </c>
    </row>
    <row r="118" spans="1:19">
      <c r="A118" s="9" t="str">
        <f t="shared" si="9"/>
        <v/>
      </c>
      <c r="B118" s="10"/>
      <c r="C118" s="47" t="str">
        <f>IF(D118="","",IFERROR(INDEX(PERKARA!$B$5:$B$104,MATCH(D118,PERKARA!$A$5:$A$104,0)),"ID TIDAK TERDAFTAR"))</f>
        <v/>
      </c>
      <c r="D118" s="46"/>
      <c r="E118" s="6"/>
      <c r="F118" s="6"/>
      <c r="G118" s="11"/>
      <c r="H118" s="11"/>
      <c r="I118" s="12" t="str">
        <f>IF(C118="","",SUMIFS($G$5:G118,$C$5:C118,C118)-SUMIFS($H$5:H118,$C$5:C118,C118))</f>
        <v/>
      </c>
      <c r="J118" s="6"/>
      <c r="K118" s="6"/>
      <c r="L118" s="103"/>
      <c r="M118" s="103"/>
      <c r="N118" s="6"/>
      <c r="O118" s="6"/>
      <c r="P118" s="67" t="str">
        <f t="shared" si="10"/>
        <v/>
      </c>
      <c r="Q118" s="105"/>
      <c r="R118" s="98"/>
      <c r="S118" s="104" t="str">
        <f t="shared" si="11"/>
        <v/>
      </c>
    </row>
    <row r="119" spans="1:19">
      <c r="A119" s="9" t="str">
        <f t="shared" si="9"/>
        <v/>
      </c>
      <c r="B119" s="10"/>
      <c r="C119" s="47" t="str">
        <f>IF(D119="","",IFERROR(INDEX(PERKARA!$B$5:$B$104,MATCH(D119,PERKARA!$A$5:$A$104,0)),"ID TIDAK TERDAFTAR"))</f>
        <v/>
      </c>
      <c r="D119" s="46"/>
      <c r="E119" s="6"/>
      <c r="F119" s="6"/>
      <c r="G119" s="11"/>
      <c r="H119" s="11"/>
      <c r="I119" s="12" t="str">
        <f>IF(C119="","",SUMIFS($G$5:G119,$C$5:C119,C119)-SUMIFS($H$5:H119,$C$5:C119,C119))</f>
        <v/>
      </c>
      <c r="J119" s="6"/>
      <c r="K119" s="6"/>
      <c r="L119" s="103"/>
      <c r="M119" s="103"/>
      <c r="N119" s="6"/>
      <c r="O119" s="6"/>
      <c r="P119" s="67" t="str">
        <f t="shared" si="10"/>
        <v/>
      </c>
      <c r="Q119" s="105"/>
      <c r="R119" s="98"/>
      <c r="S119" s="104" t="str">
        <f t="shared" si="11"/>
        <v/>
      </c>
    </row>
    <row r="120" spans="1:19">
      <c r="A120" s="9" t="str">
        <f t="shared" si="9"/>
        <v/>
      </c>
      <c r="B120" s="10"/>
      <c r="C120" s="47" t="str">
        <f>IF(D120="","",IFERROR(INDEX(PERKARA!$B$5:$B$104,MATCH(D120,PERKARA!$A$5:$A$104,0)),"ID TIDAK TERDAFTAR"))</f>
        <v/>
      </c>
      <c r="D120" s="46"/>
      <c r="E120" s="6"/>
      <c r="F120" s="6"/>
      <c r="G120" s="11"/>
      <c r="H120" s="11"/>
      <c r="I120" s="12" t="str">
        <f>IF(C120="","",SUMIFS($G$5:G120,$C$5:C120,C120)-SUMIFS($H$5:H120,$C$5:C120,C120))</f>
        <v/>
      </c>
      <c r="J120" s="6"/>
      <c r="K120" s="6"/>
      <c r="L120" s="103"/>
      <c r="M120" s="103"/>
      <c r="N120" s="6"/>
      <c r="O120" s="6"/>
      <c r="P120" s="67" t="str">
        <f t="shared" si="10"/>
        <v/>
      </c>
      <c r="Q120" s="105"/>
      <c r="R120" s="98"/>
      <c r="S120" s="104" t="str">
        <f t="shared" si="11"/>
        <v/>
      </c>
    </row>
    <row r="121" spans="1:19">
      <c r="A121" s="9" t="str">
        <f t="shared" si="9"/>
        <v/>
      </c>
      <c r="B121" s="10"/>
      <c r="C121" s="47" t="str">
        <f>IF(D121="","",IFERROR(INDEX(PERKARA!$B$5:$B$104,MATCH(D121,PERKARA!$A$5:$A$104,0)),"ID TIDAK TERDAFTAR"))</f>
        <v/>
      </c>
      <c r="D121" s="46"/>
      <c r="E121" s="6"/>
      <c r="F121" s="6"/>
      <c r="G121" s="11"/>
      <c r="H121" s="11"/>
      <c r="I121" s="12" t="str">
        <f>IF(C121="","",SUMIFS($G$5:G121,$C$5:C121,C121)-SUMIFS($H$5:H121,$C$5:C121,C121))</f>
        <v/>
      </c>
      <c r="J121" s="6"/>
      <c r="K121" s="6"/>
      <c r="L121" s="103"/>
      <c r="M121" s="103"/>
      <c r="N121" s="6"/>
      <c r="O121" s="6"/>
      <c r="P121" s="67" t="str">
        <f t="shared" si="10"/>
        <v/>
      </c>
      <c r="Q121" s="105"/>
      <c r="R121" s="98"/>
      <c r="S121" s="104" t="str">
        <f t="shared" si="11"/>
        <v/>
      </c>
    </row>
    <row r="122" spans="1:19">
      <c r="A122" s="9" t="str">
        <f t="shared" si="9"/>
        <v/>
      </c>
      <c r="B122" s="10"/>
      <c r="C122" s="47" t="str">
        <f>IF(D122="","",IFERROR(INDEX(PERKARA!$B$5:$B$104,MATCH(D122,PERKARA!$A$5:$A$104,0)),"ID TIDAK TERDAFTAR"))</f>
        <v/>
      </c>
      <c r="D122" s="46"/>
      <c r="E122" s="6"/>
      <c r="F122" s="6"/>
      <c r="G122" s="11"/>
      <c r="H122" s="11"/>
      <c r="I122" s="12" t="str">
        <f>IF(C122="","",SUMIFS($G$5:G122,$C$5:C122,C122)-SUMIFS($H$5:H122,$C$5:C122,C122))</f>
        <v/>
      </c>
      <c r="J122" s="6"/>
      <c r="K122" s="6"/>
      <c r="L122" s="103"/>
      <c r="M122" s="103"/>
      <c r="N122" s="6"/>
      <c r="O122" s="6"/>
      <c r="P122" s="67" t="str">
        <f t="shared" si="10"/>
        <v/>
      </c>
      <c r="Q122" s="105"/>
      <c r="R122" s="98"/>
      <c r="S122" s="104" t="str">
        <f t="shared" si="11"/>
        <v/>
      </c>
    </row>
    <row r="123" spans="1:19">
      <c r="A123" s="9" t="str">
        <f t="shared" si="9"/>
        <v/>
      </c>
      <c r="B123" s="10"/>
      <c r="C123" s="47" t="str">
        <f>IF(D123="","",IFERROR(INDEX(PERKARA!$B$5:$B$104,MATCH(D123,PERKARA!$A$5:$A$104,0)),"ID TIDAK TERDAFTAR"))</f>
        <v/>
      </c>
      <c r="D123" s="46"/>
      <c r="E123" s="6"/>
      <c r="F123" s="6"/>
      <c r="G123" s="11"/>
      <c r="H123" s="11"/>
      <c r="I123" s="12" t="str">
        <f>IF(C123="","",SUMIFS($G$5:G123,$C$5:C123,C123)-SUMIFS($H$5:H123,$C$5:C123,C123))</f>
        <v/>
      </c>
      <c r="J123" s="6"/>
      <c r="K123" s="6"/>
      <c r="L123" s="103"/>
      <c r="M123" s="103"/>
      <c r="N123" s="6"/>
      <c r="O123" s="6"/>
      <c r="P123" s="67" t="str">
        <f t="shared" si="10"/>
        <v/>
      </c>
      <c r="Q123" s="105"/>
      <c r="R123" s="98"/>
      <c r="S123" s="104" t="str">
        <f t="shared" si="11"/>
        <v/>
      </c>
    </row>
    <row r="124" spans="1:19">
      <c r="A124" s="9" t="str">
        <f t="shared" si="9"/>
        <v/>
      </c>
      <c r="B124" s="10"/>
      <c r="C124" s="47" t="str">
        <f>IF(D124="","",IFERROR(INDEX(PERKARA!$B$5:$B$104,MATCH(D124,PERKARA!$A$5:$A$104,0)),"ID TIDAK TERDAFTAR"))</f>
        <v/>
      </c>
      <c r="D124" s="46"/>
      <c r="E124" s="6"/>
      <c r="F124" s="6"/>
      <c r="G124" s="11"/>
      <c r="H124" s="11"/>
      <c r="I124" s="12" t="str">
        <f>IF(C124="","",SUMIFS($G$5:G124,$C$5:C124,C124)-SUMIFS($H$5:H124,$C$5:C124,C124))</f>
        <v/>
      </c>
      <c r="J124" s="6"/>
      <c r="K124" s="6"/>
      <c r="L124" s="103"/>
      <c r="M124" s="103"/>
      <c r="N124" s="6"/>
      <c r="O124" s="6"/>
      <c r="P124" s="67" t="str">
        <f t="shared" si="10"/>
        <v/>
      </c>
      <c r="Q124" s="105"/>
      <c r="R124" s="98"/>
      <c r="S124" s="104" t="str">
        <f t="shared" si="11"/>
        <v/>
      </c>
    </row>
    <row r="125" spans="1:19">
      <c r="A125" s="9" t="str">
        <f t="shared" si="9"/>
        <v/>
      </c>
      <c r="B125" s="10"/>
      <c r="C125" s="47" t="str">
        <f>IF(D125="","",IFERROR(INDEX(PERKARA!$B$5:$B$104,MATCH(D125,PERKARA!$A$5:$A$104,0)),"ID TIDAK TERDAFTAR"))</f>
        <v/>
      </c>
      <c r="D125" s="46"/>
      <c r="E125" s="6"/>
      <c r="F125" s="6"/>
      <c r="G125" s="11"/>
      <c r="H125" s="11"/>
      <c r="I125" s="12" t="str">
        <f>IF(C125="","",SUMIFS($G$5:G125,$C$5:C125,C125)-SUMIFS($H$5:H125,$C$5:C125,C125))</f>
        <v/>
      </c>
      <c r="J125" s="6"/>
      <c r="K125" s="6"/>
      <c r="L125" s="103"/>
      <c r="M125" s="103"/>
      <c r="N125" s="6"/>
      <c r="O125" s="6"/>
      <c r="P125" s="67" t="str">
        <f t="shared" si="10"/>
        <v/>
      </c>
      <c r="Q125" s="105"/>
      <c r="R125" s="98"/>
      <c r="S125" s="104" t="str">
        <f t="shared" si="11"/>
        <v/>
      </c>
    </row>
    <row r="126" spans="1:19">
      <c r="A126" s="9" t="str">
        <f t="shared" si="9"/>
        <v/>
      </c>
      <c r="B126" s="10"/>
      <c r="C126" s="47" t="str">
        <f>IF(D126="","",IFERROR(INDEX(PERKARA!$B$5:$B$104,MATCH(D126,PERKARA!$A$5:$A$104,0)),"ID TIDAK TERDAFTAR"))</f>
        <v/>
      </c>
      <c r="D126" s="46"/>
      <c r="E126" s="6"/>
      <c r="F126" s="6"/>
      <c r="G126" s="11"/>
      <c r="H126" s="11"/>
      <c r="I126" s="12" t="str">
        <f>IF(C126="","",SUMIFS($G$5:G126,$C$5:C126,C126)-SUMIFS($H$5:H126,$C$5:C126,C126))</f>
        <v/>
      </c>
      <c r="J126" s="6"/>
      <c r="K126" s="6"/>
      <c r="L126" s="103"/>
      <c r="M126" s="103"/>
      <c r="N126" s="6"/>
      <c r="O126" s="6"/>
      <c r="P126" s="67" t="str">
        <f t="shared" si="10"/>
        <v/>
      </c>
      <c r="Q126" s="105"/>
      <c r="R126" s="98"/>
      <c r="S126" s="104" t="str">
        <f t="shared" si="11"/>
        <v/>
      </c>
    </row>
    <row r="127" spans="1:19">
      <c r="A127" s="9" t="str">
        <f t="shared" si="9"/>
        <v/>
      </c>
      <c r="B127" s="10"/>
      <c r="C127" s="47" t="str">
        <f>IF(D127="","",IFERROR(INDEX(PERKARA!$B$5:$B$104,MATCH(D127,PERKARA!$A$5:$A$104,0)),"ID TIDAK TERDAFTAR"))</f>
        <v/>
      </c>
      <c r="D127" s="46"/>
      <c r="E127" s="6"/>
      <c r="F127" s="6"/>
      <c r="G127" s="11"/>
      <c r="H127" s="11"/>
      <c r="I127" s="12" t="str">
        <f>IF(C127="","",SUMIFS($G$5:G127,$C$5:C127,C127)-SUMIFS($H$5:H127,$C$5:C127,C127))</f>
        <v/>
      </c>
      <c r="J127" s="6"/>
      <c r="K127" s="6"/>
      <c r="L127" s="103"/>
      <c r="M127" s="103"/>
      <c r="N127" s="6"/>
      <c r="O127" s="6"/>
      <c r="P127" s="67" t="str">
        <f t="shared" si="10"/>
        <v/>
      </c>
      <c r="Q127" s="105"/>
      <c r="R127" s="98"/>
      <c r="S127" s="104" t="str">
        <f t="shared" si="11"/>
        <v/>
      </c>
    </row>
    <row r="128" spans="1:19">
      <c r="A128" s="9" t="str">
        <f t="shared" si="9"/>
        <v/>
      </c>
      <c r="B128" s="10"/>
      <c r="C128" s="47" t="str">
        <f>IF(D128="","",IFERROR(INDEX(PERKARA!$B$5:$B$104,MATCH(D128,PERKARA!$A$5:$A$104,0)),"ID TIDAK TERDAFTAR"))</f>
        <v/>
      </c>
      <c r="D128" s="46"/>
      <c r="E128" s="6"/>
      <c r="F128" s="6"/>
      <c r="G128" s="11"/>
      <c r="H128" s="11"/>
      <c r="I128" s="12" t="str">
        <f>IF(C128="","",SUMIFS($G$5:G128,$C$5:C128,C128)-SUMIFS($H$5:H128,$C$5:C128,C128))</f>
        <v/>
      </c>
      <c r="J128" s="6"/>
      <c r="K128" s="6"/>
      <c r="L128" s="103"/>
      <c r="M128" s="103"/>
      <c r="N128" s="6"/>
      <c r="O128" s="6"/>
      <c r="P128" s="67" t="str">
        <f t="shared" si="10"/>
        <v/>
      </c>
      <c r="Q128" s="105"/>
      <c r="R128" s="98"/>
      <c r="S128" s="104" t="str">
        <f t="shared" si="11"/>
        <v/>
      </c>
    </row>
    <row r="129" spans="1:19">
      <c r="A129" s="9" t="str">
        <f t="shared" si="9"/>
        <v/>
      </c>
      <c r="B129" s="10"/>
      <c r="C129" s="47" t="str">
        <f>IF(D129="","",IFERROR(INDEX(PERKARA!$B$5:$B$104,MATCH(D129,PERKARA!$A$5:$A$104,0)),"ID TIDAK TERDAFTAR"))</f>
        <v/>
      </c>
      <c r="D129" s="46"/>
      <c r="E129" s="6"/>
      <c r="F129" s="6"/>
      <c r="G129" s="11"/>
      <c r="H129" s="11"/>
      <c r="I129" s="12" t="str">
        <f>IF(C129="","",SUMIFS($G$5:G129,$C$5:C129,C129)-SUMIFS($H$5:H129,$C$5:C129,C129))</f>
        <v/>
      </c>
      <c r="J129" s="6"/>
      <c r="K129" s="6"/>
      <c r="L129" s="103"/>
      <c r="M129" s="103"/>
      <c r="N129" s="6"/>
      <c r="O129" s="6"/>
      <c r="P129" s="67" t="str">
        <f t="shared" si="10"/>
        <v/>
      </c>
      <c r="Q129" s="105"/>
      <c r="R129" s="98"/>
      <c r="S129" s="104" t="str">
        <f t="shared" si="11"/>
        <v/>
      </c>
    </row>
    <row r="130" spans="1:19">
      <c r="A130" s="9" t="str">
        <f t="shared" si="9"/>
        <v/>
      </c>
      <c r="B130" s="10"/>
      <c r="C130" s="47" t="str">
        <f>IF(D130="","",IFERROR(INDEX(PERKARA!$B$5:$B$104,MATCH(D130,PERKARA!$A$5:$A$104,0)),"ID TIDAK TERDAFTAR"))</f>
        <v/>
      </c>
      <c r="D130" s="46"/>
      <c r="E130" s="6"/>
      <c r="F130" s="6"/>
      <c r="G130" s="11"/>
      <c r="H130" s="11"/>
      <c r="I130" s="12" t="str">
        <f>IF(C130="","",SUMIFS($G$5:G130,$C$5:C130,C130)-SUMIFS($H$5:H130,$C$5:C130,C130))</f>
        <v/>
      </c>
      <c r="J130" s="6"/>
      <c r="K130" s="6"/>
      <c r="L130" s="103"/>
      <c r="M130" s="103"/>
      <c r="N130" s="6"/>
      <c r="O130" s="6"/>
      <c r="P130" s="67" t="str">
        <f t="shared" si="10"/>
        <v/>
      </c>
      <c r="Q130" s="105"/>
      <c r="R130" s="98"/>
      <c r="S130" s="104" t="str">
        <f t="shared" si="11"/>
        <v/>
      </c>
    </row>
    <row r="131" spans="1:19">
      <c r="A131" s="9" t="str">
        <f t="shared" si="9"/>
        <v/>
      </c>
      <c r="B131" s="10"/>
      <c r="C131" s="47" t="str">
        <f>IF(D131="","",IFERROR(INDEX(PERKARA!$B$5:$B$104,MATCH(D131,PERKARA!$A$5:$A$104,0)),"ID TIDAK TERDAFTAR"))</f>
        <v/>
      </c>
      <c r="D131" s="46"/>
      <c r="E131" s="6"/>
      <c r="F131" s="6"/>
      <c r="G131" s="11"/>
      <c r="H131" s="11"/>
      <c r="I131" s="12" t="str">
        <f>IF(C131="","",SUMIFS($G$5:G131,$C$5:C131,C131)-SUMIFS($H$5:H131,$C$5:C131,C131))</f>
        <v/>
      </c>
      <c r="J131" s="6"/>
      <c r="K131" s="6"/>
      <c r="L131" s="103"/>
      <c r="M131" s="103"/>
      <c r="N131" s="6"/>
      <c r="O131" s="6"/>
      <c r="P131" s="67" t="str">
        <f t="shared" si="10"/>
        <v/>
      </c>
      <c r="Q131" s="105"/>
      <c r="R131" s="98"/>
      <c r="S131" s="104" t="str">
        <f t="shared" si="11"/>
        <v/>
      </c>
    </row>
    <row r="132" spans="1:19">
      <c r="A132" s="9" t="str">
        <f t="shared" si="9"/>
        <v/>
      </c>
      <c r="B132" s="10"/>
      <c r="C132" s="47" t="str">
        <f>IF(D132="","",IFERROR(INDEX(PERKARA!$B$5:$B$104,MATCH(D132,PERKARA!$A$5:$A$104,0)),"ID TIDAK TERDAFTAR"))</f>
        <v/>
      </c>
      <c r="D132" s="46"/>
      <c r="E132" s="6"/>
      <c r="F132" s="6"/>
      <c r="G132" s="11"/>
      <c r="H132" s="11"/>
      <c r="I132" s="12" t="str">
        <f>IF(C132="","",SUMIFS($G$5:G132,$C$5:C132,C132)-SUMIFS($H$5:H132,$C$5:C132,C132))</f>
        <v/>
      </c>
      <c r="J132" s="6"/>
      <c r="K132" s="6"/>
      <c r="L132" s="103"/>
      <c r="M132" s="103"/>
      <c r="N132" s="6"/>
      <c r="O132" s="6"/>
      <c r="P132" s="67" t="str">
        <f t="shared" si="10"/>
        <v/>
      </c>
      <c r="Q132" s="105"/>
      <c r="R132" s="98"/>
      <c r="S132" s="104" t="str">
        <f t="shared" si="11"/>
        <v/>
      </c>
    </row>
    <row r="133" spans="1:19">
      <c r="A133" s="9" t="str">
        <f t="shared" ref="A133:A154" si="12">IF(B133="","",IFERROR("TRUST-"&amp;TEXT(B133,"yyyymmdd")&amp;"-"&amp;TEXT(ROW()-4,"000"),"TANGGAL TIDAK VALID"))</f>
        <v/>
      </c>
      <c r="B133" s="10"/>
      <c r="C133" s="47" t="str">
        <f>IF(D133="","",IFERROR(INDEX(PERKARA!$B$5:$B$104,MATCH(D133,PERKARA!$A$5:$A$104,0)),"ID TIDAK TERDAFTAR"))</f>
        <v/>
      </c>
      <c r="D133" s="46"/>
      <c r="E133" s="6"/>
      <c r="F133" s="6"/>
      <c r="G133" s="11"/>
      <c r="H133" s="11"/>
      <c r="I133" s="12" t="str">
        <f>IF(C133="","",SUMIFS($G$5:G133,$C$5:C133,C133)-SUMIFS($H$5:H133,$C$5:C133,C133))</f>
        <v/>
      </c>
      <c r="J133" s="6"/>
      <c r="K133" s="6"/>
      <c r="L133" s="103"/>
      <c r="M133" s="103"/>
      <c r="N133" s="6"/>
      <c r="O133" s="6"/>
      <c r="P133" s="67" t="str">
        <f t="shared" ref="P133:P154" si="13">IF(B133="","",IF(D133="","PERKARA BELUM DIISI",IF(C133="ID TIDAK TERDAFTAR","PERKARA TIDAK VALID",IF(I133&lt;0,"SALDO DANA KLIEN NEGATIF",IF(J133="","AKUN DANA KLIEN BELUM DIISI",IF(AND(H133&gt;0,S133&lt;&gt;"LENGKAP"),"DANA KELUAR TANPA OTORISASI","OK"))))))</f>
        <v/>
      </c>
      <c r="Q133" s="105"/>
      <c r="R133" s="98"/>
      <c r="S133" s="104" t="str">
        <f t="shared" ref="S133:S154" si="14">IF(B133="","",IF(L133="Ditolak","DITOLAK",IF(AND(L133="Disetujui",M133&lt;&gt;""),"LENGKAP",IF(L133="Disetujui","NAMA PENYETUJU BELUM DIISI","MENUNGGU PERSETUJUAN MANUAL"))))</f>
        <v/>
      </c>
    </row>
    <row r="134" spans="1:19">
      <c r="A134" s="9" t="str">
        <f t="shared" si="12"/>
        <v/>
      </c>
      <c r="B134" s="10"/>
      <c r="C134" s="47" t="str">
        <f>IF(D134="","",IFERROR(INDEX(PERKARA!$B$5:$B$104,MATCH(D134,PERKARA!$A$5:$A$104,0)),"ID TIDAK TERDAFTAR"))</f>
        <v/>
      </c>
      <c r="D134" s="46"/>
      <c r="E134" s="6"/>
      <c r="F134" s="6"/>
      <c r="G134" s="11"/>
      <c r="H134" s="11"/>
      <c r="I134" s="12" t="str">
        <f>IF(C134="","",SUMIFS($G$5:G134,$C$5:C134,C134)-SUMIFS($H$5:H134,$C$5:C134,C134))</f>
        <v/>
      </c>
      <c r="J134" s="6"/>
      <c r="K134" s="6"/>
      <c r="L134" s="103"/>
      <c r="M134" s="103"/>
      <c r="N134" s="6"/>
      <c r="O134" s="6"/>
      <c r="P134" s="67" t="str">
        <f t="shared" si="13"/>
        <v/>
      </c>
      <c r="Q134" s="105"/>
      <c r="R134" s="98"/>
      <c r="S134" s="104" t="str">
        <f t="shared" si="14"/>
        <v/>
      </c>
    </row>
    <row r="135" spans="1:19">
      <c r="A135" s="9" t="str">
        <f t="shared" si="12"/>
        <v/>
      </c>
      <c r="B135" s="10"/>
      <c r="C135" s="47" t="str">
        <f>IF(D135="","",IFERROR(INDEX(PERKARA!$B$5:$B$104,MATCH(D135,PERKARA!$A$5:$A$104,0)),"ID TIDAK TERDAFTAR"))</f>
        <v/>
      </c>
      <c r="D135" s="46"/>
      <c r="E135" s="6"/>
      <c r="F135" s="6"/>
      <c r="G135" s="11"/>
      <c r="H135" s="11"/>
      <c r="I135" s="12" t="str">
        <f>IF(C135="","",SUMIFS($G$5:G135,$C$5:C135,C135)-SUMIFS($H$5:H135,$C$5:C135,C135))</f>
        <v/>
      </c>
      <c r="J135" s="6"/>
      <c r="K135" s="6"/>
      <c r="L135" s="103"/>
      <c r="M135" s="103"/>
      <c r="N135" s="6"/>
      <c r="O135" s="6"/>
      <c r="P135" s="67" t="str">
        <f t="shared" si="13"/>
        <v/>
      </c>
      <c r="Q135" s="105"/>
      <c r="R135" s="98"/>
      <c r="S135" s="104" t="str">
        <f t="shared" si="14"/>
        <v/>
      </c>
    </row>
    <row r="136" spans="1:19">
      <c r="A136" s="9" t="str">
        <f t="shared" si="12"/>
        <v/>
      </c>
      <c r="B136" s="10"/>
      <c r="C136" s="47" t="str">
        <f>IF(D136="","",IFERROR(INDEX(PERKARA!$B$5:$B$104,MATCH(D136,PERKARA!$A$5:$A$104,0)),"ID TIDAK TERDAFTAR"))</f>
        <v/>
      </c>
      <c r="D136" s="46"/>
      <c r="E136" s="6"/>
      <c r="F136" s="6"/>
      <c r="G136" s="11"/>
      <c r="H136" s="11"/>
      <c r="I136" s="12" t="str">
        <f>IF(C136="","",SUMIFS($G$5:G136,$C$5:C136,C136)-SUMIFS($H$5:H136,$C$5:C136,C136))</f>
        <v/>
      </c>
      <c r="J136" s="6"/>
      <c r="K136" s="6"/>
      <c r="L136" s="103"/>
      <c r="M136" s="103"/>
      <c r="N136" s="6"/>
      <c r="O136" s="6"/>
      <c r="P136" s="67" t="str">
        <f t="shared" si="13"/>
        <v/>
      </c>
      <c r="Q136" s="105"/>
      <c r="R136" s="98"/>
      <c r="S136" s="104" t="str">
        <f t="shared" si="14"/>
        <v/>
      </c>
    </row>
    <row r="137" spans="1:19">
      <c r="A137" s="9" t="str">
        <f t="shared" si="12"/>
        <v/>
      </c>
      <c r="B137" s="10"/>
      <c r="C137" s="47" t="str">
        <f>IF(D137="","",IFERROR(INDEX(PERKARA!$B$5:$B$104,MATCH(D137,PERKARA!$A$5:$A$104,0)),"ID TIDAK TERDAFTAR"))</f>
        <v/>
      </c>
      <c r="D137" s="46"/>
      <c r="E137" s="6"/>
      <c r="F137" s="6"/>
      <c r="G137" s="11"/>
      <c r="H137" s="11"/>
      <c r="I137" s="12" t="str">
        <f>IF(C137="","",SUMIFS($G$5:G137,$C$5:C137,C137)-SUMIFS($H$5:H137,$C$5:C137,C137))</f>
        <v/>
      </c>
      <c r="J137" s="6"/>
      <c r="K137" s="6"/>
      <c r="L137" s="103"/>
      <c r="M137" s="103"/>
      <c r="N137" s="6"/>
      <c r="O137" s="6"/>
      <c r="P137" s="67" t="str">
        <f t="shared" si="13"/>
        <v/>
      </c>
      <c r="Q137" s="105"/>
      <c r="R137" s="98"/>
      <c r="S137" s="104" t="str">
        <f t="shared" si="14"/>
        <v/>
      </c>
    </row>
    <row r="138" spans="1:19">
      <c r="A138" s="9" t="str">
        <f t="shared" si="12"/>
        <v/>
      </c>
      <c r="B138" s="10"/>
      <c r="C138" s="47" t="str">
        <f>IF(D138="","",IFERROR(INDEX(PERKARA!$B$5:$B$104,MATCH(D138,PERKARA!$A$5:$A$104,0)),"ID TIDAK TERDAFTAR"))</f>
        <v/>
      </c>
      <c r="D138" s="46"/>
      <c r="E138" s="6"/>
      <c r="F138" s="6"/>
      <c r="G138" s="11"/>
      <c r="H138" s="11"/>
      <c r="I138" s="12" t="str">
        <f>IF(C138="","",SUMIFS($G$5:G138,$C$5:C138,C138)-SUMIFS($H$5:H138,$C$5:C138,C138))</f>
        <v/>
      </c>
      <c r="J138" s="6"/>
      <c r="K138" s="6"/>
      <c r="L138" s="103"/>
      <c r="M138" s="103"/>
      <c r="N138" s="6"/>
      <c r="O138" s="6"/>
      <c r="P138" s="67" t="str">
        <f t="shared" si="13"/>
        <v/>
      </c>
      <c r="Q138" s="105"/>
      <c r="R138" s="98"/>
      <c r="S138" s="104" t="str">
        <f t="shared" si="14"/>
        <v/>
      </c>
    </row>
    <row r="139" spans="1:19">
      <c r="A139" s="9" t="str">
        <f t="shared" si="12"/>
        <v/>
      </c>
      <c r="B139" s="10"/>
      <c r="C139" s="47" t="str">
        <f>IF(D139="","",IFERROR(INDEX(PERKARA!$B$5:$B$104,MATCH(D139,PERKARA!$A$5:$A$104,0)),"ID TIDAK TERDAFTAR"))</f>
        <v/>
      </c>
      <c r="D139" s="46"/>
      <c r="E139" s="6"/>
      <c r="F139" s="6"/>
      <c r="G139" s="11"/>
      <c r="H139" s="11"/>
      <c r="I139" s="12" t="str">
        <f>IF(C139="","",SUMIFS($G$5:G139,$C$5:C139,C139)-SUMIFS($H$5:H139,$C$5:C139,C139))</f>
        <v/>
      </c>
      <c r="J139" s="6"/>
      <c r="K139" s="6"/>
      <c r="L139" s="103"/>
      <c r="M139" s="103"/>
      <c r="N139" s="6"/>
      <c r="O139" s="6"/>
      <c r="P139" s="67" t="str">
        <f t="shared" si="13"/>
        <v/>
      </c>
      <c r="Q139" s="105"/>
      <c r="R139" s="98"/>
      <c r="S139" s="104" t="str">
        <f t="shared" si="14"/>
        <v/>
      </c>
    </row>
    <row r="140" spans="1:19">
      <c r="A140" s="9" t="str">
        <f t="shared" si="12"/>
        <v/>
      </c>
      <c r="B140" s="10"/>
      <c r="C140" s="47" t="str">
        <f>IF(D140="","",IFERROR(INDEX(PERKARA!$B$5:$B$104,MATCH(D140,PERKARA!$A$5:$A$104,0)),"ID TIDAK TERDAFTAR"))</f>
        <v/>
      </c>
      <c r="D140" s="46"/>
      <c r="E140" s="6"/>
      <c r="F140" s="6"/>
      <c r="G140" s="11"/>
      <c r="H140" s="11"/>
      <c r="I140" s="12" t="str">
        <f>IF(C140="","",SUMIFS($G$5:G140,$C$5:C140,C140)-SUMIFS($H$5:H140,$C$5:C140,C140))</f>
        <v/>
      </c>
      <c r="J140" s="6"/>
      <c r="K140" s="6"/>
      <c r="L140" s="103"/>
      <c r="M140" s="103"/>
      <c r="N140" s="6"/>
      <c r="O140" s="6"/>
      <c r="P140" s="67" t="str">
        <f t="shared" si="13"/>
        <v/>
      </c>
      <c r="Q140" s="105"/>
      <c r="R140" s="98"/>
      <c r="S140" s="104" t="str">
        <f t="shared" si="14"/>
        <v/>
      </c>
    </row>
    <row r="141" spans="1:19">
      <c r="A141" s="9" t="str">
        <f t="shared" si="12"/>
        <v/>
      </c>
      <c r="B141" s="10"/>
      <c r="C141" s="47" t="str">
        <f>IF(D141="","",IFERROR(INDEX(PERKARA!$B$5:$B$104,MATCH(D141,PERKARA!$A$5:$A$104,0)),"ID TIDAK TERDAFTAR"))</f>
        <v/>
      </c>
      <c r="D141" s="46"/>
      <c r="E141" s="6"/>
      <c r="F141" s="6"/>
      <c r="G141" s="11"/>
      <c r="H141" s="11"/>
      <c r="I141" s="12" t="str">
        <f>IF(C141="","",SUMIFS($G$5:G141,$C$5:C141,C141)-SUMIFS($H$5:H141,$C$5:C141,C141))</f>
        <v/>
      </c>
      <c r="J141" s="6"/>
      <c r="K141" s="6"/>
      <c r="L141" s="103"/>
      <c r="M141" s="103"/>
      <c r="N141" s="6"/>
      <c r="O141" s="6"/>
      <c r="P141" s="67" t="str">
        <f t="shared" si="13"/>
        <v/>
      </c>
      <c r="Q141" s="105"/>
      <c r="R141" s="98"/>
      <c r="S141" s="104" t="str">
        <f t="shared" si="14"/>
        <v/>
      </c>
    </row>
    <row r="142" spans="1:19">
      <c r="A142" s="9" t="str">
        <f t="shared" si="12"/>
        <v/>
      </c>
      <c r="B142" s="10"/>
      <c r="C142" s="47" t="str">
        <f>IF(D142="","",IFERROR(INDEX(PERKARA!$B$5:$B$104,MATCH(D142,PERKARA!$A$5:$A$104,0)),"ID TIDAK TERDAFTAR"))</f>
        <v/>
      </c>
      <c r="D142" s="46"/>
      <c r="E142" s="6"/>
      <c r="F142" s="6"/>
      <c r="G142" s="11"/>
      <c r="H142" s="11"/>
      <c r="I142" s="12" t="str">
        <f>IF(C142="","",SUMIFS($G$5:G142,$C$5:C142,C142)-SUMIFS($H$5:H142,$C$5:C142,C142))</f>
        <v/>
      </c>
      <c r="J142" s="6"/>
      <c r="K142" s="6"/>
      <c r="L142" s="103"/>
      <c r="M142" s="103"/>
      <c r="N142" s="6"/>
      <c r="O142" s="6"/>
      <c r="P142" s="67" t="str">
        <f t="shared" si="13"/>
        <v/>
      </c>
      <c r="Q142" s="105"/>
      <c r="R142" s="98"/>
      <c r="S142" s="104" t="str">
        <f t="shared" si="14"/>
        <v/>
      </c>
    </row>
    <row r="143" spans="1:19">
      <c r="A143" s="9" t="str">
        <f t="shared" si="12"/>
        <v/>
      </c>
      <c r="B143" s="10"/>
      <c r="C143" s="47" t="str">
        <f>IF(D143="","",IFERROR(INDEX(PERKARA!$B$5:$B$104,MATCH(D143,PERKARA!$A$5:$A$104,0)),"ID TIDAK TERDAFTAR"))</f>
        <v/>
      </c>
      <c r="D143" s="46"/>
      <c r="E143" s="6"/>
      <c r="F143" s="6"/>
      <c r="G143" s="11"/>
      <c r="H143" s="11"/>
      <c r="I143" s="12" t="str">
        <f>IF(C143="","",SUMIFS($G$5:G143,$C$5:C143,C143)-SUMIFS($H$5:H143,$C$5:C143,C143))</f>
        <v/>
      </c>
      <c r="J143" s="6"/>
      <c r="K143" s="6"/>
      <c r="L143" s="103"/>
      <c r="M143" s="103"/>
      <c r="N143" s="6"/>
      <c r="O143" s="6"/>
      <c r="P143" s="67" t="str">
        <f t="shared" si="13"/>
        <v/>
      </c>
      <c r="Q143" s="105"/>
      <c r="R143" s="98"/>
      <c r="S143" s="104" t="str">
        <f t="shared" si="14"/>
        <v/>
      </c>
    </row>
    <row r="144" spans="1:19">
      <c r="A144" s="9" t="str">
        <f t="shared" si="12"/>
        <v/>
      </c>
      <c r="B144" s="10"/>
      <c r="C144" s="47" t="str">
        <f>IF(D144="","",IFERROR(INDEX(PERKARA!$B$5:$B$104,MATCH(D144,PERKARA!$A$5:$A$104,0)),"ID TIDAK TERDAFTAR"))</f>
        <v/>
      </c>
      <c r="D144" s="46"/>
      <c r="E144" s="6"/>
      <c r="F144" s="6"/>
      <c r="G144" s="11"/>
      <c r="H144" s="11"/>
      <c r="I144" s="12" t="str">
        <f>IF(C144="","",SUMIFS($G$5:G144,$C$5:C144,C144)-SUMIFS($H$5:H144,$C$5:C144,C144))</f>
        <v/>
      </c>
      <c r="J144" s="6"/>
      <c r="K144" s="6"/>
      <c r="L144" s="103"/>
      <c r="M144" s="103"/>
      <c r="N144" s="6"/>
      <c r="O144" s="6"/>
      <c r="P144" s="67" t="str">
        <f t="shared" si="13"/>
        <v/>
      </c>
      <c r="Q144" s="105"/>
      <c r="R144" s="98"/>
      <c r="S144" s="104" t="str">
        <f t="shared" si="14"/>
        <v/>
      </c>
    </row>
    <row r="145" spans="1:19">
      <c r="A145" s="9" t="str">
        <f t="shared" si="12"/>
        <v/>
      </c>
      <c r="B145" s="10"/>
      <c r="C145" s="47" t="str">
        <f>IF(D145="","",IFERROR(INDEX(PERKARA!$B$5:$B$104,MATCH(D145,PERKARA!$A$5:$A$104,0)),"ID TIDAK TERDAFTAR"))</f>
        <v/>
      </c>
      <c r="D145" s="46"/>
      <c r="E145" s="6"/>
      <c r="F145" s="6"/>
      <c r="G145" s="11"/>
      <c r="H145" s="11"/>
      <c r="I145" s="12" t="str">
        <f>IF(C145="","",SUMIFS($G$5:G145,$C$5:C145,C145)-SUMIFS($H$5:H145,$C$5:C145,C145))</f>
        <v/>
      </c>
      <c r="J145" s="6"/>
      <c r="K145" s="6"/>
      <c r="L145" s="103"/>
      <c r="M145" s="103"/>
      <c r="N145" s="6"/>
      <c r="O145" s="6"/>
      <c r="P145" s="67" t="str">
        <f t="shared" si="13"/>
        <v/>
      </c>
      <c r="Q145" s="105"/>
      <c r="R145" s="98"/>
      <c r="S145" s="104" t="str">
        <f t="shared" si="14"/>
        <v/>
      </c>
    </row>
    <row r="146" spans="1:19">
      <c r="A146" s="9" t="str">
        <f t="shared" si="12"/>
        <v/>
      </c>
      <c r="B146" s="10"/>
      <c r="C146" s="47" t="str">
        <f>IF(D146="","",IFERROR(INDEX(PERKARA!$B$5:$B$104,MATCH(D146,PERKARA!$A$5:$A$104,0)),"ID TIDAK TERDAFTAR"))</f>
        <v/>
      </c>
      <c r="D146" s="46"/>
      <c r="E146" s="6"/>
      <c r="F146" s="6"/>
      <c r="G146" s="11"/>
      <c r="H146" s="11"/>
      <c r="I146" s="12" t="str">
        <f>IF(C146="","",SUMIFS($G$5:G146,$C$5:C146,C146)-SUMIFS($H$5:H146,$C$5:C146,C146))</f>
        <v/>
      </c>
      <c r="J146" s="6"/>
      <c r="K146" s="6"/>
      <c r="L146" s="103"/>
      <c r="M146" s="103"/>
      <c r="N146" s="6"/>
      <c r="O146" s="6"/>
      <c r="P146" s="67" t="str">
        <f t="shared" si="13"/>
        <v/>
      </c>
      <c r="Q146" s="105"/>
      <c r="R146" s="98"/>
      <c r="S146" s="104" t="str">
        <f t="shared" si="14"/>
        <v/>
      </c>
    </row>
    <row r="147" spans="1:19">
      <c r="A147" s="9" t="str">
        <f t="shared" si="12"/>
        <v/>
      </c>
      <c r="B147" s="10"/>
      <c r="C147" s="47" t="str">
        <f>IF(D147="","",IFERROR(INDEX(PERKARA!$B$5:$B$104,MATCH(D147,PERKARA!$A$5:$A$104,0)),"ID TIDAK TERDAFTAR"))</f>
        <v/>
      </c>
      <c r="D147" s="46"/>
      <c r="E147" s="6"/>
      <c r="F147" s="6"/>
      <c r="G147" s="11"/>
      <c r="H147" s="11"/>
      <c r="I147" s="12" t="str">
        <f>IF(C147="","",SUMIFS($G$5:G147,$C$5:C147,C147)-SUMIFS($H$5:H147,$C$5:C147,C147))</f>
        <v/>
      </c>
      <c r="J147" s="6"/>
      <c r="K147" s="6"/>
      <c r="L147" s="103"/>
      <c r="M147" s="103"/>
      <c r="N147" s="6"/>
      <c r="O147" s="6"/>
      <c r="P147" s="67" t="str">
        <f t="shared" si="13"/>
        <v/>
      </c>
      <c r="Q147" s="105"/>
      <c r="R147" s="98"/>
      <c r="S147" s="104" t="str">
        <f t="shared" si="14"/>
        <v/>
      </c>
    </row>
    <row r="148" spans="1:19">
      <c r="A148" s="9" t="str">
        <f t="shared" si="12"/>
        <v/>
      </c>
      <c r="B148" s="10"/>
      <c r="C148" s="47" t="str">
        <f>IF(D148="","",IFERROR(INDEX(PERKARA!$B$5:$B$104,MATCH(D148,PERKARA!$A$5:$A$104,0)),"ID TIDAK TERDAFTAR"))</f>
        <v/>
      </c>
      <c r="D148" s="46"/>
      <c r="E148" s="6"/>
      <c r="F148" s="6"/>
      <c r="G148" s="11"/>
      <c r="H148" s="11"/>
      <c r="I148" s="12" t="str">
        <f>IF(C148="","",SUMIFS($G$5:G148,$C$5:C148,C148)-SUMIFS($H$5:H148,$C$5:C148,C148))</f>
        <v/>
      </c>
      <c r="J148" s="6"/>
      <c r="K148" s="6"/>
      <c r="L148" s="103"/>
      <c r="M148" s="103"/>
      <c r="N148" s="6"/>
      <c r="O148" s="6"/>
      <c r="P148" s="67" t="str">
        <f t="shared" si="13"/>
        <v/>
      </c>
      <c r="Q148" s="105"/>
      <c r="R148" s="98"/>
      <c r="S148" s="104" t="str">
        <f t="shared" si="14"/>
        <v/>
      </c>
    </row>
    <row r="149" spans="1:19">
      <c r="A149" s="9" t="str">
        <f t="shared" si="12"/>
        <v/>
      </c>
      <c r="B149" s="10"/>
      <c r="C149" s="47" t="str">
        <f>IF(D149="","",IFERROR(INDEX(PERKARA!$B$5:$B$104,MATCH(D149,PERKARA!$A$5:$A$104,0)),"ID TIDAK TERDAFTAR"))</f>
        <v/>
      </c>
      <c r="D149" s="46"/>
      <c r="E149" s="6"/>
      <c r="F149" s="6"/>
      <c r="G149" s="11"/>
      <c r="H149" s="11"/>
      <c r="I149" s="12" t="str">
        <f>IF(C149="","",SUMIFS($G$5:G149,$C$5:C149,C149)-SUMIFS($H$5:H149,$C$5:C149,C149))</f>
        <v/>
      </c>
      <c r="J149" s="6"/>
      <c r="K149" s="6"/>
      <c r="L149" s="103"/>
      <c r="M149" s="103"/>
      <c r="N149" s="6"/>
      <c r="O149" s="6"/>
      <c r="P149" s="67" t="str">
        <f t="shared" si="13"/>
        <v/>
      </c>
      <c r="Q149" s="105"/>
      <c r="R149" s="98"/>
      <c r="S149" s="104" t="str">
        <f t="shared" si="14"/>
        <v/>
      </c>
    </row>
    <row r="150" spans="1:19">
      <c r="A150" s="9" t="str">
        <f t="shared" si="12"/>
        <v/>
      </c>
      <c r="B150" s="10"/>
      <c r="C150" s="47" t="str">
        <f>IF(D150="","",IFERROR(INDEX(PERKARA!$B$5:$B$104,MATCH(D150,PERKARA!$A$5:$A$104,0)),"ID TIDAK TERDAFTAR"))</f>
        <v/>
      </c>
      <c r="D150" s="46"/>
      <c r="E150" s="6"/>
      <c r="F150" s="6"/>
      <c r="G150" s="11"/>
      <c r="H150" s="11"/>
      <c r="I150" s="12" t="str">
        <f>IF(C150="","",SUMIFS($G$5:G150,$C$5:C150,C150)-SUMIFS($H$5:H150,$C$5:C150,C150))</f>
        <v/>
      </c>
      <c r="J150" s="6"/>
      <c r="K150" s="6"/>
      <c r="L150" s="103"/>
      <c r="M150" s="103"/>
      <c r="N150" s="6"/>
      <c r="O150" s="6"/>
      <c r="P150" s="67" t="str">
        <f t="shared" si="13"/>
        <v/>
      </c>
      <c r="Q150" s="105"/>
      <c r="R150" s="98"/>
      <c r="S150" s="104" t="str">
        <f t="shared" si="14"/>
        <v/>
      </c>
    </row>
    <row r="151" spans="1:19">
      <c r="A151" s="9" t="str">
        <f t="shared" si="12"/>
        <v/>
      </c>
      <c r="B151" s="10"/>
      <c r="C151" s="47" t="str">
        <f>IF(D151="","",IFERROR(INDEX(PERKARA!$B$5:$B$104,MATCH(D151,PERKARA!$A$5:$A$104,0)),"ID TIDAK TERDAFTAR"))</f>
        <v/>
      </c>
      <c r="D151" s="46"/>
      <c r="E151" s="6"/>
      <c r="F151" s="6"/>
      <c r="G151" s="11"/>
      <c r="H151" s="11"/>
      <c r="I151" s="12" t="str">
        <f>IF(C151="","",SUMIFS($G$5:G151,$C$5:C151,C151)-SUMIFS($H$5:H151,$C$5:C151,C151))</f>
        <v/>
      </c>
      <c r="J151" s="6"/>
      <c r="K151" s="6"/>
      <c r="L151" s="103"/>
      <c r="M151" s="103"/>
      <c r="N151" s="6"/>
      <c r="O151" s="6"/>
      <c r="P151" s="67" t="str">
        <f t="shared" si="13"/>
        <v/>
      </c>
      <c r="Q151" s="105"/>
      <c r="R151" s="98"/>
      <c r="S151" s="104" t="str">
        <f t="shared" si="14"/>
        <v/>
      </c>
    </row>
    <row r="152" spans="1:19">
      <c r="A152" s="9" t="str">
        <f t="shared" si="12"/>
        <v/>
      </c>
      <c r="B152" s="10"/>
      <c r="C152" s="47" t="str">
        <f>IF(D152="","",IFERROR(INDEX(PERKARA!$B$5:$B$104,MATCH(D152,PERKARA!$A$5:$A$104,0)),"ID TIDAK TERDAFTAR"))</f>
        <v/>
      </c>
      <c r="D152" s="46"/>
      <c r="E152" s="6"/>
      <c r="F152" s="6"/>
      <c r="G152" s="11"/>
      <c r="H152" s="11"/>
      <c r="I152" s="12" t="str">
        <f>IF(C152="","",SUMIFS($G$5:G152,$C$5:C152,C152)-SUMIFS($H$5:H152,$C$5:C152,C152))</f>
        <v/>
      </c>
      <c r="J152" s="6"/>
      <c r="K152" s="6"/>
      <c r="L152" s="103"/>
      <c r="M152" s="103"/>
      <c r="N152" s="6"/>
      <c r="O152" s="6"/>
      <c r="P152" s="67" t="str">
        <f t="shared" si="13"/>
        <v/>
      </c>
      <c r="Q152" s="105"/>
      <c r="R152" s="98"/>
      <c r="S152" s="104" t="str">
        <f t="shared" si="14"/>
        <v/>
      </c>
    </row>
    <row r="153" spans="1:19">
      <c r="A153" s="9" t="str">
        <f t="shared" si="12"/>
        <v/>
      </c>
      <c r="B153" s="10"/>
      <c r="C153" s="47" t="str">
        <f>IF(D153="","",IFERROR(INDEX(PERKARA!$B$5:$B$104,MATCH(D153,PERKARA!$A$5:$A$104,0)),"ID TIDAK TERDAFTAR"))</f>
        <v/>
      </c>
      <c r="D153" s="46"/>
      <c r="E153" s="6"/>
      <c r="F153" s="6"/>
      <c r="G153" s="11"/>
      <c r="H153" s="11"/>
      <c r="I153" s="12" t="str">
        <f>IF(C153="","",SUMIFS($G$5:G153,$C$5:C153,C153)-SUMIFS($H$5:H153,$C$5:C153,C153))</f>
        <v/>
      </c>
      <c r="J153" s="6"/>
      <c r="K153" s="6"/>
      <c r="L153" s="103"/>
      <c r="M153" s="103"/>
      <c r="N153" s="6"/>
      <c r="O153" s="6"/>
      <c r="P153" s="67" t="str">
        <f t="shared" si="13"/>
        <v/>
      </c>
      <c r="Q153" s="105"/>
      <c r="R153" s="98"/>
      <c r="S153" s="104" t="str">
        <f t="shared" si="14"/>
        <v/>
      </c>
    </row>
    <row r="154" spans="1:19">
      <c r="A154" s="9" t="str">
        <f t="shared" si="12"/>
        <v/>
      </c>
      <c r="B154" s="10"/>
      <c r="C154" s="47" t="str">
        <f>IF(D154="","",IFERROR(INDEX(PERKARA!$B$5:$B$104,MATCH(D154,PERKARA!$A$5:$A$104,0)),"ID TIDAK TERDAFTAR"))</f>
        <v/>
      </c>
      <c r="D154" s="46"/>
      <c r="E154" s="6"/>
      <c r="F154" s="6"/>
      <c r="G154" s="11"/>
      <c r="H154" s="11"/>
      <c r="I154" s="12" t="str">
        <f>IF(C154="","",SUMIFS($G$5:G154,$C$5:C154,C154)-SUMIFS($H$5:H154,$C$5:C154,C154))</f>
        <v/>
      </c>
      <c r="J154" s="6"/>
      <c r="K154" s="6"/>
      <c r="L154" s="103"/>
      <c r="M154" s="103"/>
      <c r="N154" s="6"/>
      <c r="O154" s="6"/>
      <c r="P154" s="67" t="str">
        <f t="shared" si="13"/>
        <v/>
      </c>
      <c r="Q154" s="105"/>
      <c r="R154" s="98"/>
      <c r="S154" s="104" t="str">
        <f t="shared" si="14"/>
        <v/>
      </c>
    </row>
  </sheetData>
  <mergeCells count="2">
    <mergeCell ref="A1:S2"/>
    <mergeCell ref="A3:S3"/>
  </mergeCells>
  <conditionalFormatting sqref="C5:C154">
    <cfRule type="containsText" dxfId="12" priority="2" operator="containsText" text="ID TIDAK TERDAFTAR"/>
  </conditionalFormatting>
  <conditionalFormatting sqref="I5:I154">
    <cfRule type="cellIs" dxfId="11" priority="1" operator="lessThan">
      <formula>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900-000000000000}">
          <x14:formula1>
            <xm:f>PERKARA!$A$5:$A$104</xm:f>
          </x14:formula1>
          <xm:sqref>D5:D154</xm:sqref>
        </x14:dataValidation>
        <x14:dataValidation type="list" xr:uid="{00000000-0002-0000-0900-000001000000}">
          <x14:formula1>
            <xm:f>MASTER!$W$5:$W$8</xm:f>
          </x14:formula1>
          <xm:sqref>E5:E154</xm:sqref>
        </x14:dataValidation>
        <x14:dataValidation type="list" xr:uid="{00000000-0002-0000-0900-000002000000}">
          <x14:formula1>
            <xm:f>MASTER!$G$5:$G$10</xm:f>
          </x14:formula1>
          <xm:sqref>J5:J154</xm:sqref>
        </x14:dataValidation>
        <x14:dataValidation type="list" xr:uid="{00000000-0002-0000-0900-000003000000}">
          <x14:formula1>
            <xm:f>MASTER!$M$5:$M$8</xm:f>
          </x14:formula1>
          <xm:sqref>L5:L154</xm:sqref>
        </x14:dataValidation>
        <x14:dataValidation type="list" xr:uid="{00000000-0002-0000-0900-000004000000}">
          <x14:formula1>
            <xm:f>MASTER!$A$5:$A$7</xm:f>
          </x14:formula1>
          <xm:sqref>M5:M154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24"/>
  <sheetViews>
    <sheetView showGridLines="0" topLeftCell="C1" workbookViewId="0">
      <selection activeCell="T5" sqref="T5"/>
    </sheetView>
  </sheetViews>
  <sheetFormatPr defaultRowHeight="13.8"/>
  <cols>
    <col min="1" max="1" width="24" customWidth="1"/>
    <col min="2" max="2" width="15" customWidth="1"/>
    <col min="3" max="3" width="13" customWidth="1"/>
    <col min="4" max="4" width="19" customWidth="1"/>
    <col min="5" max="5" width="26" customWidth="1"/>
    <col min="6" max="6" width="19" customWidth="1"/>
    <col min="7" max="7" width="38" customWidth="1"/>
    <col min="8" max="8" width="22" customWidth="1"/>
    <col min="9" max="10" width="23" customWidth="1"/>
    <col min="11" max="11" width="19" customWidth="1"/>
    <col min="12" max="12" width="22" customWidth="1"/>
    <col min="13" max="14" width="21" customWidth="1"/>
    <col min="15" max="15" width="26" customWidth="1"/>
    <col min="16" max="16" width="36" customWidth="1"/>
    <col min="19" max="22" width="21" customWidth="1"/>
  </cols>
  <sheetData>
    <row r="1" spans="1:22" ht="25.05" customHeight="1">
      <c r="A1" s="353" t="s">
        <v>613</v>
      </c>
      <c r="B1" s="353" t="s">
        <v>613</v>
      </c>
      <c r="C1" s="353" t="s">
        <v>613</v>
      </c>
      <c r="D1" s="353" t="s">
        <v>613</v>
      </c>
      <c r="E1" s="353" t="s">
        <v>613</v>
      </c>
      <c r="F1" s="353" t="s">
        <v>613</v>
      </c>
      <c r="G1" s="353" t="s">
        <v>613</v>
      </c>
      <c r="H1" s="353" t="s">
        <v>613</v>
      </c>
      <c r="I1" s="353" t="s">
        <v>613</v>
      </c>
      <c r="J1" s="353" t="s">
        <v>613</v>
      </c>
      <c r="K1" s="353" t="s">
        <v>613</v>
      </c>
      <c r="L1" s="353" t="s">
        <v>613</v>
      </c>
      <c r="M1" s="353" t="s">
        <v>613</v>
      </c>
      <c r="N1" s="353" t="s">
        <v>613</v>
      </c>
      <c r="O1" s="353" t="s">
        <v>613</v>
      </c>
      <c r="P1" s="353" t="s">
        <v>613</v>
      </c>
      <c r="Q1" s="354" t="s">
        <v>613</v>
      </c>
      <c r="R1" s="354" t="s">
        <v>613</v>
      </c>
      <c r="S1" s="354" t="s">
        <v>613</v>
      </c>
      <c r="T1" s="354" t="s">
        <v>613</v>
      </c>
      <c r="U1" s="354" t="s">
        <v>613</v>
      </c>
      <c r="V1" s="354" t="s">
        <v>613</v>
      </c>
    </row>
    <row r="2" spans="1:22" ht="25.05" customHeight="1">
      <c r="A2" s="353" t="s">
        <v>613</v>
      </c>
      <c r="B2" s="353" t="s">
        <v>613</v>
      </c>
      <c r="C2" s="353" t="s">
        <v>613</v>
      </c>
      <c r="D2" s="353" t="s">
        <v>613</v>
      </c>
      <c r="E2" s="353" t="s">
        <v>613</v>
      </c>
      <c r="F2" s="353" t="s">
        <v>613</v>
      </c>
      <c r="G2" s="353" t="s">
        <v>613</v>
      </c>
      <c r="H2" s="353" t="s">
        <v>613</v>
      </c>
      <c r="I2" s="353" t="s">
        <v>613</v>
      </c>
      <c r="J2" s="353" t="s">
        <v>613</v>
      </c>
      <c r="K2" s="353" t="s">
        <v>613</v>
      </c>
      <c r="L2" s="353" t="s">
        <v>613</v>
      </c>
      <c r="M2" s="353" t="s">
        <v>613</v>
      </c>
      <c r="N2" s="353" t="s">
        <v>613</v>
      </c>
      <c r="O2" s="353" t="s">
        <v>613</v>
      </c>
      <c r="P2" s="353" t="s">
        <v>613</v>
      </c>
      <c r="Q2" s="354" t="s">
        <v>613</v>
      </c>
      <c r="R2" s="354" t="s">
        <v>613</v>
      </c>
      <c r="S2" s="354" t="s">
        <v>613</v>
      </c>
      <c r="T2" s="354" t="s">
        <v>613</v>
      </c>
      <c r="U2" s="354" t="s">
        <v>613</v>
      </c>
      <c r="V2" s="354" t="s">
        <v>613</v>
      </c>
    </row>
    <row r="3" spans="1:22" ht="30" customHeight="1">
      <c r="A3" s="355" t="s">
        <v>614</v>
      </c>
      <c r="B3" s="355" t="s">
        <v>614</v>
      </c>
      <c r="C3" s="355" t="s">
        <v>614</v>
      </c>
      <c r="D3" s="355" t="s">
        <v>614</v>
      </c>
      <c r="E3" s="355" t="s">
        <v>614</v>
      </c>
      <c r="F3" s="355" t="s">
        <v>614</v>
      </c>
      <c r="G3" s="355" t="s">
        <v>614</v>
      </c>
      <c r="H3" s="355" t="s">
        <v>614</v>
      </c>
      <c r="I3" s="355" t="s">
        <v>614</v>
      </c>
      <c r="J3" s="355" t="s">
        <v>614</v>
      </c>
      <c r="K3" s="355" t="s">
        <v>614</v>
      </c>
      <c r="L3" s="355" t="s">
        <v>614</v>
      </c>
      <c r="M3" s="355" t="s">
        <v>614</v>
      </c>
      <c r="N3" s="355" t="s">
        <v>614</v>
      </c>
      <c r="O3" s="355" t="s">
        <v>614</v>
      </c>
      <c r="P3" s="355" t="s">
        <v>614</v>
      </c>
      <c r="Q3" s="356" t="s">
        <v>614</v>
      </c>
      <c r="R3" s="356" t="s">
        <v>614</v>
      </c>
      <c r="S3" s="356" t="s">
        <v>614</v>
      </c>
      <c r="T3" s="356" t="s">
        <v>614</v>
      </c>
      <c r="U3" s="356" t="s">
        <v>614</v>
      </c>
      <c r="V3" s="356" t="s">
        <v>614</v>
      </c>
    </row>
    <row r="4" spans="1:22" ht="37.049999999999997" customHeight="1">
      <c r="A4" s="7" t="s">
        <v>201</v>
      </c>
      <c r="B4" s="7" t="s">
        <v>99</v>
      </c>
      <c r="C4" s="7" t="s">
        <v>84</v>
      </c>
      <c r="D4" s="7" t="s">
        <v>202</v>
      </c>
      <c r="E4" s="7" t="s">
        <v>203</v>
      </c>
      <c r="F4" s="7" t="s">
        <v>62</v>
      </c>
      <c r="G4" s="7" t="s">
        <v>204</v>
      </c>
      <c r="H4" s="7" t="s">
        <v>205</v>
      </c>
      <c r="I4" s="7" t="s">
        <v>206</v>
      </c>
      <c r="J4" s="7" t="s">
        <v>207</v>
      </c>
      <c r="K4" s="7" t="s">
        <v>148</v>
      </c>
      <c r="L4" s="7" t="s">
        <v>135</v>
      </c>
      <c r="M4" s="100" t="s">
        <v>587</v>
      </c>
      <c r="N4" s="100" t="s">
        <v>589</v>
      </c>
      <c r="O4" s="7" t="s">
        <v>208</v>
      </c>
      <c r="P4" s="7" t="s">
        <v>79</v>
      </c>
      <c r="Q4" s="66" t="s">
        <v>595</v>
      </c>
      <c r="R4" s="66" t="s">
        <v>581</v>
      </c>
      <c r="S4" s="101" t="s">
        <v>590</v>
      </c>
      <c r="T4" s="101" t="s">
        <v>591</v>
      </c>
      <c r="U4" s="101" t="s">
        <v>585</v>
      </c>
      <c r="V4" s="130" t="s">
        <v>615</v>
      </c>
    </row>
    <row r="5" spans="1:22" s="57" customFormat="1">
      <c r="A5" s="58" t="str">
        <f t="shared" ref="A5:A36" si="0">IF(B5="","",IFERROR("PTR-"&amp;TEXT(B5,"yyyymmdd")&amp;"-"&amp;TEXT(ROW()-4,"000"),"TANGGAL TIDAK VALID"))</f>
        <v>PTR-20260729-001</v>
      </c>
      <c r="B5" s="54">
        <v>46232</v>
      </c>
      <c r="C5" s="58" t="str">
        <f t="shared" ref="C5:C36" si="1">IF(B5="","",IFERROR(TEXT(B5,"yyyy-mm"),""))</f>
        <v>2026-07</v>
      </c>
      <c r="D5" s="53" t="s">
        <v>577</v>
      </c>
      <c r="E5" s="53" t="s">
        <v>814</v>
      </c>
      <c r="F5" s="52" t="s">
        <v>576</v>
      </c>
      <c r="G5" s="53"/>
      <c r="H5" s="55">
        <v>3000000</v>
      </c>
      <c r="I5" s="55">
        <v>3000000</v>
      </c>
      <c r="J5" s="198">
        <f>IF(D5="","",SUMIFS($H$5:H5,$D$5:D5,D5)-SUMIFS($I$5:I5,$D$5:D5,D5)+SUMIFS($I$5:I5,$D$5:D5,D5,$E$5:E5,MASTER!$Y$9))</f>
        <v>0</v>
      </c>
      <c r="K5" s="54">
        <v>46232</v>
      </c>
      <c r="L5" s="53" t="s">
        <v>182</v>
      </c>
      <c r="M5" s="102" t="s">
        <v>646</v>
      </c>
      <c r="N5" s="102" t="s">
        <v>577</v>
      </c>
      <c r="O5" s="53"/>
      <c r="P5" s="53"/>
      <c r="Q5" s="199" t="str">
        <f>IF(F5="","",IFERROR(INDEX(PERKARA!$B$5:$B$104,MATCH(F5,PERKARA!$A$5:$A$104,0)),"ID TIDAK TERDAFTAR"))</f>
        <v>PT KKG</v>
      </c>
      <c r="R5" s="199" t="str">
        <f t="shared" ref="R5:R36" si="2">IF(B5="","",IF(D5="","PARTNER BELUM DIISI",IF(AND(F5&lt;&gt;"",Q5="ID TIDAK TERDAFTAR"),"PERKARA TIDAK VALID",IF(AND(I5&gt;0,E5=""),"JENIS TRANSAKSI BELUM DIISI",IF(AND(I5&gt;0,L5=""),"AKUN PEMBAYARAN BELUM DIISI",IF(AND(I5&gt;0,V5=""),"TANGGAL PEMBAYARAN BELUM DIISI",IF(AND(I5&gt;0,U5&lt;&gt;"LENGKAP"),"DIBAYAR TANPA OTORISASI","OK")))))))</f>
        <v>OK</v>
      </c>
      <c r="S5" s="201">
        <v>46232</v>
      </c>
      <c r="T5" s="200"/>
      <c r="U5" s="202" t="str">
        <f t="shared" ref="U5:U36" si="3">IF(B5="","",IF(M5="Ditolak","DITOLAK",IF(AND(M5="Disetujui",N5&lt;&gt;""),"LENGKAP",IF(M5="Disetujui","NAMA PENYETUJU BELUM DIISI","MENUNGGU PERSETUJUAN MANUAL"))))</f>
        <v>LENGKAP</v>
      </c>
      <c r="V5" s="225">
        <f t="shared" ref="V5:V36" si="4">IF(I5="","",IF(I5&lt;=0,"",IF(K5&lt;&gt;"",K5,IF(B5&lt;&gt;"",B5,""))))</f>
        <v>46232</v>
      </c>
    </row>
    <row r="6" spans="1:22" s="57" customFormat="1">
      <c r="A6" s="58" t="str">
        <f t="shared" si="0"/>
        <v>PTR-20260729-002</v>
      </c>
      <c r="B6" s="54">
        <v>46232</v>
      </c>
      <c r="C6" s="58" t="str">
        <f t="shared" si="1"/>
        <v>2026-07</v>
      </c>
      <c r="D6" s="53" t="s">
        <v>577</v>
      </c>
      <c r="E6" s="53" t="s">
        <v>814</v>
      </c>
      <c r="F6" s="52" t="s">
        <v>576</v>
      </c>
      <c r="G6" s="53"/>
      <c r="H6" s="55">
        <v>3000000</v>
      </c>
      <c r="I6" s="55">
        <v>3000000</v>
      </c>
      <c r="J6" s="198">
        <f>IF(D6="","",SUMIFS($H$5:H6,$D$5:D6,D6)-SUMIFS($I$5:I6,$D$5:D6,D6)+SUMIFS($I$5:I6,$D$5:D6,D6,$E$5:E6,MASTER!$Y$9))</f>
        <v>0</v>
      </c>
      <c r="K6" s="54">
        <v>46233</v>
      </c>
      <c r="L6" s="53" t="s">
        <v>182</v>
      </c>
      <c r="M6" s="102" t="s">
        <v>646</v>
      </c>
      <c r="N6" s="102" t="s">
        <v>577</v>
      </c>
      <c r="O6" s="53"/>
      <c r="P6" s="53"/>
      <c r="Q6" s="199" t="str">
        <f>IF(F6="","",IFERROR(INDEX(PERKARA!$B$5:$B$104,MATCH(F6,PERKARA!$A$5:$A$104,0)),"ID TIDAK TERDAFTAR"))</f>
        <v>PT KKG</v>
      </c>
      <c r="R6" s="199" t="str">
        <f t="shared" si="2"/>
        <v>OK</v>
      </c>
      <c r="S6" s="201">
        <v>46233</v>
      </c>
      <c r="T6" s="200"/>
      <c r="U6" s="202" t="str">
        <f t="shared" si="3"/>
        <v>LENGKAP</v>
      </c>
      <c r="V6" s="225">
        <f t="shared" si="4"/>
        <v>46233</v>
      </c>
    </row>
    <row r="7" spans="1:22" s="57" customFormat="1">
      <c r="A7" s="58" t="str">
        <f t="shared" si="0"/>
        <v>PTR-20260729-003</v>
      </c>
      <c r="B7" s="54">
        <v>46232</v>
      </c>
      <c r="C7" s="58" t="str">
        <f t="shared" si="1"/>
        <v>2026-07</v>
      </c>
      <c r="D7" s="53" t="s">
        <v>577</v>
      </c>
      <c r="E7" s="53" t="s">
        <v>814</v>
      </c>
      <c r="F7" s="52" t="s">
        <v>576</v>
      </c>
      <c r="G7" s="53"/>
      <c r="H7" s="55">
        <v>3000000</v>
      </c>
      <c r="I7" s="55">
        <v>3000000</v>
      </c>
      <c r="J7" s="198">
        <f>IF(D7="","",SUMIFS($H$5:H7,$D$5:D7,D7)-SUMIFS($I$5:I7,$D$5:D7,D7)+SUMIFS($I$5:I7,$D$5:D7,D7,$E$5:E7,MASTER!$Y$9))</f>
        <v>0</v>
      </c>
      <c r="K7" s="54">
        <v>46234</v>
      </c>
      <c r="L7" s="53" t="s">
        <v>182</v>
      </c>
      <c r="M7" s="102" t="s">
        <v>646</v>
      </c>
      <c r="N7" s="102" t="s">
        <v>577</v>
      </c>
      <c r="O7" s="53"/>
      <c r="P7" s="53"/>
      <c r="Q7" s="199" t="str">
        <f>IF(F7="","",IFERROR(INDEX(PERKARA!$B$5:$B$104,MATCH(F7,PERKARA!$A$5:$A$104,0)),"ID TIDAK TERDAFTAR"))</f>
        <v>PT KKG</v>
      </c>
      <c r="R7" s="199" t="str">
        <f t="shared" si="2"/>
        <v>OK</v>
      </c>
      <c r="S7" s="201">
        <v>46234</v>
      </c>
      <c r="T7" s="200"/>
      <c r="U7" s="202" t="str">
        <f t="shared" si="3"/>
        <v>LENGKAP</v>
      </c>
      <c r="V7" s="225">
        <f t="shared" si="4"/>
        <v>46234</v>
      </c>
    </row>
    <row r="8" spans="1:22" s="57" customFormat="1">
      <c r="A8" s="58" t="str">
        <f t="shared" si="0"/>
        <v/>
      </c>
      <c r="B8" s="54"/>
      <c r="C8" s="58" t="str">
        <f t="shared" si="1"/>
        <v/>
      </c>
      <c r="D8" s="53"/>
      <c r="E8" s="53"/>
      <c r="F8" s="52"/>
      <c r="G8" s="53"/>
      <c r="H8" s="55"/>
      <c r="I8" s="55"/>
      <c r="J8" s="198" t="str">
        <f>IF(D8="","",SUMIFS($H$5:H8,$D$5:D8,D8)-SUMIFS($I$5:I8,$D$5:D8,D8)+SUMIFS($I$5:I8,$D$5:D8,D8,$E$5:E8,MASTER!$Y$9))</f>
        <v/>
      </c>
      <c r="K8" s="54"/>
      <c r="L8" s="53"/>
      <c r="M8" s="102"/>
      <c r="N8" s="102"/>
      <c r="O8" s="53"/>
      <c r="P8" s="53"/>
      <c r="Q8" s="199" t="str">
        <f>IF(F8="","",IFERROR(INDEX(PERKARA!$B$5:$B$104,MATCH(F8,PERKARA!$A$5:$A$104,0)),"ID TIDAK TERDAFTAR"))</f>
        <v/>
      </c>
      <c r="R8" s="199" t="str">
        <f t="shared" si="2"/>
        <v/>
      </c>
      <c r="S8" s="201"/>
      <c r="T8" s="200"/>
      <c r="U8" s="202" t="str">
        <f t="shared" si="3"/>
        <v/>
      </c>
      <c r="V8" s="225" t="str">
        <f t="shared" si="4"/>
        <v/>
      </c>
    </row>
    <row r="9" spans="1:22" s="57" customFormat="1">
      <c r="A9" s="58" t="str">
        <f t="shared" si="0"/>
        <v/>
      </c>
      <c r="B9" s="54"/>
      <c r="C9" s="58" t="str">
        <f t="shared" si="1"/>
        <v/>
      </c>
      <c r="D9" s="53"/>
      <c r="E9" s="53"/>
      <c r="F9" s="52"/>
      <c r="G9" s="53"/>
      <c r="H9" s="55"/>
      <c r="I9" s="55"/>
      <c r="J9" s="198" t="str">
        <f>IF(D9="","",SUMIFS($H$5:H9,$D$5:D9,D9)-SUMIFS($I$5:I9,$D$5:D9,D9)+SUMIFS($I$5:I9,$D$5:D9,D9,$E$5:E9,MASTER!$Y$9))</f>
        <v/>
      </c>
      <c r="K9" s="54"/>
      <c r="L9" s="53"/>
      <c r="M9" s="102"/>
      <c r="N9" s="102"/>
      <c r="O9" s="53"/>
      <c r="P9" s="53"/>
      <c r="Q9" s="199" t="str">
        <f>IF(F9="","",IFERROR(INDEX(PERKARA!$B$5:$B$104,MATCH(F9,PERKARA!$A$5:$A$104,0)),"ID TIDAK TERDAFTAR"))</f>
        <v/>
      </c>
      <c r="R9" s="199" t="str">
        <f t="shared" si="2"/>
        <v/>
      </c>
      <c r="S9" s="201"/>
      <c r="T9" s="200"/>
      <c r="U9" s="202" t="str">
        <f t="shared" si="3"/>
        <v/>
      </c>
      <c r="V9" s="225" t="str">
        <f t="shared" si="4"/>
        <v/>
      </c>
    </row>
    <row r="10" spans="1:22" s="57" customFormat="1">
      <c r="A10" s="58" t="str">
        <f t="shared" si="0"/>
        <v/>
      </c>
      <c r="B10" s="54"/>
      <c r="C10" s="58" t="str">
        <f t="shared" si="1"/>
        <v/>
      </c>
      <c r="D10" s="53"/>
      <c r="E10" s="53"/>
      <c r="F10" s="52"/>
      <c r="G10" s="53"/>
      <c r="H10" s="55"/>
      <c r="I10" s="55"/>
      <c r="J10" s="198" t="str">
        <f>IF(D10="","",SUMIFS($H$5:H10,$D$5:D10,D10)-SUMIFS($I$5:I10,$D$5:D10,D10)+SUMIFS($I$5:I10,$D$5:D10,D10,$E$5:E10,MASTER!$Y$9))</f>
        <v/>
      </c>
      <c r="K10" s="54"/>
      <c r="L10" s="53"/>
      <c r="M10" s="102"/>
      <c r="N10" s="102"/>
      <c r="O10" s="53"/>
      <c r="P10" s="53"/>
      <c r="Q10" s="199" t="str">
        <f>IF(F10="","",IFERROR(INDEX(PERKARA!$B$5:$B$104,MATCH(F10,PERKARA!$A$5:$A$104,0)),"ID TIDAK TERDAFTAR"))</f>
        <v/>
      </c>
      <c r="R10" s="199" t="str">
        <f t="shared" si="2"/>
        <v/>
      </c>
      <c r="S10" s="201"/>
      <c r="T10" s="200"/>
      <c r="U10" s="202" t="str">
        <f t="shared" si="3"/>
        <v/>
      </c>
      <c r="V10" s="225" t="str">
        <f t="shared" si="4"/>
        <v/>
      </c>
    </row>
    <row r="11" spans="1:22" s="57" customFormat="1">
      <c r="A11" s="58" t="str">
        <f t="shared" si="0"/>
        <v/>
      </c>
      <c r="B11" s="54"/>
      <c r="C11" s="58" t="str">
        <f t="shared" si="1"/>
        <v/>
      </c>
      <c r="D11" s="53"/>
      <c r="E11" s="53"/>
      <c r="F11" s="52"/>
      <c r="G11" s="53"/>
      <c r="H11" s="55"/>
      <c r="I11" s="55"/>
      <c r="J11" s="198" t="str">
        <f>IF(D11="","",SUMIFS($H$5:H11,$D$5:D11,D11)-SUMIFS($I$5:I11,$D$5:D11,D11)+SUMIFS($I$5:I11,$D$5:D11,D11,$E$5:E11,MASTER!$Y$9))</f>
        <v/>
      </c>
      <c r="K11" s="54"/>
      <c r="L11" s="53"/>
      <c r="M11" s="102"/>
      <c r="N11" s="102"/>
      <c r="O11" s="53"/>
      <c r="P11" s="53"/>
      <c r="Q11" s="199" t="str">
        <f>IF(F11="","",IFERROR(INDEX(PERKARA!$B$5:$B$104,MATCH(F11,PERKARA!$A$5:$A$104,0)),"ID TIDAK TERDAFTAR"))</f>
        <v/>
      </c>
      <c r="R11" s="199" t="str">
        <f t="shared" si="2"/>
        <v/>
      </c>
      <c r="S11" s="201"/>
      <c r="T11" s="200"/>
      <c r="U11" s="202" t="str">
        <f t="shared" si="3"/>
        <v/>
      </c>
      <c r="V11" s="225" t="str">
        <f t="shared" si="4"/>
        <v/>
      </c>
    </row>
    <row r="12" spans="1:22" s="57" customFormat="1">
      <c r="A12" s="58" t="str">
        <f t="shared" si="0"/>
        <v/>
      </c>
      <c r="B12" s="54"/>
      <c r="C12" s="58" t="str">
        <f t="shared" si="1"/>
        <v/>
      </c>
      <c r="D12" s="53"/>
      <c r="E12" s="53"/>
      <c r="F12" s="52"/>
      <c r="G12" s="53"/>
      <c r="H12" s="55"/>
      <c r="I12" s="55"/>
      <c r="J12" s="198" t="str">
        <f>IF(D12="","",SUMIFS($H$5:H12,$D$5:D12,D12)-SUMIFS($I$5:I12,$D$5:D12,D12)+SUMIFS($I$5:I12,$D$5:D12,D12,$E$5:E12,MASTER!$Y$9))</f>
        <v/>
      </c>
      <c r="K12" s="54"/>
      <c r="L12" s="53"/>
      <c r="M12" s="102"/>
      <c r="N12" s="102"/>
      <c r="O12" s="53"/>
      <c r="P12" s="53"/>
      <c r="Q12" s="199" t="str">
        <f>IF(F12="","",IFERROR(INDEX(PERKARA!$B$5:$B$104,MATCH(F12,PERKARA!$A$5:$A$104,0)),"ID TIDAK TERDAFTAR"))</f>
        <v/>
      </c>
      <c r="R12" s="199" t="str">
        <f t="shared" si="2"/>
        <v/>
      </c>
      <c r="S12" s="201"/>
      <c r="T12" s="200"/>
      <c r="U12" s="202" t="str">
        <f t="shared" si="3"/>
        <v/>
      </c>
      <c r="V12" s="225" t="str">
        <f t="shared" si="4"/>
        <v/>
      </c>
    </row>
    <row r="13" spans="1:22" s="57" customFormat="1">
      <c r="A13" s="58" t="str">
        <f t="shared" si="0"/>
        <v/>
      </c>
      <c r="B13" s="54"/>
      <c r="C13" s="58" t="str">
        <f t="shared" si="1"/>
        <v/>
      </c>
      <c r="D13" s="53"/>
      <c r="E13" s="53"/>
      <c r="F13" s="52"/>
      <c r="G13" s="53"/>
      <c r="H13" s="55"/>
      <c r="I13" s="55"/>
      <c r="J13" s="198" t="str">
        <f>IF(D13="","",SUMIFS($H$5:H13,$D$5:D13,D13)-SUMIFS($I$5:I13,$D$5:D13,D13)+SUMIFS($I$5:I13,$D$5:D13,D13,$E$5:E13,MASTER!$Y$9))</f>
        <v/>
      </c>
      <c r="K13" s="54"/>
      <c r="L13" s="53"/>
      <c r="M13" s="102"/>
      <c r="N13" s="102"/>
      <c r="O13" s="53"/>
      <c r="P13" s="53"/>
      <c r="Q13" s="199" t="str">
        <f>IF(F13="","",IFERROR(INDEX(PERKARA!$B$5:$B$104,MATCH(F13,PERKARA!$A$5:$A$104,0)),"ID TIDAK TERDAFTAR"))</f>
        <v/>
      </c>
      <c r="R13" s="199" t="str">
        <f t="shared" si="2"/>
        <v/>
      </c>
      <c r="S13" s="201"/>
      <c r="T13" s="200"/>
      <c r="U13" s="202" t="str">
        <f t="shared" si="3"/>
        <v/>
      </c>
      <c r="V13" s="225" t="str">
        <f t="shared" si="4"/>
        <v/>
      </c>
    </row>
    <row r="14" spans="1:22" s="57" customFormat="1">
      <c r="A14" s="58" t="str">
        <f t="shared" si="0"/>
        <v/>
      </c>
      <c r="B14" s="54"/>
      <c r="C14" s="58" t="str">
        <f t="shared" si="1"/>
        <v/>
      </c>
      <c r="D14" s="53"/>
      <c r="E14" s="53"/>
      <c r="F14" s="52"/>
      <c r="G14" s="53"/>
      <c r="H14" s="55"/>
      <c r="I14" s="55"/>
      <c r="J14" s="198" t="str">
        <f>IF(D14="","",SUMIFS($H$5:H14,$D$5:D14,D14)-SUMIFS($I$5:I14,$D$5:D14,D14)+SUMIFS($I$5:I14,$D$5:D14,D14,$E$5:E14,MASTER!$Y$9))</f>
        <v/>
      </c>
      <c r="K14" s="54"/>
      <c r="L14" s="53"/>
      <c r="M14" s="102"/>
      <c r="N14" s="102"/>
      <c r="O14" s="53"/>
      <c r="P14" s="53"/>
      <c r="Q14" s="199" t="str">
        <f>IF(F14="","",IFERROR(INDEX(PERKARA!$B$5:$B$104,MATCH(F14,PERKARA!$A$5:$A$104,0)),"ID TIDAK TERDAFTAR"))</f>
        <v/>
      </c>
      <c r="R14" s="199" t="str">
        <f t="shared" si="2"/>
        <v/>
      </c>
      <c r="S14" s="201"/>
      <c r="T14" s="200"/>
      <c r="U14" s="202" t="str">
        <f t="shared" si="3"/>
        <v/>
      </c>
      <c r="V14" s="225" t="str">
        <f t="shared" si="4"/>
        <v/>
      </c>
    </row>
    <row r="15" spans="1:22" s="57" customFormat="1">
      <c r="A15" s="58" t="str">
        <f t="shared" si="0"/>
        <v/>
      </c>
      <c r="B15" s="54"/>
      <c r="C15" s="58" t="str">
        <f t="shared" si="1"/>
        <v/>
      </c>
      <c r="D15" s="53"/>
      <c r="E15" s="53"/>
      <c r="F15" s="52"/>
      <c r="G15" s="53"/>
      <c r="H15" s="55"/>
      <c r="I15" s="55"/>
      <c r="J15" s="198" t="str">
        <f>IF(D15="","",SUMIFS($H$5:H15,$D$5:D15,D15)-SUMIFS($I$5:I15,$D$5:D15,D15)+SUMIFS($I$5:I15,$D$5:D15,D15,$E$5:E15,MASTER!$Y$9))</f>
        <v/>
      </c>
      <c r="K15" s="54"/>
      <c r="L15" s="53"/>
      <c r="M15" s="102"/>
      <c r="N15" s="102"/>
      <c r="O15" s="53"/>
      <c r="P15" s="53"/>
      <c r="Q15" s="199" t="str">
        <f>IF(F15="","",IFERROR(INDEX(PERKARA!$B$5:$B$104,MATCH(F15,PERKARA!$A$5:$A$104,0)),"ID TIDAK TERDAFTAR"))</f>
        <v/>
      </c>
      <c r="R15" s="199" t="str">
        <f t="shared" si="2"/>
        <v/>
      </c>
      <c r="S15" s="201"/>
      <c r="T15" s="200"/>
      <c r="U15" s="202" t="str">
        <f t="shared" si="3"/>
        <v/>
      </c>
      <c r="V15" s="225" t="str">
        <f t="shared" si="4"/>
        <v/>
      </c>
    </row>
    <row r="16" spans="1:22" s="57" customFormat="1">
      <c r="A16" s="58" t="str">
        <f t="shared" si="0"/>
        <v/>
      </c>
      <c r="B16" s="54"/>
      <c r="C16" s="58" t="str">
        <f t="shared" si="1"/>
        <v/>
      </c>
      <c r="D16" s="53"/>
      <c r="E16" s="53"/>
      <c r="F16" s="52"/>
      <c r="G16" s="53"/>
      <c r="H16" s="55"/>
      <c r="I16" s="55"/>
      <c r="J16" s="198" t="str">
        <f>IF(D16="","",SUMIFS($H$5:H16,$D$5:D16,D16)-SUMIFS($I$5:I16,$D$5:D16,D16)+SUMIFS($I$5:I16,$D$5:D16,D16,$E$5:E16,MASTER!$Y$9))</f>
        <v/>
      </c>
      <c r="K16" s="54"/>
      <c r="L16" s="53"/>
      <c r="M16" s="102"/>
      <c r="N16" s="102"/>
      <c r="O16" s="53"/>
      <c r="P16" s="53"/>
      <c r="Q16" s="199" t="str">
        <f>IF(F16="","",IFERROR(INDEX(PERKARA!$B$5:$B$104,MATCH(F16,PERKARA!$A$5:$A$104,0)),"ID TIDAK TERDAFTAR"))</f>
        <v/>
      </c>
      <c r="R16" s="199" t="str">
        <f t="shared" si="2"/>
        <v/>
      </c>
      <c r="S16" s="201"/>
      <c r="T16" s="200"/>
      <c r="U16" s="202" t="str">
        <f t="shared" si="3"/>
        <v/>
      </c>
      <c r="V16" s="225" t="str">
        <f t="shared" si="4"/>
        <v/>
      </c>
    </row>
    <row r="17" spans="1:22" s="57" customFormat="1">
      <c r="A17" s="58" t="str">
        <f t="shared" si="0"/>
        <v/>
      </c>
      <c r="B17" s="54"/>
      <c r="C17" s="58" t="str">
        <f t="shared" si="1"/>
        <v/>
      </c>
      <c r="D17" s="53"/>
      <c r="E17" s="53"/>
      <c r="F17" s="52"/>
      <c r="G17" s="53"/>
      <c r="H17" s="55"/>
      <c r="I17" s="55"/>
      <c r="J17" s="198" t="str">
        <f>IF(D17="","",SUMIFS($H$5:H17,$D$5:D17,D17)-SUMIFS($I$5:I17,$D$5:D17,D17)+SUMIFS($I$5:I17,$D$5:D17,D17,$E$5:E17,MASTER!$Y$9))</f>
        <v/>
      </c>
      <c r="K17" s="54"/>
      <c r="L17" s="53"/>
      <c r="M17" s="102"/>
      <c r="N17" s="102"/>
      <c r="O17" s="53"/>
      <c r="P17" s="53"/>
      <c r="Q17" s="199" t="str">
        <f>IF(F17="","",IFERROR(INDEX(PERKARA!$B$5:$B$104,MATCH(F17,PERKARA!$A$5:$A$104,0)),"ID TIDAK TERDAFTAR"))</f>
        <v/>
      </c>
      <c r="R17" s="199" t="str">
        <f t="shared" si="2"/>
        <v/>
      </c>
      <c r="S17" s="201"/>
      <c r="T17" s="200"/>
      <c r="U17" s="202" t="str">
        <f t="shared" si="3"/>
        <v/>
      </c>
      <c r="V17" s="225" t="str">
        <f t="shared" si="4"/>
        <v/>
      </c>
    </row>
    <row r="18" spans="1:22" s="57" customFormat="1">
      <c r="A18" s="58" t="str">
        <f t="shared" si="0"/>
        <v/>
      </c>
      <c r="B18" s="54"/>
      <c r="C18" s="58" t="str">
        <f t="shared" si="1"/>
        <v/>
      </c>
      <c r="D18" s="53"/>
      <c r="E18" s="53"/>
      <c r="F18" s="52"/>
      <c r="G18" s="53"/>
      <c r="H18" s="55"/>
      <c r="I18" s="55"/>
      <c r="J18" s="198" t="str">
        <f>IF(D18="","",SUMIFS($H$5:H18,$D$5:D18,D18)-SUMIFS($I$5:I18,$D$5:D18,D18)+SUMIFS($I$5:I18,$D$5:D18,D18,$E$5:E18,MASTER!$Y$9))</f>
        <v/>
      </c>
      <c r="K18" s="54"/>
      <c r="L18" s="53"/>
      <c r="M18" s="102"/>
      <c r="N18" s="102"/>
      <c r="O18" s="53"/>
      <c r="P18" s="53"/>
      <c r="Q18" s="199" t="str">
        <f>IF(F18="","",IFERROR(INDEX(PERKARA!$B$5:$B$104,MATCH(F18,PERKARA!$A$5:$A$104,0)),"ID TIDAK TERDAFTAR"))</f>
        <v/>
      </c>
      <c r="R18" s="199" t="str">
        <f t="shared" si="2"/>
        <v/>
      </c>
      <c r="S18" s="201"/>
      <c r="T18" s="200"/>
      <c r="U18" s="202" t="str">
        <f t="shared" si="3"/>
        <v/>
      </c>
      <c r="V18" s="225" t="str">
        <f t="shared" si="4"/>
        <v/>
      </c>
    </row>
    <row r="19" spans="1:22" s="57" customFormat="1">
      <c r="A19" s="58" t="str">
        <f t="shared" si="0"/>
        <v/>
      </c>
      <c r="B19" s="54"/>
      <c r="C19" s="58" t="str">
        <f t="shared" si="1"/>
        <v/>
      </c>
      <c r="D19" s="53"/>
      <c r="E19" s="53"/>
      <c r="F19" s="52"/>
      <c r="G19" s="53"/>
      <c r="H19" s="55"/>
      <c r="I19" s="55"/>
      <c r="J19" s="198" t="str">
        <f>IF(D19="","",SUMIFS($H$5:H19,$D$5:D19,D19)-SUMIFS($I$5:I19,$D$5:D19,D19)+SUMIFS($I$5:I19,$D$5:D19,D19,$E$5:E19,MASTER!$Y$9))</f>
        <v/>
      </c>
      <c r="K19" s="54"/>
      <c r="L19" s="53"/>
      <c r="M19" s="102"/>
      <c r="N19" s="102"/>
      <c r="O19" s="53"/>
      <c r="P19" s="53"/>
      <c r="Q19" s="199" t="str">
        <f>IF(F19="","",IFERROR(INDEX(PERKARA!$B$5:$B$104,MATCH(F19,PERKARA!$A$5:$A$104,0)),"ID TIDAK TERDAFTAR"))</f>
        <v/>
      </c>
      <c r="R19" s="199" t="str">
        <f t="shared" si="2"/>
        <v/>
      </c>
      <c r="S19" s="201"/>
      <c r="T19" s="200"/>
      <c r="U19" s="202" t="str">
        <f t="shared" si="3"/>
        <v/>
      </c>
      <c r="V19" s="225" t="str">
        <f t="shared" si="4"/>
        <v/>
      </c>
    </row>
    <row r="20" spans="1:22" s="57" customFormat="1">
      <c r="A20" s="58" t="str">
        <f t="shared" si="0"/>
        <v/>
      </c>
      <c r="B20" s="54"/>
      <c r="C20" s="58" t="str">
        <f t="shared" si="1"/>
        <v/>
      </c>
      <c r="D20" s="53"/>
      <c r="E20" s="53"/>
      <c r="F20" s="52"/>
      <c r="G20" s="53"/>
      <c r="H20" s="55"/>
      <c r="I20" s="55"/>
      <c r="J20" s="198" t="str">
        <f>IF(D20="","",SUMIFS($H$5:H20,$D$5:D20,D20)-SUMIFS($I$5:I20,$D$5:D20,D20)+SUMIFS($I$5:I20,$D$5:D20,D20,$E$5:E20,MASTER!$Y$9))</f>
        <v/>
      </c>
      <c r="K20" s="54"/>
      <c r="L20" s="53"/>
      <c r="M20" s="102"/>
      <c r="N20" s="102"/>
      <c r="O20" s="53"/>
      <c r="P20" s="53"/>
      <c r="Q20" s="199" t="str">
        <f>IF(F20="","",IFERROR(INDEX(PERKARA!$B$5:$B$104,MATCH(F20,PERKARA!$A$5:$A$104,0)),"ID TIDAK TERDAFTAR"))</f>
        <v/>
      </c>
      <c r="R20" s="199" t="str">
        <f t="shared" si="2"/>
        <v/>
      </c>
      <c r="S20" s="201"/>
      <c r="T20" s="200"/>
      <c r="U20" s="202" t="str">
        <f t="shared" si="3"/>
        <v/>
      </c>
      <c r="V20" s="225" t="str">
        <f t="shared" si="4"/>
        <v/>
      </c>
    </row>
    <row r="21" spans="1:22" s="57" customFormat="1">
      <c r="A21" s="58" t="str">
        <f t="shared" si="0"/>
        <v/>
      </c>
      <c r="B21" s="54"/>
      <c r="C21" s="58" t="str">
        <f t="shared" si="1"/>
        <v/>
      </c>
      <c r="D21" s="53"/>
      <c r="E21" s="53"/>
      <c r="F21" s="52"/>
      <c r="G21" s="53"/>
      <c r="H21" s="55"/>
      <c r="I21" s="55"/>
      <c r="J21" s="198" t="str">
        <f>IF(D21="","",SUMIFS($H$5:H21,$D$5:D21,D21)-SUMIFS($I$5:I21,$D$5:D21,D21)+SUMIFS($I$5:I21,$D$5:D21,D21,$E$5:E21,MASTER!$Y$9))</f>
        <v/>
      </c>
      <c r="K21" s="54"/>
      <c r="L21" s="53"/>
      <c r="M21" s="102"/>
      <c r="N21" s="102"/>
      <c r="O21" s="53"/>
      <c r="P21" s="53"/>
      <c r="Q21" s="199" t="str">
        <f>IF(F21="","",IFERROR(INDEX(PERKARA!$B$5:$B$104,MATCH(F21,PERKARA!$A$5:$A$104,0)),"ID TIDAK TERDAFTAR"))</f>
        <v/>
      </c>
      <c r="R21" s="199" t="str">
        <f t="shared" si="2"/>
        <v/>
      </c>
      <c r="S21" s="201"/>
      <c r="T21" s="200"/>
      <c r="U21" s="202" t="str">
        <f t="shared" si="3"/>
        <v/>
      </c>
      <c r="V21" s="225" t="str">
        <f t="shared" si="4"/>
        <v/>
      </c>
    </row>
    <row r="22" spans="1:22" s="57" customFormat="1">
      <c r="A22" s="58" t="str">
        <f t="shared" si="0"/>
        <v/>
      </c>
      <c r="B22" s="54"/>
      <c r="C22" s="58" t="str">
        <f t="shared" si="1"/>
        <v/>
      </c>
      <c r="D22" s="53"/>
      <c r="E22" s="53"/>
      <c r="F22" s="52"/>
      <c r="G22" s="53"/>
      <c r="H22" s="55"/>
      <c r="I22" s="55"/>
      <c r="J22" s="198" t="str">
        <f>IF(D22="","",SUMIFS($H$5:H22,$D$5:D22,D22)-SUMIFS($I$5:I22,$D$5:D22,D22)+SUMIFS($I$5:I22,$D$5:D22,D22,$E$5:E22,MASTER!$Y$9))</f>
        <v/>
      </c>
      <c r="K22" s="54"/>
      <c r="L22" s="53"/>
      <c r="M22" s="102"/>
      <c r="N22" s="102"/>
      <c r="O22" s="53"/>
      <c r="P22" s="53"/>
      <c r="Q22" s="199" t="str">
        <f>IF(F22="","",IFERROR(INDEX(PERKARA!$B$5:$B$104,MATCH(F22,PERKARA!$A$5:$A$104,0)),"ID TIDAK TERDAFTAR"))</f>
        <v/>
      </c>
      <c r="R22" s="199" t="str">
        <f t="shared" si="2"/>
        <v/>
      </c>
      <c r="S22" s="201"/>
      <c r="T22" s="200"/>
      <c r="U22" s="202" t="str">
        <f t="shared" si="3"/>
        <v/>
      </c>
      <c r="V22" s="225" t="str">
        <f t="shared" si="4"/>
        <v/>
      </c>
    </row>
    <row r="23" spans="1:22" s="57" customFormat="1">
      <c r="A23" s="58" t="str">
        <f t="shared" si="0"/>
        <v/>
      </c>
      <c r="B23" s="54"/>
      <c r="C23" s="58" t="str">
        <f t="shared" si="1"/>
        <v/>
      </c>
      <c r="D23" s="53"/>
      <c r="E23" s="53"/>
      <c r="F23" s="52"/>
      <c r="G23" s="53"/>
      <c r="H23" s="55"/>
      <c r="I23" s="55"/>
      <c r="J23" s="198" t="str">
        <f>IF(D23="","",SUMIFS($H$5:H23,$D$5:D23,D23)-SUMIFS($I$5:I23,$D$5:D23,D23)+SUMIFS($I$5:I23,$D$5:D23,D23,$E$5:E23,MASTER!$Y$9))</f>
        <v/>
      </c>
      <c r="K23" s="54"/>
      <c r="L23" s="53"/>
      <c r="M23" s="102"/>
      <c r="N23" s="102"/>
      <c r="O23" s="53"/>
      <c r="P23" s="53"/>
      <c r="Q23" s="199" t="str">
        <f>IF(F23="","",IFERROR(INDEX(PERKARA!$B$5:$B$104,MATCH(F23,PERKARA!$A$5:$A$104,0)),"ID TIDAK TERDAFTAR"))</f>
        <v/>
      </c>
      <c r="R23" s="199" t="str">
        <f t="shared" si="2"/>
        <v/>
      </c>
      <c r="S23" s="201"/>
      <c r="T23" s="200"/>
      <c r="U23" s="202" t="str">
        <f t="shared" si="3"/>
        <v/>
      </c>
      <c r="V23" s="225" t="str">
        <f t="shared" si="4"/>
        <v/>
      </c>
    </row>
    <row r="24" spans="1:22" s="57" customFormat="1">
      <c r="A24" s="58" t="str">
        <f t="shared" si="0"/>
        <v/>
      </c>
      <c r="B24" s="54"/>
      <c r="C24" s="58" t="str">
        <f t="shared" si="1"/>
        <v/>
      </c>
      <c r="D24" s="53"/>
      <c r="E24" s="53"/>
      <c r="F24" s="52"/>
      <c r="G24" s="53"/>
      <c r="H24" s="55"/>
      <c r="I24" s="55"/>
      <c r="J24" s="198" t="str">
        <f>IF(D24="","",SUMIFS($H$5:H24,$D$5:D24,D24)-SUMIFS($I$5:I24,$D$5:D24,D24)+SUMIFS($I$5:I24,$D$5:D24,D24,$E$5:E24,MASTER!$Y$9))</f>
        <v/>
      </c>
      <c r="K24" s="54"/>
      <c r="L24" s="53"/>
      <c r="M24" s="102"/>
      <c r="N24" s="102"/>
      <c r="O24" s="53"/>
      <c r="P24" s="53"/>
      <c r="Q24" s="199" t="str">
        <f>IF(F24="","",IFERROR(INDEX(PERKARA!$B$5:$B$104,MATCH(F24,PERKARA!$A$5:$A$104,0)),"ID TIDAK TERDAFTAR"))</f>
        <v/>
      </c>
      <c r="R24" s="199" t="str">
        <f t="shared" si="2"/>
        <v/>
      </c>
      <c r="S24" s="201"/>
      <c r="T24" s="200"/>
      <c r="U24" s="202" t="str">
        <f t="shared" si="3"/>
        <v/>
      </c>
      <c r="V24" s="225" t="str">
        <f t="shared" si="4"/>
        <v/>
      </c>
    </row>
    <row r="25" spans="1:22">
      <c r="A25" s="9" t="str">
        <f t="shared" si="0"/>
        <v/>
      </c>
      <c r="B25" s="10"/>
      <c r="C25" s="9" t="str">
        <f t="shared" si="1"/>
        <v/>
      </c>
      <c r="D25" s="6"/>
      <c r="E25" s="6"/>
      <c r="F25" s="46"/>
      <c r="G25" s="6"/>
      <c r="H25" s="11"/>
      <c r="I25" s="11"/>
      <c r="J25" s="73" t="str">
        <f>IF(D25="","",SUMIFS($H$5:H25,$D$5:D25,D25)-SUMIFS($I$5:I25,$D$5:D25,D25)+SUMIFS($I$5:I25,$D$5:D25,D25,$E$5:E25,MASTER!$Y$9))</f>
        <v/>
      </c>
      <c r="K25" s="10"/>
      <c r="L25" s="6"/>
      <c r="M25" s="103"/>
      <c r="N25" s="103"/>
      <c r="O25" s="6"/>
      <c r="P25" s="6"/>
      <c r="Q25" s="67" t="str">
        <f>IF(F25="","",IFERROR(INDEX(PERKARA!$B$5:$B$104,MATCH(F25,PERKARA!$A$5:$A$104,0)),"ID TIDAK TERDAFTAR"))</f>
        <v/>
      </c>
      <c r="R25" s="67" t="str">
        <f t="shared" si="2"/>
        <v/>
      </c>
      <c r="S25" s="105"/>
      <c r="T25" s="98"/>
      <c r="U25" s="104" t="str">
        <f t="shared" si="3"/>
        <v/>
      </c>
      <c r="V25" s="131" t="str">
        <f t="shared" si="4"/>
        <v/>
      </c>
    </row>
    <row r="26" spans="1:22">
      <c r="A26" s="9" t="str">
        <f t="shared" si="0"/>
        <v/>
      </c>
      <c r="B26" s="10"/>
      <c r="C26" s="9" t="str">
        <f t="shared" si="1"/>
        <v/>
      </c>
      <c r="D26" s="6"/>
      <c r="E26" s="6"/>
      <c r="F26" s="46"/>
      <c r="G26" s="6"/>
      <c r="H26" s="11"/>
      <c r="I26" s="11"/>
      <c r="J26" s="73" t="str">
        <f>IF(D26="","",SUMIFS($H$5:H26,$D$5:D26,D26)-SUMIFS($I$5:I26,$D$5:D26,D26)+SUMIFS($I$5:I26,$D$5:D26,D26,$E$5:E26,MASTER!$Y$9))</f>
        <v/>
      </c>
      <c r="K26" s="10"/>
      <c r="L26" s="6"/>
      <c r="M26" s="103"/>
      <c r="N26" s="103"/>
      <c r="O26" s="6"/>
      <c r="P26" s="6"/>
      <c r="Q26" s="67" t="str">
        <f>IF(F26="","",IFERROR(INDEX(PERKARA!$B$5:$B$104,MATCH(F26,PERKARA!$A$5:$A$104,0)),"ID TIDAK TERDAFTAR"))</f>
        <v/>
      </c>
      <c r="R26" s="67" t="str">
        <f t="shared" si="2"/>
        <v/>
      </c>
      <c r="S26" s="105"/>
      <c r="T26" s="98"/>
      <c r="U26" s="104" t="str">
        <f t="shared" si="3"/>
        <v/>
      </c>
      <c r="V26" s="131" t="str">
        <f t="shared" si="4"/>
        <v/>
      </c>
    </row>
    <row r="27" spans="1:22">
      <c r="A27" s="9" t="str">
        <f t="shared" si="0"/>
        <v/>
      </c>
      <c r="B27" s="10"/>
      <c r="C27" s="9" t="str">
        <f t="shared" si="1"/>
        <v/>
      </c>
      <c r="D27" s="6"/>
      <c r="E27" s="6"/>
      <c r="F27" s="46"/>
      <c r="G27" s="6"/>
      <c r="H27" s="11"/>
      <c r="I27" s="11"/>
      <c r="J27" s="73" t="str">
        <f>IF(D27="","",SUMIFS($H$5:H27,$D$5:D27,D27)-SUMIFS($I$5:I27,$D$5:D27,D27)+SUMIFS($I$5:I27,$D$5:D27,D27,$E$5:E27,MASTER!$Y$9))</f>
        <v/>
      </c>
      <c r="K27" s="10"/>
      <c r="L27" s="6"/>
      <c r="M27" s="103"/>
      <c r="N27" s="103"/>
      <c r="O27" s="6"/>
      <c r="P27" s="6"/>
      <c r="Q27" s="67" t="str">
        <f>IF(F27="","",IFERROR(INDEX(PERKARA!$B$5:$B$104,MATCH(F27,PERKARA!$A$5:$A$104,0)),"ID TIDAK TERDAFTAR"))</f>
        <v/>
      </c>
      <c r="R27" s="67" t="str">
        <f t="shared" si="2"/>
        <v/>
      </c>
      <c r="S27" s="105"/>
      <c r="T27" s="98"/>
      <c r="U27" s="104" t="str">
        <f t="shared" si="3"/>
        <v/>
      </c>
      <c r="V27" s="131" t="str">
        <f t="shared" si="4"/>
        <v/>
      </c>
    </row>
    <row r="28" spans="1:22">
      <c r="A28" s="9" t="str">
        <f t="shared" si="0"/>
        <v/>
      </c>
      <c r="B28" s="10"/>
      <c r="C28" s="9" t="str">
        <f t="shared" si="1"/>
        <v/>
      </c>
      <c r="D28" s="6"/>
      <c r="E28" s="6"/>
      <c r="F28" s="46"/>
      <c r="G28" s="6"/>
      <c r="H28" s="11"/>
      <c r="I28" s="11"/>
      <c r="J28" s="73" t="str">
        <f>IF(D28="","",SUMIFS($H$5:H28,$D$5:D28,D28)-SUMIFS($I$5:I28,$D$5:D28,D28)+SUMIFS($I$5:I28,$D$5:D28,D28,$E$5:E28,MASTER!$Y$9))</f>
        <v/>
      </c>
      <c r="K28" s="10"/>
      <c r="L28" s="6"/>
      <c r="M28" s="103"/>
      <c r="N28" s="103"/>
      <c r="O28" s="6"/>
      <c r="P28" s="6"/>
      <c r="Q28" s="67" t="str">
        <f>IF(F28="","",IFERROR(INDEX(PERKARA!$B$5:$B$104,MATCH(F28,PERKARA!$A$5:$A$104,0)),"ID TIDAK TERDAFTAR"))</f>
        <v/>
      </c>
      <c r="R28" s="67" t="str">
        <f t="shared" si="2"/>
        <v/>
      </c>
      <c r="S28" s="105"/>
      <c r="T28" s="98"/>
      <c r="U28" s="104" t="str">
        <f t="shared" si="3"/>
        <v/>
      </c>
      <c r="V28" s="131" t="str">
        <f t="shared" si="4"/>
        <v/>
      </c>
    </row>
    <row r="29" spans="1:22">
      <c r="A29" s="9" t="str">
        <f t="shared" si="0"/>
        <v/>
      </c>
      <c r="B29" s="10"/>
      <c r="C29" s="9" t="str">
        <f t="shared" si="1"/>
        <v/>
      </c>
      <c r="D29" s="6"/>
      <c r="E29" s="6"/>
      <c r="F29" s="46"/>
      <c r="G29" s="6"/>
      <c r="H29" s="11"/>
      <c r="I29" s="11"/>
      <c r="J29" s="73" t="str">
        <f>IF(D29="","",SUMIFS($H$5:H29,$D$5:D29,D29)-SUMIFS($I$5:I29,$D$5:D29,D29)+SUMIFS($I$5:I29,$D$5:D29,D29,$E$5:E29,MASTER!$Y$9))</f>
        <v/>
      </c>
      <c r="K29" s="10"/>
      <c r="L29" s="6"/>
      <c r="M29" s="103"/>
      <c r="N29" s="103"/>
      <c r="O29" s="6"/>
      <c r="P29" s="6"/>
      <c r="Q29" s="67" t="str">
        <f>IF(F29="","",IFERROR(INDEX(PERKARA!$B$5:$B$104,MATCH(F29,PERKARA!$A$5:$A$104,0)),"ID TIDAK TERDAFTAR"))</f>
        <v/>
      </c>
      <c r="R29" s="67" t="str">
        <f t="shared" si="2"/>
        <v/>
      </c>
      <c r="S29" s="105"/>
      <c r="T29" s="98"/>
      <c r="U29" s="104" t="str">
        <f t="shared" si="3"/>
        <v/>
      </c>
      <c r="V29" s="131" t="str">
        <f t="shared" si="4"/>
        <v/>
      </c>
    </row>
    <row r="30" spans="1:22">
      <c r="A30" s="9" t="str">
        <f t="shared" si="0"/>
        <v/>
      </c>
      <c r="B30" s="10"/>
      <c r="C30" s="9" t="str">
        <f t="shared" si="1"/>
        <v/>
      </c>
      <c r="D30" s="6"/>
      <c r="E30" s="6"/>
      <c r="F30" s="46"/>
      <c r="G30" s="6"/>
      <c r="H30" s="11"/>
      <c r="I30" s="11"/>
      <c r="J30" s="73" t="str">
        <f>IF(D30="","",SUMIFS($H$5:H30,$D$5:D30,D30)-SUMIFS($I$5:I30,$D$5:D30,D30)+SUMIFS($I$5:I30,$D$5:D30,D30,$E$5:E30,MASTER!$Y$9))</f>
        <v/>
      </c>
      <c r="K30" s="10"/>
      <c r="L30" s="6"/>
      <c r="M30" s="103"/>
      <c r="N30" s="103"/>
      <c r="O30" s="6"/>
      <c r="P30" s="6"/>
      <c r="Q30" s="67" t="str">
        <f>IF(F30="","",IFERROR(INDEX(PERKARA!$B$5:$B$104,MATCH(F30,PERKARA!$A$5:$A$104,0)),"ID TIDAK TERDAFTAR"))</f>
        <v/>
      </c>
      <c r="R30" s="67" t="str">
        <f t="shared" si="2"/>
        <v/>
      </c>
      <c r="S30" s="105"/>
      <c r="T30" s="98"/>
      <c r="U30" s="104" t="str">
        <f t="shared" si="3"/>
        <v/>
      </c>
      <c r="V30" s="131" t="str">
        <f t="shared" si="4"/>
        <v/>
      </c>
    </row>
    <row r="31" spans="1:22">
      <c r="A31" s="9" t="str">
        <f t="shared" si="0"/>
        <v/>
      </c>
      <c r="B31" s="10"/>
      <c r="C31" s="9" t="str">
        <f t="shared" si="1"/>
        <v/>
      </c>
      <c r="D31" s="6"/>
      <c r="E31" s="6"/>
      <c r="F31" s="46"/>
      <c r="G31" s="6"/>
      <c r="H31" s="11"/>
      <c r="I31" s="11"/>
      <c r="J31" s="73" t="str">
        <f>IF(D31="","",SUMIFS($H$5:H31,$D$5:D31,D31)-SUMIFS($I$5:I31,$D$5:D31,D31)+SUMIFS($I$5:I31,$D$5:D31,D31,$E$5:E31,MASTER!$Y$9))</f>
        <v/>
      </c>
      <c r="K31" s="10"/>
      <c r="L31" s="6"/>
      <c r="M31" s="103"/>
      <c r="N31" s="103"/>
      <c r="O31" s="6"/>
      <c r="P31" s="6"/>
      <c r="Q31" s="67" t="str">
        <f>IF(F31="","",IFERROR(INDEX(PERKARA!$B$5:$B$104,MATCH(F31,PERKARA!$A$5:$A$104,0)),"ID TIDAK TERDAFTAR"))</f>
        <v/>
      </c>
      <c r="R31" s="67" t="str">
        <f t="shared" si="2"/>
        <v/>
      </c>
      <c r="S31" s="105"/>
      <c r="T31" s="98"/>
      <c r="U31" s="104" t="str">
        <f t="shared" si="3"/>
        <v/>
      </c>
      <c r="V31" s="131" t="str">
        <f t="shared" si="4"/>
        <v/>
      </c>
    </row>
    <row r="32" spans="1:22">
      <c r="A32" s="9" t="str">
        <f t="shared" si="0"/>
        <v/>
      </c>
      <c r="B32" s="10"/>
      <c r="C32" s="9" t="str">
        <f t="shared" si="1"/>
        <v/>
      </c>
      <c r="D32" s="6"/>
      <c r="E32" s="6"/>
      <c r="F32" s="46"/>
      <c r="G32" s="6"/>
      <c r="H32" s="11"/>
      <c r="I32" s="11"/>
      <c r="J32" s="73" t="str">
        <f>IF(D32="","",SUMIFS($H$5:H32,$D$5:D32,D32)-SUMIFS($I$5:I32,$D$5:D32,D32)+SUMIFS($I$5:I32,$D$5:D32,D32,$E$5:E32,MASTER!$Y$9))</f>
        <v/>
      </c>
      <c r="K32" s="10"/>
      <c r="L32" s="6"/>
      <c r="M32" s="103"/>
      <c r="N32" s="103"/>
      <c r="O32" s="6"/>
      <c r="P32" s="6"/>
      <c r="Q32" s="67" t="str">
        <f>IF(F32="","",IFERROR(INDEX(PERKARA!$B$5:$B$104,MATCH(F32,PERKARA!$A$5:$A$104,0)),"ID TIDAK TERDAFTAR"))</f>
        <v/>
      </c>
      <c r="R32" s="67" t="str">
        <f t="shared" si="2"/>
        <v/>
      </c>
      <c r="S32" s="105"/>
      <c r="T32" s="98"/>
      <c r="U32" s="104" t="str">
        <f t="shared" si="3"/>
        <v/>
      </c>
      <c r="V32" s="131" t="str">
        <f t="shared" si="4"/>
        <v/>
      </c>
    </row>
    <row r="33" spans="1:22">
      <c r="A33" s="9" t="str">
        <f t="shared" si="0"/>
        <v/>
      </c>
      <c r="B33" s="10"/>
      <c r="C33" s="9" t="str">
        <f t="shared" si="1"/>
        <v/>
      </c>
      <c r="D33" s="6"/>
      <c r="E33" s="6"/>
      <c r="F33" s="46"/>
      <c r="G33" s="6"/>
      <c r="H33" s="11"/>
      <c r="I33" s="11"/>
      <c r="J33" s="73" t="str">
        <f>IF(D33="","",SUMIFS($H$5:H33,$D$5:D33,D33)-SUMIFS($I$5:I33,$D$5:D33,D33)+SUMIFS($I$5:I33,$D$5:D33,D33,$E$5:E33,MASTER!$Y$9))</f>
        <v/>
      </c>
      <c r="K33" s="10"/>
      <c r="L33" s="6"/>
      <c r="M33" s="103"/>
      <c r="N33" s="103"/>
      <c r="O33" s="6"/>
      <c r="P33" s="6"/>
      <c r="Q33" s="67" t="str">
        <f>IF(F33="","",IFERROR(INDEX(PERKARA!$B$5:$B$104,MATCH(F33,PERKARA!$A$5:$A$104,0)),"ID TIDAK TERDAFTAR"))</f>
        <v/>
      </c>
      <c r="R33" s="67" t="str">
        <f t="shared" si="2"/>
        <v/>
      </c>
      <c r="S33" s="105"/>
      <c r="T33" s="98"/>
      <c r="U33" s="104" t="str">
        <f t="shared" si="3"/>
        <v/>
      </c>
      <c r="V33" s="131" t="str">
        <f t="shared" si="4"/>
        <v/>
      </c>
    </row>
    <row r="34" spans="1:22">
      <c r="A34" s="9" t="str">
        <f t="shared" si="0"/>
        <v/>
      </c>
      <c r="B34" s="10"/>
      <c r="C34" s="9" t="str">
        <f t="shared" si="1"/>
        <v/>
      </c>
      <c r="D34" s="6"/>
      <c r="E34" s="6"/>
      <c r="F34" s="46"/>
      <c r="G34" s="6"/>
      <c r="H34" s="11"/>
      <c r="I34" s="11"/>
      <c r="J34" s="73" t="str">
        <f>IF(D34="","",SUMIFS($H$5:H34,$D$5:D34,D34)-SUMIFS($I$5:I34,$D$5:D34,D34)+SUMIFS($I$5:I34,$D$5:D34,D34,$E$5:E34,MASTER!$Y$9))</f>
        <v/>
      </c>
      <c r="K34" s="10"/>
      <c r="L34" s="6"/>
      <c r="M34" s="103"/>
      <c r="N34" s="103"/>
      <c r="O34" s="6"/>
      <c r="P34" s="6"/>
      <c r="Q34" s="67" t="str">
        <f>IF(F34="","",IFERROR(INDEX(PERKARA!$B$5:$B$104,MATCH(F34,PERKARA!$A$5:$A$104,0)),"ID TIDAK TERDAFTAR"))</f>
        <v/>
      </c>
      <c r="R34" s="67" t="str">
        <f t="shared" si="2"/>
        <v/>
      </c>
      <c r="S34" s="105"/>
      <c r="T34" s="98"/>
      <c r="U34" s="104" t="str">
        <f t="shared" si="3"/>
        <v/>
      </c>
      <c r="V34" s="131" t="str">
        <f t="shared" si="4"/>
        <v/>
      </c>
    </row>
    <row r="35" spans="1:22">
      <c r="A35" s="9" t="str">
        <f t="shared" si="0"/>
        <v/>
      </c>
      <c r="B35" s="10"/>
      <c r="C35" s="9" t="str">
        <f t="shared" si="1"/>
        <v/>
      </c>
      <c r="D35" s="6"/>
      <c r="E35" s="6"/>
      <c r="F35" s="46"/>
      <c r="G35" s="6"/>
      <c r="H35" s="11"/>
      <c r="I35" s="11"/>
      <c r="J35" s="73" t="str">
        <f>IF(D35="","",SUMIFS($H$5:H35,$D$5:D35,D35)-SUMIFS($I$5:I35,$D$5:D35,D35)+SUMIFS($I$5:I35,$D$5:D35,D35,$E$5:E35,MASTER!$Y$9))</f>
        <v/>
      </c>
      <c r="K35" s="10"/>
      <c r="L35" s="6"/>
      <c r="M35" s="103"/>
      <c r="N35" s="103"/>
      <c r="O35" s="6"/>
      <c r="P35" s="6"/>
      <c r="Q35" s="67" t="str">
        <f>IF(F35="","",IFERROR(INDEX(PERKARA!$B$5:$B$104,MATCH(F35,PERKARA!$A$5:$A$104,0)),"ID TIDAK TERDAFTAR"))</f>
        <v/>
      </c>
      <c r="R35" s="67" t="str">
        <f t="shared" si="2"/>
        <v/>
      </c>
      <c r="S35" s="105"/>
      <c r="T35" s="98"/>
      <c r="U35" s="104" t="str">
        <f t="shared" si="3"/>
        <v/>
      </c>
      <c r="V35" s="131" t="str">
        <f t="shared" si="4"/>
        <v/>
      </c>
    </row>
    <row r="36" spans="1:22">
      <c r="A36" s="9" t="str">
        <f t="shared" si="0"/>
        <v/>
      </c>
      <c r="B36" s="10"/>
      <c r="C36" s="9" t="str">
        <f t="shared" si="1"/>
        <v/>
      </c>
      <c r="D36" s="6"/>
      <c r="E36" s="6"/>
      <c r="F36" s="46"/>
      <c r="G36" s="6"/>
      <c r="H36" s="11"/>
      <c r="I36" s="11"/>
      <c r="J36" s="73" t="str">
        <f>IF(D36="","",SUMIFS($H$5:H36,$D$5:D36,D36)-SUMIFS($I$5:I36,$D$5:D36,D36)+SUMIFS($I$5:I36,$D$5:D36,D36,$E$5:E36,MASTER!$Y$9))</f>
        <v/>
      </c>
      <c r="K36" s="10"/>
      <c r="L36" s="6"/>
      <c r="M36" s="103"/>
      <c r="N36" s="103"/>
      <c r="O36" s="6"/>
      <c r="P36" s="6"/>
      <c r="Q36" s="67" t="str">
        <f>IF(F36="","",IFERROR(INDEX(PERKARA!$B$5:$B$104,MATCH(F36,PERKARA!$A$5:$A$104,0)),"ID TIDAK TERDAFTAR"))</f>
        <v/>
      </c>
      <c r="R36" s="67" t="str">
        <f t="shared" si="2"/>
        <v/>
      </c>
      <c r="S36" s="105"/>
      <c r="T36" s="98"/>
      <c r="U36" s="104" t="str">
        <f t="shared" si="3"/>
        <v/>
      </c>
      <c r="V36" s="131" t="str">
        <f t="shared" si="4"/>
        <v/>
      </c>
    </row>
    <row r="37" spans="1:22">
      <c r="A37" s="9" t="str">
        <f t="shared" ref="A37:A68" si="5">IF(B37="","",IFERROR("PTR-"&amp;TEXT(B37,"yyyymmdd")&amp;"-"&amp;TEXT(ROW()-4,"000"),"TANGGAL TIDAK VALID"))</f>
        <v/>
      </c>
      <c r="B37" s="10"/>
      <c r="C37" s="9" t="str">
        <f t="shared" ref="C37:C68" si="6">IF(B37="","",IFERROR(TEXT(B37,"yyyy-mm"),""))</f>
        <v/>
      </c>
      <c r="D37" s="6"/>
      <c r="E37" s="6"/>
      <c r="F37" s="46"/>
      <c r="G37" s="6"/>
      <c r="H37" s="11"/>
      <c r="I37" s="11"/>
      <c r="J37" s="73" t="str">
        <f>IF(D37="","",SUMIFS($H$5:H37,$D$5:D37,D37)-SUMIFS($I$5:I37,$D$5:D37,D37)+SUMIFS($I$5:I37,$D$5:D37,D37,$E$5:E37,MASTER!$Y$9))</f>
        <v/>
      </c>
      <c r="K37" s="10"/>
      <c r="L37" s="6"/>
      <c r="M37" s="103"/>
      <c r="N37" s="103"/>
      <c r="O37" s="6"/>
      <c r="P37" s="6"/>
      <c r="Q37" s="67" t="str">
        <f>IF(F37="","",IFERROR(INDEX(PERKARA!$B$5:$B$104,MATCH(F37,PERKARA!$A$5:$A$104,0)),"ID TIDAK TERDAFTAR"))</f>
        <v/>
      </c>
      <c r="R37" s="67" t="str">
        <f t="shared" ref="R37:R68" si="7">IF(B37="","",IF(D37="","PARTNER BELUM DIISI",IF(AND(F37&lt;&gt;"",Q37="ID TIDAK TERDAFTAR"),"PERKARA TIDAK VALID",IF(AND(I37&gt;0,E37=""),"JENIS TRANSAKSI BELUM DIISI",IF(AND(I37&gt;0,L37=""),"AKUN PEMBAYARAN BELUM DIISI",IF(AND(I37&gt;0,V37=""),"TANGGAL PEMBAYARAN BELUM DIISI",IF(AND(I37&gt;0,U37&lt;&gt;"LENGKAP"),"DIBAYAR TANPA OTORISASI","OK")))))))</f>
        <v/>
      </c>
      <c r="S37" s="105"/>
      <c r="T37" s="98"/>
      <c r="U37" s="104" t="str">
        <f t="shared" ref="U37:U68" si="8">IF(B37="","",IF(M37="Ditolak","DITOLAK",IF(AND(M37="Disetujui",N37&lt;&gt;""),"LENGKAP",IF(M37="Disetujui","NAMA PENYETUJU BELUM DIISI","MENUNGGU PERSETUJUAN MANUAL"))))</f>
        <v/>
      </c>
      <c r="V37" s="131" t="str">
        <f t="shared" ref="V37:V68" si="9">IF(I37="","",IF(I37&lt;=0,"",IF(K37&lt;&gt;"",K37,IF(B37&lt;&gt;"",B37,""))))</f>
        <v/>
      </c>
    </row>
    <row r="38" spans="1:22">
      <c r="A38" s="9" t="str">
        <f t="shared" si="5"/>
        <v/>
      </c>
      <c r="B38" s="10"/>
      <c r="C38" s="9" t="str">
        <f t="shared" si="6"/>
        <v/>
      </c>
      <c r="D38" s="6"/>
      <c r="E38" s="6"/>
      <c r="F38" s="46"/>
      <c r="G38" s="6"/>
      <c r="H38" s="11"/>
      <c r="I38" s="11"/>
      <c r="J38" s="73" t="str">
        <f>IF(D38="","",SUMIFS($H$5:H38,$D$5:D38,D38)-SUMIFS($I$5:I38,$D$5:D38,D38)+SUMIFS($I$5:I38,$D$5:D38,D38,$E$5:E38,MASTER!$Y$9))</f>
        <v/>
      </c>
      <c r="K38" s="10"/>
      <c r="L38" s="6"/>
      <c r="M38" s="103"/>
      <c r="N38" s="103"/>
      <c r="O38" s="6"/>
      <c r="P38" s="6"/>
      <c r="Q38" s="67" t="str">
        <f>IF(F38="","",IFERROR(INDEX(PERKARA!$B$5:$B$104,MATCH(F38,PERKARA!$A$5:$A$104,0)),"ID TIDAK TERDAFTAR"))</f>
        <v/>
      </c>
      <c r="R38" s="67" t="str">
        <f t="shared" si="7"/>
        <v/>
      </c>
      <c r="S38" s="105"/>
      <c r="T38" s="98"/>
      <c r="U38" s="104" t="str">
        <f t="shared" si="8"/>
        <v/>
      </c>
      <c r="V38" s="131" t="str">
        <f t="shared" si="9"/>
        <v/>
      </c>
    </row>
    <row r="39" spans="1:22">
      <c r="A39" s="9" t="str">
        <f t="shared" si="5"/>
        <v/>
      </c>
      <c r="B39" s="10"/>
      <c r="C39" s="9" t="str">
        <f t="shared" si="6"/>
        <v/>
      </c>
      <c r="D39" s="6"/>
      <c r="E39" s="6"/>
      <c r="F39" s="46"/>
      <c r="G39" s="6"/>
      <c r="H39" s="11"/>
      <c r="I39" s="11"/>
      <c r="J39" s="73" t="str">
        <f>IF(D39="","",SUMIFS($H$5:H39,$D$5:D39,D39)-SUMIFS($I$5:I39,$D$5:D39,D39)+SUMIFS($I$5:I39,$D$5:D39,D39,$E$5:E39,MASTER!$Y$9))</f>
        <v/>
      </c>
      <c r="K39" s="10"/>
      <c r="L39" s="6"/>
      <c r="M39" s="103"/>
      <c r="N39" s="103"/>
      <c r="O39" s="6"/>
      <c r="P39" s="6"/>
      <c r="Q39" s="67" t="str">
        <f>IF(F39="","",IFERROR(INDEX(PERKARA!$B$5:$B$104,MATCH(F39,PERKARA!$A$5:$A$104,0)),"ID TIDAK TERDAFTAR"))</f>
        <v/>
      </c>
      <c r="R39" s="67" t="str">
        <f t="shared" si="7"/>
        <v/>
      </c>
      <c r="S39" s="105"/>
      <c r="T39" s="98"/>
      <c r="U39" s="104" t="str">
        <f t="shared" si="8"/>
        <v/>
      </c>
      <c r="V39" s="131" t="str">
        <f t="shared" si="9"/>
        <v/>
      </c>
    </row>
    <row r="40" spans="1:22">
      <c r="A40" s="9" t="str">
        <f t="shared" si="5"/>
        <v/>
      </c>
      <c r="B40" s="10"/>
      <c r="C40" s="9" t="str">
        <f t="shared" si="6"/>
        <v/>
      </c>
      <c r="D40" s="6"/>
      <c r="E40" s="6"/>
      <c r="F40" s="46"/>
      <c r="G40" s="6"/>
      <c r="H40" s="11"/>
      <c r="I40" s="11"/>
      <c r="J40" s="73" t="str">
        <f>IF(D40="","",SUMIFS($H$5:H40,$D$5:D40,D40)-SUMIFS($I$5:I40,$D$5:D40,D40)+SUMIFS($I$5:I40,$D$5:D40,D40,$E$5:E40,MASTER!$Y$9))</f>
        <v/>
      </c>
      <c r="K40" s="10"/>
      <c r="L40" s="6"/>
      <c r="M40" s="103"/>
      <c r="N40" s="103"/>
      <c r="O40" s="6"/>
      <c r="P40" s="6"/>
      <c r="Q40" s="67" t="str">
        <f>IF(F40="","",IFERROR(INDEX(PERKARA!$B$5:$B$104,MATCH(F40,PERKARA!$A$5:$A$104,0)),"ID TIDAK TERDAFTAR"))</f>
        <v/>
      </c>
      <c r="R40" s="67" t="str">
        <f t="shared" si="7"/>
        <v/>
      </c>
      <c r="S40" s="105"/>
      <c r="T40" s="98"/>
      <c r="U40" s="104" t="str">
        <f t="shared" si="8"/>
        <v/>
      </c>
      <c r="V40" s="131" t="str">
        <f t="shared" si="9"/>
        <v/>
      </c>
    </row>
    <row r="41" spans="1:22">
      <c r="A41" s="9" t="str">
        <f t="shared" si="5"/>
        <v/>
      </c>
      <c r="B41" s="10"/>
      <c r="C41" s="9" t="str">
        <f t="shared" si="6"/>
        <v/>
      </c>
      <c r="D41" s="6"/>
      <c r="E41" s="6"/>
      <c r="F41" s="46"/>
      <c r="G41" s="6"/>
      <c r="H41" s="11"/>
      <c r="I41" s="11"/>
      <c r="J41" s="73" t="str">
        <f>IF(D41="","",SUMIFS($H$5:H41,$D$5:D41,D41)-SUMIFS($I$5:I41,$D$5:D41,D41)+SUMIFS($I$5:I41,$D$5:D41,D41,$E$5:E41,MASTER!$Y$9))</f>
        <v/>
      </c>
      <c r="K41" s="10"/>
      <c r="L41" s="6"/>
      <c r="M41" s="103"/>
      <c r="N41" s="103"/>
      <c r="O41" s="6"/>
      <c r="P41" s="6"/>
      <c r="Q41" s="67" t="str">
        <f>IF(F41="","",IFERROR(INDEX(PERKARA!$B$5:$B$104,MATCH(F41,PERKARA!$A$5:$A$104,0)),"ID TIDAK TERDAFTAR"))</f>
        <v/>
      </c>
      <c r="R41" s="67" t="str">
        <f t="shared" si="7"/>
        <v/>
      </c>
      <c r="S41" s="105"/>
      <c r="T41" s="98"/>
      <c r="U41" s="104" t="str">
        <f t="shared" si="8"/>
        <v/>
      </c>
      <c r="V41" s="131" t="str">
        <f t="shared" si="9"/>
        <v/>
      </c>
    </row>
    <row r="42" spans="1:22">
      <c r="A42" s="9" t="str">
        <f t="shared" si="5"/>
        <v/>
      </c>
      <c r="B42" s="10"/>
      <c r="C42" s="9" t="str">
        <f t="shared" si="6"/>
        <v/>
      </c>
      <c r="D42" s="6"/>
      <c r="E42" s="6"/>
      <c r="F42" s="46"/>
      <c r="G42" s="6"/>
      <c r="H42" s="11"/>
      <c r="I42" s="11"/>
      <c r="J42" s="73" t="str">
        <f>IF(D42="","",SUMIFS($H$5:H42,$D$5:D42,D42)-SUMIFS($I$5:I42,$D$5:D42,D42)+SUMIFS($I$5:I42,$D$5:D42,D42,$E$5:E42,MASTER!$Y$9))</f>
        <v/>
      </c>
      <c r="K42" s="10"/>
      <c r="L42" s="6"/>
      <c r="M42" s="103"/>
      <c r="N42" s="103"/>
      <c r="O42" s="6"/>
      <c r="P42" s="6"/>
      <c r="Q42" s="67" t="str">
        <f>IF(F42="","",IFERROR(INDEX(PERKARA!$B$5:$B$104,MATCH(F42,PERKARA!$A$5:$A$104,0)),"ID TIDAK TERDAFTAR"))</f>
        <v/>
      </c>
      <c r="R42" s="67" t="str">
        <f t="shared" si="7"/>
        <v/>
      </c>
      <c r="S42" s="105"/>
      <c r="T42" s="98"/>
      <c r="U42" s="104" t="str">
        <f t="shared" si="8"/>
        <v/>
      </c>
      <c r="V42" s="131" t="str">
        <f t="shared" si="9"/>
        <v/>
      </c>
    </row>
    <row r="43" spans="1:22">
      <c r="A43" s="9" t="str">
        <f t="shared" si="5"/>
        <v/>
      </c>
      <c r="B43" s="10"/>
      <c r="C43" s="9" t="str">
        <f t="shared" si="6"/>
        <v/>
      </c>
      <c r="D43" s="6"/>
      <c r="E43" s="6"/>
      <c r="F43" s="46"/>
      <c r="G43" s="6"/>
      <c r="H43" s="11"/>
      <c r="I43" s="11"/>
      <c r="J43" s="73" t="str">
        <f>IF(D43="","",SUMIFS($H$5:H43,$D$5:D43,D43)-SUMIFS($I$5:I43,$D$5:D43,D43)+SUMIFS($I$5:I43,$D$5:D43,D43,$E$5:E43,MASTER!$Y$9))</f>
        <v/>
      </c>
      <c r="K43" s="10"/>
      <c r="L43" s="6"/>
      <c r="M43" s="103"/>
      <c r="N43" s="103"/>
      <c r="O43" s="6"/>
      <c r="P43" s="6"/>
      <c r="Q43" s="67" t="str">
        <f>IF(F43="","",IFERROR(INDEX(PERKARA!$B$5:$B$104,MATCH(F43,PERKARA!$A$5:$A$104,0)),"ID TIDAK TERDAFTAR"))</f>
        <v/>
      </c>
      <c r="R43" s="67" t="str">
        <f t="shared" si="7"/>
        <v/>
      </c>
      <c r="S43" s="105"/>
      <c r="T43" s="98"/>
      <c r="U43" s="104" t="str">
        <f t="shared" si="8"/>
        <v/>
      </c>
      <c r="V43" s="131" t="str">
        <f t="shared" si="9"/>
        <v/>
      </c>
    </row>
    <row r="44" spans="1:22">
      <c r="A44" s="9" t="str">
        <f t="shared" si="5"/>
        <v/>
      </c>
      <c r="B44" s="10"/>
      <c r="C44" s="9" t="str">
        <f t="shared" si="6"/>
        <v/>
      </c>
      <c r="D44" s="6"/>
      <c r="E44" s="6"/>
      <c r="F44" s="46"/>
      <c r="G44" s="6"/>
      <c r="H44" s="11"/>
      <c r="I44" s="11"/>
      <c r="J44" s="73" t="str">
        <f>IF(D44="","",SUMIFS($H$5:H44,$D$5:D44,D44)-SUMIFS($I$5:I44,$D$5:D44,D44)+SUMIFS($I$5:I44,$D$5:D44,D44,$E$5:E44,MASTER!$Y$9))</f>
        <v/>
      </c>
      <c r="K44" s="10"/>
      <c r="L44" s="6"/>
      <c r="M44" s="103"/>
      <c r="N44" s="103"/>
      <c r="O44" s="6"/>
      <c r="P44" s="6"/>
      <c r="Q44" s="67" t="str">
        <f>IF(F44="","",IFERROR(INDEX(PERKARA!$B$5:$B$104,MATCH(F44,PERKARA!$A$5:$A$104,0)),"ID TIDAK TERDAFTAR"))</f>
        <v/>
      </c>
      <c r="R44" s="67" t="str">
        <f t="shared" si="7"/>
        <v/>
      </c>
      <c r="S44" s="105"/>
      <c r="T44" s="98"/>
      <c r="U44" s="104" t="str">
        <f t="shared" si="8"/>
        <v/>
      </c>
      <c r="V44" s="131" t="str">
        <f t="shared" si="9"/>
        <v/>
      </c>
    </row>
    <row r="45" spans="1:22">
      <c r="A45" s="9" t="str">
        <f t="shared" si="5"/>
        <v/>
      </c>
      <c r="B45" s="10"/>
      <c r="C45" s="9" t="str">
        <f t="shared" si="6"/>
        <v/>
      </c>
      <c r="D45" s="6"/>
      <c r="E45" s="6"/>
      <c r="F45" s="46"/>
      <c r="G45" s="6"/>
      <c r="H45" s="11"/>
      <c r="I45" s="11"/>
      <c r="J45" s="73" t="str">
        <f>IF(D45="","",SUMIFS($H$5:H45,$D$5:D45,D45)-SUMIFS($I$5:I45,$D$5:D45,D45)+SUMIFS($I$5:I45,$D$5:D45,D45,$E$5:E45,MASTER!$Y$9))</f>
        <v/>
      </c>
      <c r="K45" s="10"/>
      <c r="L45" s="6"/>
      <c r="M45" s="103"/>
      <c r="N45" s="103"/>
      <c r="O45" s="6"/>
      <c r="P45" s="6"/>
      <c r="Q45" s="67" t="str">
        <f>IF(F45="","",IFERROR(INDEX(PERKARA!$B$5:$B$104,MATCH(F45,PERKARA!$A$5:$A$104,0)),"ID TIDAK TERDAFTAR"))</f>
        <v/>
      </c>
      <c r="R45" s="67" t="str">
        <f t="shared" si="7"/>
        <v/>
      </c>
      <c r="S45" s="105"/>
      <c r="T45" s="98"/>
      <c r="U45" s="104" t="str">
        <f t="shared" si="8"/>
        <v/>
      </c>
      <c r="V45" s="131" t="str">
        <f t="shared" si="9"/>
        <v/>
      </c>
    </row>
    <row r="46" spans="1:22">
      <c r="A46" s="9" t="str">
        <f t="shared" si="5"/>
        <v/>
      </c>
      <c r="B46" s="10"/>
      <c r="C46" s="9" t="str">
        <f t="shared" si="6"/>
        <v/>
      </c>
      <c r="D46" s="6"/>
      <c r="E46" s="6"/>
      <c r="F46" s="46"/>
      <c r="G46" s="6"/>
      <c r="H46" s="11"/>
      <c r="I46" s="11"/>
      <c r="J46" s="73" t="str">
        <f>IF(D46="","",SUMIFS($H$5:H46,$D$5:D46,D46)-SUMIFS($I$5:I46,$D$5:D46,D46)+SUMIFS($I$5:I46,$D$5:D46,D46,$E$5:E46,MASTER!$Y$9))</f>
        <v/>
      </c>
      <c r="K46" s="10"/>
      <c r="L46" s="6"/>
      <c r="M46" s="103"/>
      <c r="N46" s="103"/>
      <c r="O46" s="6"/>
      <c r="P46" s="6"/>
      <c r="Q46" s="67" t="str">
        <f>IF(F46="","",IFERROR(INDEX(PERKARA!$B$5:$B$104,MATCH(F46,PERKARA!$A$5:$A$104,0)),"ID TIDAK TERDAFTAR"))</f>
        <v/>
      </c>
      <c r="R46" s="67" t="str">
        <f t="shared" si="7"/>
        <v/>
      </c>
      <c r="S46" s="105"/>
      <c r="T46" s="98"/>
      <c r="U46" s="104" t="str">
        <f t="shared" si="8"/>
        <v/>
      </c>
      <c r="V46" s="131" t="str">
        <f t="shared" si="9"/>
        <v/>
      </c>
    </row>
    <row r="47" spans="1:22">
      <c r="A47" s="9" t="str">
        <f t="shared" si="5"/>
        <v/>
      </c>
      <c r="B47" s="10"/>
      <c r="C47" s="9" t="str">
        <f t="shared" si="6"/>
        <v/>
      </c>
      <c r="D47" s="6"/>
      <c r="E47" s="6"/>
      <c r="F47" s="46"/>
      <c r="G47" s="6"/>
      <c r="H47" s="11"/>
      <c r="I47" s="11"/>
      <c r="J47" s="73" t="str">
        <f>IF(D47="","",SUMIFS($H$5:H47,$D$5:D47,D47)-SUMIFS($I$5:I47,$D$5:D47,D47)+SUMIFS($I$5:I47,$D$5:D47,D47,$E$5:E47,MASTER!$Y$9))</f>
        <v/>
      </c>
      <c r="K47" s="10"/>
      <c r="L47" s="6"/>
      <c r="M47" s="103"/>
      <c r="N47" s="103"/>
      <c r="O47" s="6"/>
      <c r="P47" s="6"/>
      <c r="Q47" s="67" t="str">
        <f>IF(F47="","",IFERROR(INDEX(PERKARA!$B$5:$B$104,MATCH(F47,PERKARA!$A$5:$A$104,0)),"ID TIDAK TERDAFTAR"))</f>
        <v/>
      </c>
      <c r="R47" s="67" t="str">
        <f t="shared" si="7"/>
        <v/>
      </c>
      <c r="S47" s="105"/>
      <c r="T47" s="98"/>
      <c r="U47" s="104" t="str">
        <f t="shared" si="8"/>
        <v/>
      </c>
      <c r="V47" s="131" t="str">
        <f t="shared" si="9"/>
        <v/>
      </c>
    </row>
    <row r="48" spans="1:22">
      <c r="A48" s="9" t="str">
        <f t="shared" si="5"/>
        <v/>
      </c>
      <c r="B48" s="10"/>
      <c r="C48" s="9" t="str">
        <f t="shared" si="6"/>
        <v/>
      </c>
      <c r="D48" s="6"/>
      <c r="E48" s="6"/>
      <c r="F48" s="46"/>
      <c r="G48" s="6"/>
      <c r="H48" s="11"/>
      <c r="I48" s="11"/>
      <c r="J48" s="73" t="str">
        <f>IF(D48="","",SUMIFS($H$5:H48,$D$5:D48,D48)-SUMIFS($I$5:I48,$D$5:D48,D48)+SUMIFS($I$5:I48,$D$5:D48,D48,$E$5:E48,MASTER!$Y$9))</f>
        <v/>
      </c>
      <c r="K48" s="10"/>
      <c r="L48" s="6"/>
      <c r="M48" s="103"/>
      <c r="N48" s="103"/>
      <c r="O48" s="6"/>
      <c r="P48" s="6"/>
      <c r="Q48" s="67" t="str">
        <f>IF(F48="","",IFERROR(INDEX(PERKARA!$B$5:$B$104,MATCH(F48,PERKARA!$A$5:$A$104,0)),"ID TIDAK TERDAFTAR"))</f>
        <v/>
      </c>
      <c r="R48" s="67" t="str">
        <f t="shared" si="7"/>
        <v/>
      </c>
      <c r="S48" s="105"/>
      <c r="T48" s="98"/>
      <c r="U48" s="104" t="str">
        <f t="shared" si="8"/>
        <v/>
      </c>
      <c r="V48" s="131" t="str">
        <f t="shared" si="9"/>
        <v/>
      </c>
    </row>
    <row r="49" spans="1:22">
      <c r="A49" s="9" t="str">
        <f t="shared" si="5"/>
        <v/>
      </c>
      <c r="B49" s="10"/>
      <c r="C49" s="9" t="str">
        <f t="shared" si="6"/>
        <v/>
      </c>
      <c r="D49" s="6"/>
      <c r="E49" s="6"/>
      <c r="F49" s="46"/>
      <c r="G49" s="6"/>
      <c r="H49" s="11"/>
      <c r="I49" s="11"/>
      <c r="J49" s="73" t="str">
        <f>IF(D49="","",SUMIFS($H$5:H49,$D$5:D49,D49)-SUMIFS($I$5:I49,$D$5:D49,D49)+SUMIFS($I$5:I49,$D$5:D49,D49,$E$5:E49,MASTER!$Y$9))</f>
        <v/>
      </c>
      <c r="K49" s="10"/>
      <c r="L49" s="6"/>
      <c r="M49" s="103"/>
      <c r="N49" s="103"/>
      <c r="O49" s="6"/>
      <c r="P49" s="6"/>
      <c r="Q49" s="67" t="str">
        <f>IF(F49="","",IFERROR(INDEX(PERKARA!$B$5:$B$104,MATCH(F49,PERKARA!$A$5:$A$104,0)),"ID TIDAK TERDAFTAR"))</f>
        <v/>
      </c>
      <c r="R49" s="67" t="str">
        <f t="shared" si="7"/>
        <v/>
      </c>
      <c r="S49" s="105"/>
      <c r="T49" s="98"/>
      <c r="U49" s="104" t="str">
        <f t="shared" si="8"/>
        <v/>
      </c>
      <c r="V49" s="131" t="str">
        <f t="shared" si="9"/>
        <v/>
      </c>
    </row>
    <row r="50" spans="1:22">
      <c r="A50" s="9" t="str">
        <f t="shared" si="5"/>
        <v/>
      </c>
      <c r="B50" s="10"/>
      <c r="C50" s="9" t="str">
        <f t="shared" si="6"/>
        <v/>
      </c>
      <c r="D50" s="6"/>
      <c r="E50" s="6"/>
      <c r="F50" s="46"/>
      <c r="G50" s="6"/>
      <c r="H50" s="11"/>
      <c r="I50" s="11"/>
      <c r="J50" s="73" t="str">
        <f>IF(D50="","",SUMIFS($H$5:H50,$D$5:D50,D50)-SUMIFS($I$5:I50,$D$5:D50,D50)+SUMIFS($I$5:I50,$D$5:D50,D50,$E$5:E50,MASTER!$Y$9))</f>
        <v/>
      </c>
      <c r="K50" s="10"/>
      <c r="L50" s="6"/>
      <c r="M50" s="103"/>
      <c r="N50" s="103"/>
      <c r="O50" s="6"/>
      <c r="P50" s="6"/>
      <c r="Q50" s="67" t="str">
        <f>IF(F50="","",IFERROR(INDEX(PERKARA!$B$5:$B$104,MATCH(F50,PERKARA!$A$5:$A$104,0)),"ID TIDAK TERDAFTAR"))</f>
        <v/>
      </c>
      <c r="R50" s="67" t="str">
        <f t="shared" si="7"/>
        <v/>
      </c>
      <c r="S50" s="105"/>
      <c r="T50" s="98"/>
      <c r="U50" s="104" t="str">
        <f t="shared" si="8"/>
        <v/>
      </c>
      <c r="V50" s="131" t="str">
        <f t="shared" si="9"/>
        <v/>
      </c>
    </row>
    <row r="51" spans="1:22">
      <c r="A51" s="9" t="str">
        <f t="shared" si="5"/>
        <v/>
      </c>
      <c r="B51" s="10"/>
      <c r="C51" s="9" t="str">
        <f t="shared" si="6"/>
        <v/>
      </c>
      <c r="D51" s="6"/>
      <c r="E51" s="6"/>
      <c r="F51" s="46"/>
      <c r="G51" s="6"/>
      <c r="H51" s="11"/>
      <c r="I51" s="11"/>
      <c r="J51" s="73" t="str">
        <f>IF(D51="","",SUMIFS($H$5:H51,$D$5:D51,D51)-SUMIFS($I$5:I51,$D$5:D51,D51)+SUMIFS($I$5:I51,$D$5:D51,D51,$E$5:E51,MASTER!$Y$9))</f>
        <v/>
      </c>
      <c r="K51" s="10"/>
      <c r="L51" s="6"/>
      <c r="M51" s="103"/>
      <c r="N51" s="103"/>
      <c r="O51" s="6"/>
      <c r="P51" s="6"/>
      <c r="Q51" s="67" t="str">
        <f>IF(F51="","",IFERROR(INDEX(PERKARA!$B$5:$B$104,MATCH(F51,PERKARA!$A$5:$A$104,0)),"ID TIDAK TERDAFTAR"))</f>
        <v/>
      </c>
      <c r="R51" s="67" t="str">
        <f t="shared" si="7"/>
        <v/>
      </c>
      <c r="S51" s="105"/>
      <c r="T51" s="98"/>
      <c r="U51" s="104" t="str">
        <f t="shared" si="8"/>
        <v/>
      </c>
      <c r="V51" s="131" t="str">
        <f t="shared" si="9"/>
        <v/>
      </c>
    </row>
    <row r="52" spans="1:22">
      <c r="A52" s="9" t="str">
        <f t="shared" si="5"/>
        <v/>
      </c>
      <c r="B52" s="10"/>
      <c r="C52" s="9" t="str">
        <f t="shared" si="6"/>
        <v/>
      </c>
      <c r="D52" s="6"/>
      <c r="E52" s="6"/>
      <c r="F52" s="46"/>
      <c r="G52" s="6"/>
      <c r="H52" s="11"/>
      <c r="I52" s="11"/>
      <c r="J52" s="73" t="str">
        <f>IF(D52="","",SUMIFS($H$5:H52,$D$5:D52,D52)-SUMIFS($I$5:I52,$D$5:D52,D52)+SUMIFS($I$5:I52,$D$5:D52,D52,$E$5:E52,MASTER!$Y$9))</f>
        <v/>
      </c>
      <c r="K52" s="10"/>
      <c r="L52" s="6"/>
      <c r="M52" s="103"/>
      <c r="N52" s="103"/>
      <c r="O52" s="6"/>
      <c r="P52" s="6"/>
      <c r="Q52" s="67" t="str">
        <f>IF(F52="","",IFERROR(INDEX(PERKARA!$B$5:$B$104,MATCH(F52,PERKARA!$A$5:$A$104,0)),"ID TIDAK TERDAFTAR"))</f>
        <v/>
      </c>
      <c r="R52" s="67" t="str">
        <f t="shared" si="7"/>
        <v/>
      </c>
      <c r="S52" s="105"/>
      <c r="T52" s="98"/>
      <c r="U52" s="104" t="str">
        <f t="shared" si="8"/>
        <v/>
      </c>
      <c r="V52" s="131" t="str">
        <f t="shared" si="9"/>
        <v/>
      </c>
    </row>
    <row r="53" spans="1:22">
      <c r="A53" s="9" t="str">
        <f t="shared" si="5"/>
        <v/>
      </c>
      <c r="B53" s="10"/>
      <c r="C53" s="9" t="str">
        <f t="shared" si="6"/>
        <v/>
      </c>
      <c r="D53" s="6"/>
      <c r="E53" s="6"/>
      <c r="F53" s="46"/>
      <c r="G53" s="6"/>
      <c r="H53" s="11"/>
      <c r="I53" s="11"/>
      <c r="J53" s="73" t="str">
        <f>IF(D53="","",SUMIFS($H$5:H53,$D$5:D53,D53)-SUMIFS($I$5:I53,$D$5:D53,D53)+SUMIFS($I$5:I53,$D$5:D53,D53,$E$5:E53,MASTER!$Y$9))</f>
        <v/>
      </c>
      <c r="K53" s="10"/>
      <c r="L53" s="6"/>
      <c r="M53" s="103"/>
      <c r="N53" s="103"/>
      <c r="O53" s="6"/>
      <c r="P53" s="6"/>
      <c r="Q53" s="67" t="str">
        <f>IF(F53="","",IFERROR(INDEX(PERKARA!$B$5:$B$104,MATCH(F53,PERKARA!$A$5:$A$104,0)),"ID TIDAK TERDAFTAR"))</f>
        <v/>
      </c>
      <c r="R53" s="67" t="str">
        <f t="shared" si="7"/>
        <v/>
      </c>
      <c r="S53" s="105"/>
      <c r="T53" s="98"/>
      <c r="U53" s="104" t="str">
        <f t="shared" si="8"/>
        <v/>
      </c>
      <c r="V53" s="131" t="str">
        <f t="shared" si="9"/>
        <v/>
      </c>
    </row>
    <row r="54" spans="1:22">
      <c r="A54" s="9" t="str">
        <f t="shared" si="5"/>
        <v/>
      </c>
      <c r="B54" s="10"/>
      <c r="C54" s="9" t="str">
        <f t="shared" si="6"/>
        <v/>
      </c>
      <c r="D54" s="6"/>
      <c r="E54" s="6"/>
      <c r="F54" s="46"/>
      <c r="G54" s="6"/>
      <c r="H54" s="11"/>
      <c r="I54" s="11"/>
      <c r="J54" s="73" t="str">
        <f>IF(D54="","",SUMIFS($H$5:H54,$D$5:D54,D54)-SUMIFS($I$5:I54,$D$5:D54,D54)+SUMIFS($I$5:I54,$D$5:D54,D54,$E$5:E54,MASTER!$Y$9))</f>
        <v/>
      </c>
      <c r="K54" s="10"/>
      <c r="L54" s="6"/>
      <c r="M54" s="103"/>
      <c r="N54" s="103"/>
      <c r="O54" s="6"/>
      <c r="P54" s="6"/>
      <c r="Q54" s="67" t="str">
        <f>IF(F54="","",IFERROR(INDEX(PERKARA!$B$5:$B$104,MATCH(F54,PERKARA!$A$5:$A$104,0)),"ID TIDAK TERDAFTAR"))</f>
        <v/>
      </c>
      <c r="R54" s="67" t="str">
        <f t="shared" si="7"/>
        <v/>
      </c>
      <c r="S54" s="105"/>
      <c r="T54" s="98"/>
      <c r="U54" s="104" t="str">
        <f t="shared" si="8"/>
        <v/>
      </c>
      <c r="V54" s="131" t="str">
        <f t="shared" si="9"/>
        <v/>
      </c>
    </row>
    <row r="55" spans="1:22">
      <c r="A55" s="9" t="str">
        <f t="shared" si="5"/>
        <v/>
      </c>
      <c r="B55" s="10"/>
      <c r="C55" s="9" t="str">
        <f t="shared" si="6"/>
        <v/>
      </c>
      <c r="D55" s="6"/>
      <c r="E55" s="6"/>
      <c r="F55" s="46"/>
      <c r="G55" s="6"/>
      <c r="H55" s="11"/>
      <c r="I55" s="11"/>
      <c r="J55" s="73" t="str">
        <f>IF(D55="","",SUMIFS($H$5:H55,$D$5:D55,D55)-SUMIFS($I$5:I55,$D$5:D55,D55)+SUMIFS($I$5:I55,$D$5:D55,D55,$E$5:E55,MASTER!$Y$9))</f>
        <v/>
      </c>
      <c r="K55" s="10"/>
      <c r="L55" s="6"/>
      <c r="M55" s="103"/>
      <c r="N55" s="103"/>
      <c r="O55" s="6"/>
      <c r="P55" s="6"/>
      <c r="Q55" s="67" t="str">
        <f>IF(F55="","",IFERROR(INDEX(PERKARA!$B$5:$B$104,MATCH(F55,PERKARA!$A$5:$A$104,0)),"ID TIDAK TERDAFTAR"))</f>
        <v/>
      </c>
      <c r="R55" s="67" t="str">
        <f t="shared" si="7"/>
        <v/>
      </c>
      <c r="S55" s="105"/>
      <c r="T55" s="98"/>
      <c r="U55" s="104" t="str">
        <f t="shared" si="8"/>
        <v/>
      </c>
      <c r="V55" s="131" t="str">
        <f t="shared" si="9"/>
        <v/>
      </c>
    </row>
    <row r="56" spans="1:22">
      <c r="A56" s="9" t="str">
        <f t="shared" si="5"/>
        <v/>
      </c>
      <c r="B56" s="10"/>
      <c r="C56" s="9" t="str">
        <f t="shared" si="6"/>
        <v/>
      </c>
      <c r="D56" s="6"/>
      <c r="E56" s="6"/>
      <c r="F56" s="46"/>
      <c r="G56" s="6"/>
      <c r="H56" s="11"/>
      <c r="I56" s="11"/>
      <c r="J56" s="73" t="str">
        <f>IF(D56="","",SUMIFS($H$5:H56,$D$5:D56,D56)-SUMIFS($I$5:I56,$D$5:D56,D56)+SUMIFS($I$5:I56,$D$5:D56,D56,$E$5:E56,MASTER!$Y$9))</f>
        <v/>
      </c>
      <c r="K56" s="10"/>
      <c r="L56" s="6"/>
      <c r="M56" s="103"/>
      <c r="N56" s="103"/>
      <c r="O56" s="6"/>
      <c r="P56" s="6"/>
      <c r="Q56" s="67" t="str">
        <f>IF(F56="","",IFERROR(INDEX(PERKARA!$B$5:$B$104,MATCH(F56,PERKARA!$A$5:$A$104,0)),"ID TIDAK TERDAFTAR"))</f>
        <v/>
      </c>
      <c r="R56" s="67" t="str">
        <f t="shared" si="7"/>
        <v/>
      </c>
      <c r="S56" s="105"/>
      <c r="T56" s="98"/>
      <c r="U56" s="104" t="str">
        <f t="shared" si="8"/>
        <v/>
      </c>
      <c r="V56" s="131" t="str">
        <f t="shared" si="9"/>
        <v/>
      </c>
    </row>
    <row r="57" spans="1:22">
      <c r="A57" s="9" t="str">
        <f t="shared" si="5"/>
        <v/>
      </c>
      <c r="B57" s="10"/>
      <c r="C57" s="9" t="str">
        <f t="shared" si="6"/>
        <v/>
      </c>
      <c r="D57" s="6"/>
      <c r="E57" s="6"/>
      <c r="F57" s="46"/>
      <c r="G57" s="6"/>
      <c r="H57" s="11"/>
      <c r="I57" s="11"/>
      <c r="J57" s="73" t="str">
        <f>IF(D57="","",SUMIFS($H$5:H57,$D$5:D57,D57)-SUMIFS($I$5:I57,$D$5:D57,D57)+SUMIFS($I$5:I57,$D$5:D57,D57,$E$5:E57,MASTER!$Y$9))</f>
        <v/>
      </c>
      <c r="K57" s="10"/>
      <c r="L57" s="6"/>
      <c r="M57" s="103"/>
      <c r="N57" s="103"/>
      <c r="O57" s="6"/>
      <c r="P57" s="6"/>
      <c r="Q57" s="67" t="str">
        <f>IF(F57="","",IFERROR(INDEX(PERKARA!$B$5:$B$104,MATCH(F57,PERKARA!$A$5:$A$104,0)),"ID TIDAK TERDAFTAR"))</f>
        <v/>
      </c>
      <c r="R57" s="67" t="str">
        <f t="shared" si="7"/>
        <v/>
      </c>
      <c r="S57" s="105"/>
      <c r="T57" s="98"/>
      <c r="U57" s="104" t="str">
        <f t="shared" si="8"/>
        <v/>
      </c>
      <c r="V57" s="131" t="str">
        <f t="shared" si="9"/>
        <v/>
      </c>
    </row>
    <row r="58" spans="1:22">
      <c r="A58" s="9" t="str">
        <f t="shared" si="5"/>
        <v/>
      </c>
      <c r="B58" s="10"/>
      <c r="C58" s="9" t="str">
        <f t="shared" si="6"/>
        <v/>
      </c>
      <c r="D58" s="6"/>
      <c r="E58" s="6"/>
      <c r="F58" s="46"/>
      <c r="G58" s="6"/>
      <c r="H58" s="11"/>
      <c r="I58" s="11"/>
      <c r="J58" s="73" t="str">
        <f>IF(D58="","",SUMIFS($H$5:H58,$D$5:D58,D58)-SUMIFS($I$5:I58,$D$5:D58,D58)+SUMIFS($I$5:I58,$D$5:D58,D58,$E$5:E58,MASTER!$Y$9))</f>
        <v/>
      </c>
      <c r="K58" s="10"/>
      <c r="L58" s="6"/>
      <c r="M58" s="103"/>
      <c r="N58" s="103"/>
      <c r="O58" s="6"/>
      <c r="P58" s="6"/>
      <c r="Q58" s="67" t="str">
        <f>IF(F58="","",IFERROR(INDEX(PERKARA!$B$5:$B$104,MATCH(F58,PERKARA!$A$5:$A$104,0)),"ID TIDAK TERDAFTAR"))</f>
        <v/>
      </c>
      <c r="R58" s="67" t="str">
        <f t="shared" si="7"/>
        <v/>
      </c>
      <c r="S58" s="105"/>
      <c r="T58" s="98"/>
      <c r="U58" s="104" t="str">
        <f t="shared" si="8"/>
        <v/>
      </c>
      <c r="V58" s="131" t="str">
        <f t="shared" si="9"/>
        <v/>
      </c>
    </row>
    <row r="59" spans="1:22">
      <c r="A59" s="9" t="str">
        <f t="shared" si="5"/>
        <v/>
      </c>
      <c r="B59" s="10"/>
      <c r="C59" s="9" t="str">
        <f t="shared" si="6"/>
        <v/>
      </c>
      <c r="D59" s="6"/>
      <c r="E59" s="6"/>
      <c r="F59" s="46"/>
      <c r="G59" s="6"/>
      <c r="H59" s="11"/>
      <c r="I59" s="11"/>
      <c r="J59" s="73" t="str">
        <f>IF(D59="","",SUMIFS($H$5:H59,$D$5:D59,D59)-SUMIFS($I$5:I59,$D$5:D59,D59)+SUMIFS($I$5:I59,$D$5:D59,D59,$E$5:E59,MASTER!$Y$9))</f>
        <v/>
      </c>
      <c r="K59" s="10"/>
      <c r="L59" s="6"/>
      <c r="M59" s="103"/>
      <c r="N59" s="103"/>
      <c r="O59" s="6"/>
      <c r="P59" s="6"/>
      <c r="Q59" s="67" t="str">
        <f>IF(F59="","",IFERROR(INDEX(PERKARA!$B$5:$B$104,MATCH(F59,PERKARA!$A$5:$A$104,0)),"ID TIDAK TERDAFTAR"))</f>
        <v/>
      </c>
      <c r="R59" s="67" t="str">
        <f t="shared" si="7"/>
        <v/>
      </c>
      <c r="S59" s="105"/>
      <c r="T59" s="98"/>
      <c r="U59" s="104" t="str">
        <f t="shared" si="8"/>
        <v/>
      </c>
      <c r="V59" s="131" t="str">
        <f t="shared" si="9"/>
        <v/>
      </c>
    </row>
    <row r="60" spans="1:22">
      <c r="A60" s="9" t="str">
        <f t="shared" si="5"/>
        <v/>
      </c>
      <c r="B60" s="10"/>
      <c r="C60" s="9" t="str">
        <f t="shared" si="6"/>
        <v/>
      </c>
      <c r="D60" s="6"/>
      <c r="E60" s="6"/>
      <c r="F60" s="46"/>
      <c r="G60" s="6"/>
      <c r="H60" s="11"/>
      <c r="I60" s="11"/>
      <c r="J60" s="73" t="str">
        <f>IF(D60="","",SUMIFS($H$5:H60,$D$5:D60,D60)-SUMIFS($I$5:I60,$D$5:D60,D60)+SUMIFS($I$5:I60,$D$5:D60,D60,$E$5:E60,MASTER!$Y$9))</f>
        <v/>
      </c>
      <c r="K60" s="10"/>
      <c r="L60" s="6"/>
      <c r="M60" s="103"/>
      <c r="N60" s="103"/>
      <c r="O60" s="6"/>
      <c r="P60" s="6"/>
      <c r="Q60" s="67" t="str">
        <f>IF(F60="","",IFERROR(INDEX(PERKARA!$B$5:$B$104,MATCH(F60,PERKARA!$A$5:$A$104,0)),"ID TIDAK TERDAFTAR"))</f>
        <v/>
      </c>
      <c r="R60" s="67" t="str">
        <f t="shared" si="7"/>
        <v/>
      </c>
      <c r="S60" s="105"/>
      <c r="T60" s="98"/>
      <c r="U60" s="104" t="str">
        <f t="shared" si="8"/>
        <v/>
      </c>
      <c r="V60" s="131" t="str">
        <f t="shared" si="9"/>
        <v/>
      </c>
    </row>
    <row r="61" spans="1:22">
      <c r="A61" s="9" t="str">
        <f t="shared" si="5"/>
        <v/>
      </c>
      <c r="B61" s="10"/>
      <c r="C61" s="9" t="str">
        <f t="shared" si="6"/>
        <v/>
      </c>
      <c r="D61" s="6"/>
      <c r="E61" s="6"/>
      <c r="F61" s="46"/>
      <c r="G61" s="6"/>
      <c r="H61" s="11"/>
      <c r="I61" s="11"/>
      <c r="J61" s="73" t="str">
        <f>IF(D61="","",SUMIFS($H$5:H61,$D$5:D61,D61)-SUMIFS($I$5:I61,$D$5:D61,D61)+SUMIFS($I$5:I61,$D$5:D61,D61,$E$5:E61,MASTER!$Y$9))</f>
        <v/>
      </c>
      <c r="K61" s="10"/>
      <c r="L61" s="6"/>
      <c r="M61" s="103"/>
      <c r="N61" s="103"/>
      <c r="O61" s="6"/>
      <c r="P61" s="6"/>
      <c r="Q61" s="67" t="str">
        <f>IF(F61="","",IFERROR(INDEX(PERKARA!$B$5:$B$104,MATCH(F61,PERKARA!$A$5:$A$104,0)),"ID TIDAK TERDAFTAR"))</f>
        <v/>
      </c>
      <c r="R61" s="67" t="str">
        <f t="shared" si="7"/>
        <v/>
      </c>
      <c r="S61" s="105"/>
      <c r="T61" s="98"/>
      <c r="U61" s="104" t="str">
        <f t="shared" si="8"/>
        <v/>
      </c>
      <c r="V61" s="131" t="str">
        <f t="shared" si="9"/>
        <v/>
      </c>
    </row>
    <row r="62" spans="1:22">
      <c r="A62" s="9" t="str">
        <f t="shared" si="5"/>
        <v/>
      </c>
      <c r="B62" s="10"/>
      <c r="C62" s="9" t="str">
        <f t="shared" si="6"/>
        <v/>
      </c>
      <c r="D62" s="6"/>
      <c r="E62" s="6"/>
      <c r="F62" s="46"/>
      <c r="G62" s="6"/>
      <c r="H62" s="11"/>
      <c r="I62" s="11"/>
      <c r="J62" s="73" t="str">
        <f>IF(D62="","",SUMIFS($H$5:H62,$D$5:D62,D62)-SUMIFS($I$5:I62,$D$5:D62,D62)+SUMIFS($I$5:I62,$D$5:D62,D62,$E$5:E62,MASTER!$Y$9))</f>
        <v/>
      </c>
      <c r="K62" s="10"/>
      <c r="L62" s="6"/>
      <c r="M62" s="103"/>
      <c r="N62" s="103"/>
      <c r="O62" s="6"/>
      <c r="P62" s="6"/>
      <c r="Q62" s="67" t="str">
        <f>IF(F62="","",IFERROR(INDEX(PERKARA!$B$5:$B$104,MATCH(F62,PERKARA!$A$5:$A$104,0)),"ID TIDAK TERDAFTAR"))</f>
        <v/>
      </c>
      <c r="R62" s="67" t="str">
        <f t="shared" si="7"/>
        <v/>
      </c>
      <c r="S62" s="105"/>
      <c r="T62" s="98"/>
      <c r="U62" s="104" t="str">
        <f t="shared" si="8"/>
        <v/>
      </c>
      <c r="V62" s="131" t="str">
        <f t="shared" si="9"/>
        <v/>
      </c>
    </row>
    <row r="63" spans="1:22">
      <c r="A63" s="9" t="str">
        <f t="shared" si="5"/>
        <v/>
      </c>
      <c r="B63" s="10"/>
      <c r="C63" s="9" t="str">
        <f t="shared" si="6"/>
        <v/>
      </c>
      <c r="D63" s="6"/>
      <c r="E63" s="6"/>
      <c r="F63" s="46"/>
      <c r="G63" s="6"/>
      <c r="H63" s="11"/>
      <c r="I63" s="11"/>
      <c r="J63" s="73" t="str">
        <f>IF(D63="","",SUMIFS($H$5:H63,$D$5:D63,D63)-SUMIFS($I$5:I63,$D$5:D63,D63)+SUMIFS($I$5:I63,$D$5:D63,D63,$E$5:E63,MASTER!$Y$9))</f>
        <v/>
      </c>
      <c r="K63" s="10"/>
      <c r="L63" s="6"/>
      <c r="M63" s="103"/>
      <c r="N63" s="103"/>
      <c r="O63" s="6"/>
      <c r="P63" s="6"/>
      <c r="Q63" s="67" t="str">
        <f>IF(F63="","",IFERROR(INDEX(PERKARA!$B$5:$B$104,MATCH(F63,PERKARA!$A$5:$A$104,0)),"ID TIDAK TERDAFTAR"))</f>
        <v/>
      </c>
      <c r="R63" s="67" t="str">
        <f t="shared" si="7"/>
        <v/>
      </c>
      <c r="S63" s="105"/>
      <c r="T63" s="98"/>
      <c r="U63" s="104" t="str">
        <f t="shared" si="8"/>
        <v/>
      </c>
      <c r="V63" s="131" t="str">
        <f t="shared" si="9"/>
        <v/>
      </c>
    </row>
    <row r="64" spans="1:22">
      <c r="A64" s="9" t="str">
        <f t="shared" si="5"/>
        <v/>
      </c>
      <c r="B64" s="10"/>
      <c r="C64" s="9" t="str">
        <f t="shared" si="6"/>
        <v/>
      </c>
      <c r="D64" s="6"/>
      <c r="E64" s="6"/>
      <c r="F64" s="46"/>
      <c r="G64" s="6"/>
      <c r="H64" s="11"/>
      <c r="I64" s="11"/>
      <c r="J64" s="73" t="str">
        <f>IF(D64="","",SUMIFS($H$5:H64,$D$5:D64,D64)-SUMIFS($I$5:I64,$D$5:D64,D64)+SUMIFS($I$5:I64,$D$5:D64,D64,$E$5:E64,MASTER!$Y$9))</f>
        <v/>
      </c>
      <c r="K64" s="10"/>
      <c r="L64" s="6"/>
      <c r="M64" s="103"/>
      <c r="N64" s="103"/>
      <c r="O64" s="6"/>
      <c r="P64" s="6"/>
      <c r="Q64" s="67" t="str">
        <f>IF(F64="","",IFERROR(INDEX(PERKARA!$B$5:$B$104,MATCH(F64,PERKARA!$A$5:$A$104,0)),"ID TIDAK TERDAFTAR"))</f>
        <v/>
      </c>
      <c r="R64" s="67" t="str">
        <f t="shared" si="7"/>
        <v/>
      </c>
      <c r="S64" s="105"/>
      <c r="T64" s="98"/>
      <c r="U64" s="104" t="str">
        <f t="shared" si="8"/>
        <v/>
      </c>
      <c r="V64" s="131" t="str">
        <f t="shared" si="9"/>
        <v/>
      </c>
    </row>
    <row r="65" spans="1:22">
      <c r="A65" s="9" t="str">
        <f t="shared" si="5"/>
        <v/>
      </c>
      <c r="B65" s="10"/>
      <c r="C65" s="9" t="str">
        <f t="shared" si="6"/>
        <v/>
      </c>
      <c r="D65" s="6"/>
      <c r="E65" s="6"/>
      <c r="F65" s="46"/>
      <c r="G65" s="6"/>
      <c r="H65" s="11"/>
      <c r="I65" s="11"/>
      <c r="J65" s="73" t="str">
        <f>IF(D65="","",SUMIFS($H$5:H65,$D$5:D65,D65)-SUMIFS($I$5:I65,$D$5:D65,D65)+SUMIFS($I$5:I65,$D$5:D65,D65,$E$5:E65,MASTER!$Y$9))</f>
        <v/>
      </c>
      <c r="K65" s="10"/>
      <c r="L65" s="6"/>
      <c r="M65" s="103"/>
      <c r="N65" s="103"/>
      <c r="O65" s="6"/>
      <c r="P65" s="6"/>
      <c r="Q65" s="67" t="str">
        <f>IF(F65="","",IFERROR(INDEX(PERKARA!$B$5:$B$104,MATCH(F65,PERKARA!$A$5:$A$104,0)),"ID TIDAK TERDAFTAR"))</f>
        <v/>
      </c>
      <c r="R65" s="67" t="str">
        <f t="shared" si="7"/>
        <v/>
      </c>
      <c r="S65" s="105"/>
      <c r="T65" s="98"/>
      <c r="U65" s="104" t="str">
        <f t="shared" si="8"/>
        <v/>
      </c>
      <c r="V65" s="131" t="str">
        <f t="shared" si="9"/>
        <v/>
      </c>
    </row>
    <row r="66" spans="1:22">
      <c r="A66" s="9" t="str">
        <f t="shared" si="5"/>
        <v/>
      </c>
      <c r="B66" s="10"/>
      <c r="C66" s="9" t="str">
        <f t="shared" si="6"/>
        <v/>
      </c>
      <c r="D66" s="6"/>
      <c r="E66" s="6"/>
      <c r="F66" s="46"/>
      <c r="G66" s="6"/>
      <c r="H66" s="11"/>
      <c r="I66" s="11"/>
      <c r="J66" s="73" t="str">
        <f>IF(D66="","",SUMIFS($H$5:H66,$D$5:D66,D66)-SUMIFS($I$5:I66,$D$5:D66,D66)+SUMIFS($I$5:I66,$D$5:D66,D66,$E$5:E66,MASTER!$Y$9))</f>
        <v/>
      </c>
      <c r="K66" s="10"/>
      <c r="L66" s="6"/>
      <c r="M66" s="103"/>
      <c r="N66" s="103"/>
      <c r="O66" s="6"/>
      <c r="P66" s="6"/>
      <c r="Q66" s="67" t="str">
        <f>IF(F66="","",IFERROR(INDEX(PERKARA!$B$5:$B$104,MATCH(F66,PERKARA!$A$5:$A$104,0)),"ID TIDAK TERDAFTAR"))</f>
        <v/>
      </c>
      <c r="R66" s="67" t="str">
        <f t="shared" si="7"/>
        <v/>
      </c>
      <c r="S66" s="105"/>
      <c r="T66" s="98"/>
      <c r="U66" s="104" t="str">
        <f t="shared" si="8"/>
        <v/>
      </c>
      <c r="V66" s="131" t="str">
        <f t="shared" si="9"/>
        <v/>
      </c>
    </row>
    <row r="67" spans="1:22">
      <c r="A67" s="9" t="str">
        <f t="shared" si="5"/>
        <v/>
      </c>
      <c r="B67" s="10"/>
      <c r="C67" s="9" t="str">
        <f t="shared" si="6"/>
        <v/>
      </c>
      <c r="D67" s="6"/>
      <c r="E67" s="6"/>
      <c r="F67" s="46"/>
      <c r="G67" s="6"/>
      <c r="H67" s="11"/>
      <c r="I67" s="11"/>
      <c r="J67" s="73" t="str">
        <f>IF(D67="","",SUMIFS($H$5:H67,$D$5:D67,D67)-SUMIFS($I$5:I67,$D$5:D67,D67)+SUMIFS($I$5:I67,$D$5:D67,D67,$E$5:E67,MASTER!$Y$9))</f>
        <v/>
      </c>
      <c r="K67" s="10"/>
      <c r="L67" s="6"/>
      <c r="M67" s="103"/>
      <c r="N67" s="103"/>
      <c r="O67" s="6"/>
      <c r="P67" s="6"/>
      <c r="Q67" s="67" t="str">
        <f>IF(F67="","",IFERROR(INDEX(PERKARA!$B$5:$B$104,MATCH(F67,PERKARA!$A$5:$A$104,0)),"ID TIDAK TERDAFTAR"))</f>
        <v/>
      </c>
      <c r="R67" s="67" t="str">
        <f t="shared" si="7"/>
        <v/>
      </c>
      <c r="S67" s="105"/>
      <c r="T67" s="98"/>
      <c r="U67" s="104" t="str">
        <f t="shared" si="8"/>
        <v/>
      </c>
      <c r="V67" s="131" t="str">
        <f t="shared" si="9"/>
        <v/>
      </c>
    </row>
    <row r="68" spans="1:22">
      <c r="A68" s="9" t="str">
        <f t="shared" si="5"/>
        <v/>
      </c>
      <c r="B68" s="10"/>
      <c r="C68" s="9" t="str">
        <f t="shared" si="6"/>
        <v/>
      </c>
      <c r="D68" s="6"/>
      <c r="E68" s="6"/>
      <c r="F68" s="46"/>
      <c r="G68" s="6"/>
      <c r="H68" s="11"/>
      <c r="I68" s="11"/>
      <c r="J68" s="73" t="str">
        <f>IF(D68="","",SUMIFS($H$5:H68,$D$5:D68,D68)-SUMIFS($I$5:I68,$D$5:D68,D68)+SUMIFS($I$5:I68,$D$5:D68,D68,$E$5:E68,MASTER!$Y$9))</f>
        <v/>
      </c>
      <c r="K68" s="10"/>
      <c r="L68" s="6"/>
      <c r="M68" s="103"/>
      <c r="N68" s="103"/>
      <c r="O68" s="6"/>
      <c r="P68" s="6"/>
      <c r="Q68" s="67" t="str">
        <f>IF(F68="","",IFERROR(INDEX(PERKARA!$B$5:$B$104,MATCH(F68,PERKARA!$A$5:$A$104,0)),"ID TIDAK TERDAFTAR"))</f>
        <v/>
      </c>
      <c r="R68" s="67" t="str">
        <f t="shared" si="7"/>
        <v/>
      </c>
      <c r="S68" s="105"/>
      <c r="T68" s="98"/>
      <c r="U68" s="104" t="str">
        <f t="shared" si="8"/>
        <v/>
      </c>
      <c r="V68" s="131" t="str">
        <f t="shared" si="9"/>
        <v/>
      </c>
    </row>
    <row r="69" spans="1:22">
      <c r="A69" s="9" t="str">
        <f t="shared" ref="A69:A100" si="10">IF(B69="","",IFERROR("PTR-"&amp;TEXT(B69,"yyyymmdd")&amp;"-"&amp;TEXT(ROW()-4,"000"),"TANGGAL TIDAK VALID"))</f>
        <v/>
      </c>
      <c r="B69" s="10"/>
      <c r="C69" s="9" t="str">
        <f t="shared" ref="C69:C100" si="11">IF(B69="","",IFERROR(TEXT(B69,"yyyy-mm"),""))</f>
        <v/>
      </c>
      <c r="D69" s="6"/>
      <c r="E69" s="6"/>
      <c r="F69" s="46"/>
      <c r="G69" s="6"/>
      <c r="H69" s="11"/>
      <c r="I69" s="11"/>
      <c r="J69" s="73" t="str">
        <f>IF(D69="","",SUMIFS($H$5:H69,$D$5:D69,D69)-SUMIFS($I$5:I69,$D$5:D69,D69)+SUMIFS($I$5:I69,$D$5:D69,D69,$E$5:E69,MASTER!$Y$9))</f>
        <v/>
      </c>
      <c r="K69" s="10"/>
      <c r="L69" s="6"/>
      <c r="M69" s="103"/>
      <c r="N69" s="103"/>
      <c r="O69" s="6"/>
      <c r="P69" s="6"/>
      <c r="Q69" s="67" t="str">
        <f>IF(F69="","",IFERROR(INDEX(PERKARA!$B$5:$B$104,MATCH(F69,PERKARA!$A$5:$A$104,0)),"ID TIDAK TERDAFTAR"))</f>
        <v/>
      </c>
      <c r="R69" s="67" t="str">
        <f t="shared" ref="R69:R100" si="12">IF(B69="","",IF(D69="","PARTNER BELUM DIISI",IF(AND(F69&lt;&gt;"",Q69="ID TIDAK TERDAFTAR"),"PERKARA TIDAK VALID",IF(AND(I69&gt;0,E69=""),"JENIS TRANSAKSI BELUM DIISI",IF(AND(I69&gt;0,L69=""),"AKUN PEMBAYARAN BELUM DIISI",IF(AND(I69&gt;0,V69=""),"TANGGAL PEMBAYARAN BELUM DIISI",IF(AND(I69&gt;0,U69&lt;&gt;"LENGKAP"),"DIBAYAR TANPA OTORISASI","OK")))))))</f>
        <v/>
      </c>
      <c r="S69" s="105"/>
      <c r="T69" s="98"/>
      <c r="U69" s="104" t="str">
        <f t="shared" ref="U69:U100" si="13">IF(B69="","",IF(M69="Ditolak","DITOLAK",IF(AND(M69="Disetujui",N69&lt;&gt;""),"LENGKAP",IF(M69="Disetujui","NAMA PENYETUJU BELUM DIISI","MENUNGGU PERSETUJUAN MANUAL"))))</f>
        <v/>
      </c>
      <c r="V69" s="131" t="str">
        <f t="shared" ref="V69:V100" si="14">IF(I69="","",IF(I69&lt;=0,"",IF(K69&lt;&gt;"",K69,IF(B69&lt;&gt;"",B69,""))))</f>
        <v/>
      </c>
    </row>
    <row r="70" spans="1:22">
      <c r="A70" s="9" t="str">
        <f t="shared" si="10"/>
        <v/>
      </c>
      <c r="B70" s="10"/>
      <c r="C70" s="9" t="str">
        <f t="shared" si="11"/>
        <v/>
      </c>
      <c r="D70" s="6"/>
      <c r="E70" s="6"/>
      <c r="F70" s="46"/>
      <c r="G70" s="6"/>
      <c r="H70" s="11"/>
      <c r="I70" s="11"/>
      <c r="J70" s="73" t="str">
        <f>IF(D70="","",SUMIFS($H$5:H70,$D$5:D70,D70)-SUMIFS($I$5:I70,$D$5:D70,D70)+SUMIFS($I$5:I70,$D$5:D70,D70,$E$5:E70,MASTER!$Y$9))</f>
        <v/>
      </c>
      <c r="K70" s="10"/>
      <c r="L70" s="6"/>
      <c r="M70" s="103"/>
      <c r="N70" s="103"/>
      <c r="O70" s="6"/>
      <c r="P70" s="6"/>
      <c r="Q70" s="67" t="str">
        <f>IF(F70="","",IFERROR(INDEX(PERKARA!$B$5:$B$104,MATCH(F70,PERKARA!$A$5:$A$104,0)),"ID TIDAK TERDAFTAR"))</f>
        <v/>
      </c>
      <c r="R70" s="67" t="str">
        <f t="shared" si="12"/>
        <v/>
      </c>
      <c r="S70" s="105"/>
      <c r="T70" s="98"/>
      <c r="U70" s="104" t="str">
        <f t="shared" si="13"/>
        <v/>
      </c>
      <c r="V70" s="131" t="str">
        <f t="shared" si="14"/>
        <v/>
      </c>
    </row>
    <row r="71" spans="1:22">
      <c r="A71" s="9" t="str">
        <f t="shared" si="10"/>
        <v/>
      </c>
      <c r="B71" s="10"/>
      <c r="C71" s="9" t="str">
        <f t="shared" si="11"/>
        <v/>
      </c>
      <c r="D71" s="6"/>
      <c r="E71" s="6"/>
      <c r="F71" s="46"/>
      <c r="G71" s="6"/>
      <c r="H71" s="11"/>
      <c r="I71" s="11"/>
      <c r="J71" s="73" t="str">
        <f>IF(D71="","",SUMIFS($H$5:H71,$D$5:D71,D71)-SUMIFS($I$5:I71,$D$5:D71,D71)+SUMIFS($I$5:I71,$D$5:D71,D71,$E$5:E71,MASTER!$Y$9))</f>
        <v/>
      </c>
      <c r="K71" s="10"/>
      <c r="L71" s="6"/>
      <c r="M71" s="103"/>
      <c r="N71" s="103"/>
      <c r="O71" s="6"/>
      <c r="P71" s="6"/>
      <c r="Q71" s="67" t="str">
        <f>IF(F71="","",IFERROR(INDEX(PERKARA!$B$5:$B$104,MATCH(F71,PERKARA!$A$5:$A$104,0)),"ID TIDAK TERDAFTAR"))</f>
        <v/>
      </c>
      <c r="R71" s="67" t="str">
        <f t="shared" si="12"/>
        <v/>
      </c>
      <c r="S71" s="105"/>
      <c r="T71" s="98"/>
      <c r="U71" s="104" t="str">
        <f t="shared" si="13"/>
        <v/>
      </c>
      <c r="V71" s="131" t="str">
        <f t="shared" si="14"/>
        <v/>
      </c>
    </row>
    <row r="72" spans="1:22">
      <c r="A72" s="9" t="str">
        <f t="shared" si="10"/>
        <v/>
      </c>
      <c r="B72" s="10"/>
      <c r="C72" s="9" t="str">
        <f t="shared" si="11"/>
        <v/>
      </c>
      <c r="D72" s="6"/>
      <c r="E72" s="6"/>
      <c r="F72" s="46"/>
      <c r="G72" s="6"/>
      <c r="H72" s="11"/>
      <c r="I72" s="11"/>
      <c r="J72" s="73" t="str">
        <f>IF(D72="","",SUMIFS($H$5:H72,$D$5:D72,D72)-SUMIFS($I$5:I72,$D$5:D72,D72)+SUMIFS($I$5:I72,$D$5:D72,D72,$E$5:E72,MASTER!$Y$9))</f>
        <v/>
      </c>
      <c r="K72" s="10"/>
      <c r="L72" s="6"/>
      <c r="M72" s="103"/>
      <c r="N72" s="103"/>
      <c r="O72" s="6"/>
      <c r="P72" s="6"/>
      <c r="Q72" s="67" t="str">
        <f>IF(F72="","",IFERROR(INDEX(PERKARA!$B$5:$B$104,MATCH(F72,PERKARA!$A$5:$A$104,0)),"ID TIDAK TERDAFTAR"))</f>
        <v/>
      </c>
      <c r="R72" s="67" t="str">
        <f t="shared" si="12"/>
        <v/>
      </c>
      <c r="S72" s="105"/>
      <c r="T72" s="98"/>
      <c r="U72" s="104" t="str">
        <f t="shared" si="13"/>
        <v/>
      </c>
      <c r="V72" s="131" t="str">
        <f t="shared" si="14"/>
        <v/>
      </c>
    </row>
    <row r="73" spans="1:22">
      <c r="A73" s="9" t="str">
        <f t="shared" si="10"/>
        <v/>
      </c>
      <c r="B73" s="10"/>
      <c r="C73" s="9" t="str">
        <f t="shared" si="11"/>
        <v/>
      </c>
      <c r="D73" s="6"/>
      <c r="E73" s="6"/>
      <c r="F73" s="46"/>
      <c r="G73" s="6"/>
      <c r="H73" s="11"/>
      <c r="I73" s="11"/>
      <c r="J73" s="73" t="str">
        <f>IF(D73="","",SUMIFS($H$5:H73,$D$5:D73,D73)-SUMIFS($I$5:I73,$D$5:D73,D73)+SUMIFS($I$5:I73,$D$5:D73,D73,$E$5:E73,MASTER!$Y$9))</f>
        <v/>
      </c>
      <c r="K73" s="10"/>
      <c r="L73" s="6"/>
      <c r="M73" s="103"/>
      <c r="N73" s="103"/>
      <c r="O73" s="6"/>
      <c r="P73" s="6"/>
      <c r="Q73" s="67" t="str">
        <f>IF(F73="","",IFERROR(INDEX(PERKARA!$B$5:$B$104,MATCH(F73,PERKARA!$A$5:$A$104,0)),"ID TIDAK TERDAFTAR"))</f>
        <v/>
      </c>
      <c r="R73" s="67" t="str">
        <f t="shared" si="12"/>
        <v/>
      </c>
      <c r="S73" s="105"/>
      <c r="T73" s="98"/>
      <c r="U73" s="104" t="str">
        <f t="shared" si="13"/>
        <v/>
      </c>
      <c r="V73" s="131" t="str">
        <f t="shared" si="14"/>
        <v/>
      </c>
    </row>
    <row r="74" spans="1:22">
      <c r="A74" s="9" t="str">
        <f t="shared" si="10"/>
        <v/>
      </c>
      <c r="B74" s="10"/>
      <c r="C74" s="9" t="str">
        <f t="shared" si="11"/>
        <v/>
      </c>
      <c r="D74" s="6"/>
      <c r="E74" s="6"/>
      <c r="F74" s="46"/>
      <c r="G74" s="6"/>
      <c r="H74" s="11"/>
      <c r="I74" s="11"/>
      <c r="J74" s="73" t="str">
        <f>IF(D74="","",SUMIFS($H$5:H74,$D$5:D74,D74)-SUMIFS($I$5:I74,$D$5:D74,D74)+SUMIFS($I$5:I74,$D$5:D74,D74,$E$5:E74,MASTER!$Y$9))</f>
        <v/>
      </c>
      <c r="K74" s="10"/>
      <c r="L74" s="6"/>
      <c r="M74" s="103"/>
      <c r="N74" s="103"/>
      <c r="O74" s="6"/>
      <c r="P74" s="6"/>
      <c r="Q74" s="67" t="str">
        <f>IF(F74="","",IFERROR(INDEX(PERKARA!$B$5:$B$104,MATCH(F74,PERKARA!$A$5:$A$104,0)),"ID TIDAK TERDAFTAR"))</f>
        <v/>
      </c>
      <c r="R74" s="67" t="str">
        <f t="shared" si="12"/>
        <v/>
      </c>
      <c r="S74" s="105"/>
      <c r="T74" s="98"/>
      <c r="U74" s="104" t="str">
        <f t="shared" si="13"/>
        <v/>
      </c>
      <c r="V74" s="131" t="str">
        <f t="shared" si="14"/>
        <v/>
      </c>
    </row>
    <row r="75" spans="1:22">
      <c r="A75" s="9" t="str">
        <f t="shared" si="10"/>
        <v/>
      </c>
      <c r="B75" s="10"/>
      <c r="C75" s="9" t="str">
        <f t="shared" si="11"/>
        <v/>
      </c>
      <c r="D75" s="6"/>
      <c r="E75" s="6"/>
      <c r="F75" s="46"/>
      <c r="G75" s="6"/>
      <c r="H75" s="11"/>
      <c r="I75" s="11"/>
      <c r="J75" s="73" t="str">
        <f>IF(D75="","",SUMIFS($H$5:H75,$D$5:D75,D75)-SUMIFS($I$5:I75,$D$5:D75,D75)+SUMIFS($I$5:I75,$D$5:D75,D75,$E$5:E75,MASTER!$Y$9))</f>
        <v/>
      </c>
      <c r="K75" s="10"/>
      <c r="L75" s="6"/>
      <c r="M75" s="103"/>
      <c r="N75" s="103"/>
      <c r="O75" s="6"/>
      <c r="P75" s="6"/>
      <c r="Q75" s="67" t="str">
        <f>IF(F75="","",IFERROR(INDEX(PERKARA!$B$5:$B$104,MATCH(F75,PERKARA!$A$5:$A$104,0)),"ID TIDAK TERDAFTAR"))</f>
        <v/>
      </c>
      <c r="R75" s="67" t="str">
        <f t="shared" si="12"/>
        <v/>
      </c>
      <c r="S75" s="105"/>
      <c r="T75" s="98"/>
      <c r="U75" s="104" t="str">
        <f t="shared" si="13"/>
        <v/>
      </c>
      <c r="V75" s="131" t="str">
        <f t="shared" si="14"/>
        <v/>
      </c>
    </row>
    <row r="76" spans="1:22">
      <c r="A76" s="9" t="str">
        <f t="shared" si="10"/>
        <v/>
      </c>
      <c r="B76" s="10"/>
      <c r="C76" s="9" t="str">
        <f t="shared" si="11"/>
        <v/>
      </c>
      <c r="D76" s="6"/>
      <c r="E76" s="6"/>
      <c r="F76" s="46"/>
      <c r="G76" s="6"/>
      <c r="H76" s="11"/>
      <c r="I76" s="11"/>
      <c r="J76" s="73" t="str">
        <f>IF(D76="","",SUMIFS($H$5:H76,$D$5:D76,D76)-SUMIFS($I$5:I76,$D$5:D76,D76)+SUMIFS($I$5:I76,$D$5:D76,D76,$E$5:E76,MASTER!$Y$9))</f>
        <v/>
      </c>
      <c r="K76" s="10"/>
      <c r="L76" s="6"/>
      <c r="M76" s="103"/>
      <c r="N76" s="103"/>
      <c r="O76" s="6"/>
      <c r="P76" s="6"/>
      <c r="Q76" s="67" t="str">
        <f>IF(F76="","",IFERROR(INDEX(PERKARA!$B$5:$B$104,MATCH(F76,PERKARA!$A$5:$A$104,0)),"ID TIDAK TERDAFTAR"))</f>
        <v/>
      </c>
      <c r="R76" s="67" t="str">
        <f t="shared" si="12"/>
        <v/>
      </c>
      <c r="S76" s="105"/>
      <c r="T76" s="98"/>
      <c r="U76" s="104" t="str">
        <f t="shared" si="13"/>
        <v/>
      </c>
      <c r="V76" s="131" t="str">
        <f t="shared" si="14"/>
        <v/>
      </c>
    </row>
    <row r="77" spans="1:22">
      <c r="A77" s="9" t="str">
        <f t="shared" si="10"/>
        <v/>
      </c>
      <c r="B77" s="10"/>
      <c r="C77" s="9" t="str">
        <f t="shared" si="11"/>
        <v/>
      </c>
      <c r="D77" s="6"/>
      <c r="E77" s="6"/>
      <c r="F77" s="46"/>
      <c r="G77" s="6"/>
      <c r="H77" s="11"/>
      <c r="I77" s="11"/>
      <c r="J77" s="73" t="str">
        <f>IF(D77="","",SUMIFS($H$5:H77,$D$5:D77,D77)-SUMIFS($I$5:I77,$D$5:D77,D77)+SUMIFS($I$5:I77,$D$5:D77,D77,$E$5:E77,MASTER!$Y$9))</f>
        <v/>
      </c>
      <c r="K77" s="10"/>
      <c r="L77" s="6"/>
      <c r="M77" s="103"/>
      <c r="N77" s="103"/>
      <c r="O77" s="6"/>
      <c r="P77" s="6"/>
      <c r="Q77" s="67" t="str">
        <f>IF(F77="","",IFERROR(INDEX(PERKARA!$B$5:$B$104,MATCH(F77,PERKARA!$A$5:$A$104,0)),"ID TIDAK TERDAFTAR"))</f>
        <v/>
      </c>
      <c r="R77" s="67" t="str">
        <f t="shared" si="12"/>
        <v/>
      </c>
      <c r="S77" s="105"/>
      <c r="T77" s="98"/>
      <c r="U77" s="104" t="str">
        <f t="shared" si="13"/>
        <v/>
      </c>
      <c r="V77" s="131" t="str">
        <f t="shared" si="14"/>
        <v/>
      </c>
    </row>
    <row r="78" spans="1:22">
      <c r="A78" s="9" t="str">
        <f t="shared" si="10"/>
        <v/>
      </c>
      <c r="B78" s="10"/>
      <c r="C78" s="9" t="str">
        <f t="shared" si="11"/>
        <v/>
      </c>
      <c r="D78" s="6"/>
      <c r="E78" s="6"/>
      <c r="F78" s="46"/>
      <c r="G78" s="6"/>
      <c r="H78" s="11"/>
      <c r="I78" s="11"/>
      <c r="J78" s="73" t="str">
        <f>IF(D78="","",SUMIFS($H$5:H78,$D$5:D78,D78)-SUMIFS($I$5:I78,$D$5:D78,D78)+SUMIFS($I$5:I78,$D$5:D78,D78,$E$5:E78,MASTER!$Y$9))</f>
        <v/>
      </c>
      <c r="K78" s="10"/>
      <c r="L78" s="6"/>
      <c r="M78" s="103"/>
      <c r="N78" s="103"/>
      <c r="O78" s="6"/>
      <c r="P78" s="6"/>
      <c r="Q78" s="67" t="str">
        <f>IF(F78="","",IFERROR(INDEX(PERKARA!$B$5:$B$104,MATCH(F78,PERKARA!$A$5:$A$104,0)),"ID TIDAK TERDAFTAR"))</f>
        <v/>
      </c>
      <c r="R78" s="67" t="str">
        <f t="shared" si="12"/>
        <v/>
      </c>
      <c r="S78" s="105"/>
      <c r="T78" s="98"/>
      <c r="U78" s="104" t="str">
        <f t="shared" si="13"/>
        <v/>
      </c>
      <c r="V78" s="131" t="str">
        <f t="shared" si="14"/>
        <v/>
      </c>
    </row>
    <row r="79" spans="1:22">
      <c r="A79" s="9" t="str">
        <f t="shared" si="10"/>
        <v/>
      </c>
      <c r="B79" s="10"/>
      <c r="C79" s="9" t="str">
        <f t="shared" si="11"/>
        <v/>
      </c>
      <c r="D79" s="6"/>
      <c r="E79" s="6"/>
      <c r="F79" s="46"/>
      <c r="G79" s="6"/>
      <c r="H79" s="11"/>
      <c r="I79" s="11"/>
      <c r="J79" s="73" t="str">
        <f>IF(D79="","",SUMIFS($H$5:H79,$D$5:D79,D79)-SUMIFS($I$5:I79,$D$5:D79,D79)+SUMIFS($I$5:I79,$D$5:D79,D79,$E$5:E79,MASTER!$Y$9))</f>
        <v/>
      </c>
      <c r="K79" s="10"/>
      <c r="L79" s="6"/>
      <c r="M79" s="103"/>
      <c r="N79" s="103"/>
      <c r="O79" s="6"/>
      <c r="P79" s="6"/>
      <c r="Q79" s="67" t="str">
        <f>IF(F79="","",IFERROR(INDEX(PERKARA!$B$5:$B$104,MATCH(F79,PERKARA!$A$5:$A$104,0)),"ID TIDAK TERDAFTAR"))</f>
        <v/>
      </c>
      <c r="R79" s="67" t="str">
        <f t="shared" si="12"/>
        <v/>
      </c>
      <c r="S79" s="105"/>
      <c r="T79" s="98"/>
      <c r="U79" s="104" t="str">
        <f t="shared" si="13"/>
        <v/>
      </c>
      <c r="V79" s="131" t="str">
        <f t="shared" si="14"/>
        <v/>
      </c>
    </row>
    <row r="80" spans="1:22">
      <c r="A80" s="9" t="str">
        <f t="shared" si="10"/>
        <v/>
      </c>
      <c r="B80" s="10"/>
      <c r="C80" s="9" t="str">
        <f t="shared" si="11"/>
        <v/>
      </c>
      <c r="D80" s="6"/>
      <c r="E80" s="6"/>
      <c r="F80" s="46"/>
      <c r="G80" s="6"/>
      <c r="H80" s="11"/>
      <c r="I80" s="11"/>
      <c r="J80" s="73" t="str">
        <f>IF(D80="","",SUMIFS($H$5:H80,$D$5:D80,D80)-SUMIFS($I$5:I80,$D$5:D80,D80)+SUMIFS($I$5:I80,$D$5:D80,D80,$E$5:E80,MASTER!$Y$9))</f>
        <v/>
      </c>
      <c r="K80" s="10"/>
      <c r="L80" s="6"/>
      <c r="M80" s="103"/>
      <c r="N80" s="103"/>
      <c r="O80" s="6"/>
      <c r="P80" s="6"/>
      <c r="Q80" s="67" t="str">
        <f>IF(F80="","",IFERROR(INDEX(PERKARA!$B$5:$B$104,MATCH(F80,PERKARA!$A$5:$A$104,0)),"ID TIDAK TERDAFTAR"))</f>
        <v/>
      </c>
      <c r="R80" s="67" t="str">
        <f t="shared" si="12"/>
        <v/>
      </c>
      <c r="S80" s="105"/>
      <c r="T80" s="98"/>
      <c r="U80" s="104" t="str">
        <f t="shared" si="13"/>
        <v/>
      </c>
      <c r="V80" s="131" t="str">
        <f t="shared" si="14"/>
        <v/>
      </c>
    </row>
    <row r="81" spans="1:22">
      <c r="A81" s="9" t="str">
        <f t="shared" si="10"/>
        <v/>
      </c>
      <c r="B81" s="10"/>
      <c r="C81" s="9" t="str">
        <f t="shared" si="11"/>
        <v/>
      </c>
      <c r="D81" s="6"/>
      <c r="E81" s="6"/>
      <c r="F81" s="46"/>
      <c r="G81" s="6"/>
      <c r="H81" s="11"/>
      <c r="I81" s="11"/>
      <c r="J81" s="73" t="str">
        <f>IF(D81="","",SUMIFS($H$5:H81,$D$5:D81,D81)-SUMIFS($I$5:I81,$D$5:D81,D81)+SUMIFS($I$5:I81,$D$5:D81,D81,$E$5:E81,MASTER!$Y$9))</f>
        <v/>
      </c>
      <c r="K81" s="10"/>
      <c r="L81" s="6"/>
      <c r="M81" s="103"/>
      <c r="N81" s="103"/>
      <c r="O81" s="6"/>
      <c r="P81" s="6"/>
      <c r="Q81" s="67" t="str">
        <f>IF(F81="","",IFERROR(INDEX(PERKARA!$B$5:$B$104,MATCH(F81,PERKARA!$A$5:$A$104,0)),"ID TIDAK TERDAFTAR"))</f>
        <v/>
      </c>
      <c r="R81" s="67" t="str">
        <f t="shared" si="12"/>
        <v/>
      </c>
      <c r="S81" s="105"/>
      <c r="T81" s="98"/>
      <c r="U81" s="104" t="str">
        <f t="shared" si="13"/>
        <v/>
      </c>
      <c r="V81" s="131" t="str">
        <f t="shared" si="14"/>
        <v/>
      </c>
    </row>
    <row r="82" spans="1:22">
      <c r="A82" s="9" t="str">
        <f t="shared" si="10"/>
        <v/>
      </c>
      <c r="B82" s="10"/>
      <c r="C82" s="9" t="str">
        <f t="shared" si="11"/>
        <v/>
      </c>
      <c r="D82" s="6"/>
      <c r="E82" s="6"/>
      <c r="F82" s="46"/>
      <c r="G82" s="6"/>
      <c r="H82" s="11"/>
      <c r="I82" s="11"/>
      <c r="J82" s="73" t="str">
        <f>IF(D82="","",SUMIFS($H$5:H82,$D$5:D82,D82)-SUMIFS($I$5:I82,$D$5:D82,D82)+SUMIFS($I$5:I82,$D$5:D82,D82,$E$5:E82,MASTER!$Y$9))</f>
        <v/>
      </c>
      <c r="K82" s="10"/>
      <c r="L82" s="6"/>
      <c r="M82" s="103"/>
      <c r="N82" s="103"/>
      <c r="O82" s="6"/>
      <c r="P82" s="6"/>
      <c r="Q82" s="67" t="str">
        <f>IF(F82="","",IFERROR(INDEX(PERKARA!$B$5:$B$104,MATCH(F82,PERKARA!$A$5:$A$104,0)),"ID TIDAK TERDAFTAR"))</f>
        <v/>
      </c>
      <c r="R82" s="67" t="str">
        <f t="shared" si="12"/>
        <v/>
      </c>
      <c r="S82" s="105"/>
      <c r="T82" s="98"/>
      <c r="U82" s="104" t="str">
        <f t="shared" si="13"/>
        <v/>
      </c>
      <c r="V82" s="131" t="str">
        <f t="shared" si="14"/>
        <v/>
      </c>
    </row>
    <row r="83" spans="1:22">
      <c r="A83" s="9" t="str">
        <f t="shared" si="10"/>
        <v/>
      </c>
      <c r="B83" s="10"/>
      <c r="C83" s="9" t="str">
        <f t="shared" si="11"/>
        <v/>
      </c>
      <c r="D83" s="6"/>
      <c r="E83" s="6"/>
      <c r="F83" s="46"/>
      <c r="G83" s="6"/>
      <c r="H83" s="11"/>
      <c r="I83" s="11"/>
      <c r="J83" s="73" t="str">
        <f>IF(D83="","",SUMIFS($H$5:H83,$D$5:D83,D83)-SUMIFS($I$5:I83,$D$5:D83,D83)+SUMIFS($I$5:I83,$D$5:D83,D83,$E$5:E83,MASTER!$Y$9))</f>
        <v/>
      </c>
      <c r="K83" s="10"/>
      <c r="L83" s="6"/>
      <c r="M83" s="103"/>
      <c r="N83" s="103"/>
      <c r="O83" s="6"/>
      <c r="P83" s="6"/>
      <c r="Q83" s="67" t="str">
        <f>IF(F83="","",IFERROR(INDEX(PERKARA!$B$5:$B$104,MATCH(F83,PERKARA!$A$5:$A$104,0)),"ID TIDAK TERDAFTAR"))</f>
        <v/>
      </c>
      <c r="R83" s="67" t="str">
        <f t="shared" si="12"/>
        <v/>
      </c>
      <c r="S83" s="105"/>
      <c r="T83" s="98"/>
      <c r="U83" s="104" t="str">
        <f t="shared" si="13"/>
        <v/>
      </c>
      <c r="V83" s="131" t="str">
        <f t="shared" si="14"/>
        <v/>
      </c>
    </row>
    <row r="84" spans="1:22">
      <c r="A84" s="9" t="str">
        <f t="shared" si="10"/>
        <v/>
      </c>
      <c r="B84" s="10"/>
      <c r="C84" s="9" t="str">
        <f t="shared" si="11"/>
        <v/>
      </c>
      <c r="D84" s="6"/>
      <c r="E84" s="6"/>
      <c r="F84" s="46"/>
      <c r="G84" s="6"/>
      <c r="H84" s="11"/>
      <c r="I84" s="11"/>
      <c r="J84" s="73" t="str">
        <f>IF(D84="","",SUMIFS($H$5:H84,$D$5:D84,D84)-SUMIFS($I$5:I84,$D$5:D84,D84)+SUMIFS($I$5:I84,$D$5:D84,D84,$E$5:E84,MASTER!$Y$9))</f>
        <v/>
      </c>
      <c r="K84" s="10"/>
      <c r="L84" s="6"/>
      <c r="M84" s="103"/>
      <c r="N84" s="103"/>
      <c r="O84" s="6"/>
      <c r="P84" s="6"/>
      <c r="Q84" s="67" t="str">
        <f>IF(F84="","",IFERROR(INDEX(PERKARA!$B$5:$B$104,MATCH(F84,PERKARA!$A$5:$A$104,0)),"ID TIDAK TERDAFTAR"))</f>
        <v/>
      </c>
      <c r="R84" s="67" t="str">
        <f t="shared" si="12"/>
        <v/>
      </c>
      <c r="S84" s="105"/>
      <c r="T84" s="98"/>
      <c r="U84" s="104" t="str">
        <f t="shared" si="13"/>
        <v/>
      </c>
      <c r="V84" s="131" t="str">
        <f t="shared" si="14"/>
        <v/>
      </c>
    </row>
    <row r="85" spans="1:22">
      <c r="A85" s="9" t="str">
        <f t="shared" si="10"/>
        <v/>
      </c>
      <c r="B85" s="10"/>
      <c r="C85" s="9" t="str">
        <f t="shared" si="11"/>
        <v/>
      </c>
      <c r="D85" s="6"/>
      <c r="E85" s="6"/>
      <c r="F85" s="46"/>
      <c r="G85" s="6"/>
      <c r="H85" s="11"/>
      <c r="I85" s="11"/>
      <c r="J85" s="73" t="str">
        <f>IF(D85="","",SUMIFS($H$5:H85,$D$5:D85,D85)-SUMIFS($I$5:I85,$D$5:D85,D85)+SUMIFS($I$5:I85,$D$5:D85,D85,$E$5:E85,MASTER!$Y$9))</f>
        <v/>
      </c>
      <c r="K85" s="10"/>
      <c r="L85" s="6"/>
      <c r="M85" s="103"/>
      <c r="N85" s="103"/>
      <c r="O85" s="6"/>
      <c r="P85" s="6"/>
      <c r="Q85" s="67" t="str">
        <f>IF(F85="","",IFERROR(INDEX(PERKARA!$B$5:$B$104,MATCH(F85,PERKARA!$A$5:$A$104,0)),"ID TIDAK TERDAFTAR"))</f>
        <v/>
      </c>
      <c r="R85" s="67" t="str">
        <f t="shared" si="12"/>
        <v/>
      </c>
      <c r="S85" s="105"/>
      <c r="T85" s="98"/>
      <c r="U85" s="104" t="str">
        <f t="shared" si="13"/>
        <v/>
      </c>
      <c r="V85" s="131" t="str">
        <f t="shared" si="14"/>
        <v/>
      </c>
    </row>
    <row r="86" spans="1:22">
      <c r="A86" s="9" t="str">
        <f t="shared" si="10"/>
        <v/>
      </c>
      <c r="B86" s="10"/>
      <c r="C86" s="9" t="str">
        <f t="shared" si="11"/>
        <v/>
      </c>
      <c r="D86" s="6"/>
      <c r="E86" s="6"/>
      <c r="F86" s="46"/>
      <c r="G86" s="6"/>
      <c r="H86" s="11"/>
      <c r="I86" s="11"/>
      <c r="J86" s="73" t="str">
        <f>IF(D86="","",SUMIFS($H$5:H86,$D$5:D86,D86)-SUMIFS($I$5:I86,$D$5:D86,D86)+SUMIFS($I$5:I86,$D$5:D86,D86,$E$5:E86,MASTER!$Y$9))</f>
        <v/>
      </c>
      <c r="K86" s="10"/>
      <c r="L86" s="6"/>
      <c r="M86" s="103"/>
      <c r="N86" s="103"/>
      <c r="O86" s="6"/>
      <c r="P86" s="6"/>
      <c r="Q86" s="67" t="str">
        <f>IF(F86="","",IFERROR(INDEX(PERKARA!$B$5:$B$104,MATCH(F86,PERKARA!$A$5:$A$104,0)),"ID TIDAK TERDAFTAR"))</f>
        <v/>
      </c>
      <c r="R86" s="67" t="str">
        <f t="shared" si="12"/>
        <v/>
      </c>
      <c r="S86" s="105"/>
      <c r="T86" s="98"/>
      <c r="U86" s="104" t="str">
        <f t="shared" si="13"/>
        <v/>
      </c>
      <c r="V86" s="131" t="str">
        <f t="shared" si="14"/>
        <v/>
      </c>
    </row>
    <row r="87" spans="1:22">
      <c r="A87" s="9" t="str">
        <f t="shared" si="10"/>
        <v/>
      </c>
      <c r="B87" s="10"/>
      <c r="C87" s="9" t="str">
        <f t="shared" si="11"/>
        <v/>
      </c>
      <c r="D87" s="6"/>
      <c r="E87" s="6"/>
      <c r="F87" s="46"/>
      <c r="G87" s="6"/>
      <c r="H87" s="11"/>
      <c r="I87" s="11"/>
      <c r="J87" s="73" t="str">
        <f>IF(D87="","",SUMIFS($H$5:H87,$D$5:D87,D87)-SUMIFS($I$5:I87,$D$5:D87,D87)+SUMIFS($I$5:I87,$D$5:D87,D87,$E$5:E87,MASTER!$Y$9))</f>
        <v/>
      </c>
      <c r="K87" s="10"/>
      <c r="L87" s="6"/>
      <c r="M87" s="103"/>
      <c r="N87" s="103"/>
      <c r="O87" s="6"/>
      <c r="P87" s="6"/>
      <c r="Q87" s="67" t="str">
        <f>IF(F87="","",IFERROR(INDEX(PERKARA!$B$5:$B$104,MATCH(F87,PERKARA!$A$5:$A$104,0)),"ID TIDAK TERDAFTAR"))</f>
        <v/>
      </c>
      <c r="R87" s="67" t="str">
        <f t="shared" si="12"/>
        <v/>
      </c>
      <c r="S87" s="105"/>
      <c r="T87" s="98"/>
      <c r="U87" s="104" t="str">
        <f t="shared" si="13"/>
        <v/>
      </c>
      <c r="V87" s="131" t="str">
        <f t="shared" si="14"/>
        <v/>
      </c>
    </row>
    <row r="88" spans="1:22">
      <c r="A88" s="9" t="str">
        <f t="shared" si="10"/>
        <v/>
      </c>
      <c r="B88" s="10"/>
      <c r="C88" s="9" t="str">
        <f t="shared" si="11"/>
        <v/>
      </c>
      <c r="D88" s="6"/>
      <c r="E88" s="6"/>
      <c r="F88" s="46"/>
      <c r="G88" s="6"/>
      <c r="H88" s="11"/>
      <c r="I88" s="11"/>
      <c r="J88" s="73" t="str">
        <f>IF(D88="","",SUMIFS($H$5:H88,$D$5:D88,D88)-SUMIFS($I$5:I88,$D$5:D88,D88)+SUMIFS($I$5:I88,$D$5:D88,D88,$E$5:E88,MASTER!$Y$9))</f>
        <v/>
      </c>
      <c r="K88" s="10"/>
      <c r="L88" s="6"/>
      <c r="M88" s="103"/>
      <c r="N88" s="103"/>
      <c r="O88" s="6"/>
      <c r="P88" s="6"/>
      <c r="Q88" s="67" t="str">
        <f>IF(F88="","",IFERROR(INDEX(PERKARA!$B$5:$B$104,MATCH(F88,PERKARA!$A$5:$A$104,0)),"ID TIDAK TERDAFTAR"))</f>
        <v/>
      </c>
      <c r="R88" s="67" t="str">
        <f t="shared" si="12"/>
        <v/>
      </c>
      <c r="S88" s="105"/>
      <c r="T88" s="98"/>
      <c r="U88" s="104" t="str">
        <f t="shared" si="13"/>
        <v/>
      </c>
      <c r="V88" s="131" t="str">
        <f t="shared" si="14"/>
        <v/>
      </c>
    </row>
    <row r="89" spans="1:22">
      <c r="A89" s="9" t="str">
        <f t="shared" si="10"/>
        <v/>
      </c>
      <c r="B89" s="10"/>
      <c r="C89" s="9" t="str">
        <f t="shared" si="11"/>
        <v/>
      </c>
      <c r="D89" s="6"/>
      <c r="E89" s="6"/>
      <c r="F89" s="46"/>
      <c r="G89" s="6"/>
      <c r="H89" s="11"/>
      <c r="I89" s="11"/>
      <c r="J89" s="73" t="str">
        <f>IF(D89="","",SUMIFS($H$5:H89,$D$5:D89,D89)-SUMIFS($I$5:I89,$D$5:D89,D89)+SUMIFS($I$5:I89,$D$5:D89,D89,$E$5:E89,MASTER!$Y$9))</f>
        <v/>
      </c>
      <c r="K89" s="10"/>
      <c r="L89" s="6"/>
      <c r="M89" s="103"/>
      <c r="N89" s="103"/>
      <c r="O89" s="6"/>
      <c r="P89" s="6"/>
      <c r="Q89" s="67" t="str">
        <f>IF(F89="","",IFERROR(INDEX(PERKARA!$B$5:$B$104,MATCH(F89,PERKARA!$A$5:$A$104,0)),"ID TIDAK TERDAFTAR"))</f>
        <v/>
      </c>
      <c r="R89" s="67" t="str">
        <f t="shared" si="12"/>
        <v/>
      </c>
      <c r="S89" s="105"/>
      <c r="T89" s="98"/>
      <c r="U89" s="104" t="str">
        <f t="shared" si="13"/>
        <v/>
      </c>
      <c r="V89" s="131" t="str">
        <f t="shared" si="14"/>
        <v/>
      </c>
    </row>
    <row r="90" spans="1:22">
      <c r="A90" s="9" t="str">
        <f t="shared" si="10"/>
        <v/>
      </c>
      <c r="B90" s="10"/>
      <c r="C90" s="9" t="str">
        <f t="shared" si="11"/>
        <v/>
      </c>
      <c r="D90" s="6"/>
      <c r="E90" s="6"/>
      <c r="F90" s="46"/>
      <c r="G90" s="6"/>
      <c r="H90" s="11"/>
      <c r="I90" s="11"/>
      <c r="J90" s="73" t="str">
        <f>IF(D90="","",SUMIFS($H$5:H90,$D$5:D90,D90)-SUMIFS($I$5:I90,$D$5:D90,D90)+SUMIFS($I$5:I90,$D$5:D90,D90,$E$5:E90,MASTER!$Y$9))</f>
        <v/>
      </c>
      <c r="K90" s="10"/>
      <c r="L90" s="6"/>
      <c r="M90" s="103"/>
      <c r="N90" s="103"/>
      <c r="O90" s="6"/>
      <c r="P90" s="6"/>
      <c r="Q90" s="67" t="str">
        <f>IF(F90="","",IFERROR(INDEX(PERKARA!$B$5:$B$104,MATCH(F90,PERKARA!$A$5:$A$104,0)),"ID TIDAK TERDAFTAR"))</f>
        <v/>
      </c>
      <c r="R90" s="67" t="str">
        <f t="shared" si="12"/>
        <v/>
      </c>
      <c r="S90" s="105"/>
      <c r="T90" s="98"/>
      <c r="U90" s="104" t="str">
        <f t="shared" si="13"/>
        <v/>
      </c>
      <c r="V90" s="131" t="str">
        <f t="shared" si="14"/>
        <v/>
      </c>
    </row>
    <row r="91" spans="1:22">
      <c r="A91" s="9" t="str">
        <f t="shared" si="10"/>
        <v/>
      </c>
      <c r="B91" s="10"/>
      <c r="C91" s="9" t="str">
        <f t="shared" si="11"/>
        <v/>
      </c>
      <c r="D91" s="6"/>
      <c r="E91" s="6"/>
      <c r="F91" s="46"/>
      <c r="G91" s="6"/>
      <c r="H91" s="11"/>
      <c r="I91" s="11"/>
      <c r="J91" s="73" t="str">
        <f>IF(D91="","",SUMIFS($H$5:H91,$D$5:D91,D91)-SUMIFS($I$5:I91,$D$5:D91,D91)+SUMIFS($I$5:I91,$D$5:D91,D91,$E$5:E91,MASTER!$Y$9))</f>
        <v/>
      </c>
      <c r="K91" s="10"/>
      <c r="L91" s="6"/>
      <c r="M91" s="103"/>
      <c r="N91" s="103"/>
      <c r="O91" s="6"/>
      <c r="P91" s="6"/>
      <c r="Q91" s="67" t="str">
        <f>IF(F91="","",IFERROR(INDEX(PERKARA!$B$5:$B$104,MATCH(F91,PERKARA!$A$5:$A$104,0)),"ID TIDAK TERDAFTAR"))</f>
        <v/>
      </c>
      <c r="R91" s="67" t="str">
        <f t="shared" si="12"/>
        <v/>
      </c>
      <c r="S91" s="105"/>
      <c r="T91" s="98"/>
      <c r="U91" s="104" t="str">
        <f t="shared" si="13"/>
        <v/>
      </c>
      <c r="V91" s="131" t="str">
        <f t="shared" si="14"/>
        <v/>
      </c>
    </row>
    <row r="92" spans="1:22">
      <c r="A92" s="9" t="str">
        <f t="shared" si="10"/>
        <v/>
      </c>
      <c r="B92" s="10"/>
      <c r="C92" s="9" t="str">
        <f t="shared" si="11"/>
        <v/>
      </c>
      <c r="D92" s="6"/>
      <c r="E92" s="6"/>
      <c r="F92" s="46"/>
      <c r="G92" s="6"/>
      <c r="H92" s="11"/>
      <c r="I92" s="11"/>
      <c r="J92" s="73" t="str">
        <f>IF(D92="","",SUMIFS($H$5:H92,$D$5:D92,D92)-SUMIFS($I$5:I92,$D$5:D92,D92)+SUMIFS($I$5:I92,$D$5:D92,D92,$E$5:E92,MASTER!$Y$9))</f>
        <v/>
      </c>
      <c r="K92" s="10"/>
      <c r="L92" s="6"/>
      <c r="M92" s="103"/>
      <c r="N92" s="103"/>
      <c r="O92" s="6"/>
      <c r="P92" s="6"/>
      <c r="Q92" s="67" t="str">
        <f>IF(F92="","",IFERROR(INDEX(PERKARA!$B$5:$B$104,MATCH(F92,PERKARA!$A$5:$A$104,0)),"ID TIDAK TERDAFTAR"))</f>
        <v/>
      </c>
      <c r="R92" s="67" t="str">
        <f t="shared" si="12"/>
        <v/>
      </c>
      <c r="S92" s="105"/>
      <c r="T92" s="98"/>
      <c r="U92" s="104" t="str">
        <f t="shared" si="13"/>
        <v/>
      </c>
      <c r="V92" s="131" t="str">
        <f t="shared" si="14"/>
        <v/>
      </c>
    </row>
    <row r="93" spans="1:22">
      <c r="A93" s="9" t="str">
        <f t="shared" si="10"/>
        <v/>
      </c>
      <c r="B93" s="10"/>
      <c r="C93" s="9" t="str">
        <f t="shared" si="11"/>
        <v/>
      </c>
      <c r="D93" s="6"/>
      <c r="E93" s="6"/>
      <c r="F93" s="46"/>
      <c r="G93" s="6"/>
      <c r="H93" s="11"/>
      <c r="I93" s="11"/>
      <c r="J93" s="73" t="str">
        <f>IF(D93="","",SUMIFS($H$5:H93,$D$5:D93,D93)-SUMIFS($I$5:I93,$D$5:D93,D93)+SUMIFS($I$5:I93,$D$5:D93,D93,$E$5:E93,MASTER!$Y$9))</f>
        <v/>
      </c>
      <c r="K93" s="10"/>
      <c r="L93" s="6"/>
      <c r="M93" s="103"/>
      <c r="N93" s="103"/>
      <c r="O93" s="6"/>
      <c r="P93" s="6"/>
      <c r="Q93" s="67" t="str">
        <f>IF(F93="","",IFERROR(INDEX(PERKARA!$B$5:$B$104,MATCH(F93,PERKARA!$A$5:$A$104,0)),"ID TIDAK TERDAFTAR"))</f>
        <v/>
      </c>
      <c r="R93" s="67" t="str">
        <f t="shared" si="12"/>
        <v/>
      </c>
      <c r="S93" s="105"/>
      <c r="T93" s="98"/>
      <c r="U93" s="104" t="str">
        <f t="shared" si="13"/>
        <v/>
      </c>
      <c r="V93" s="131" t="str">
        <f t="shared" si="14"/>
        <v/>
      </c>
    </row>
    <row r="94" spans="1:22">
      <c r="A94" s="9" t="str">
        <f t="shared" si="10"/>
        <v/>
      </c>
      <c r="B94" s="10"/>
      <c r="C94" s="9" t="str">
        <f t="shared" si="11"/>
        <v/>
      </c>
      <c r="D94" s="6"/>
      <c r="E94" s="6"/>
      <c r="F94" s="46"/>
      <c r="G94" s="6"/>
      <c r="H94" s="11"/>
      <c r="I94" s="11"/>
      <c r="J94" s="73" t="str">
        <f>IF(D94="","",SUMIFS($H$5:H94,$D$5:D94,D94)-SUMIFS($I$5:I94,$D$5:D94,D94)+SUMIFS($I$5:I94,$D$5:D94,D94,$E$5:E94,MASTER!$Y$9))</f>
        <v/>
      </c>
      <c r="K94" s="10"/>
      <c r="L94" s="6"/>
      <c r="M94" s="103"/>
      <c r="N94" s="103"/>
      <c r="O94" s="6"/>
      <c r="P94" s="6"/>
      <c r="Q94" s="67" t="str">
        <f>IF(F94="","",IFERROR(INDEX(PERKARA!$B$5:$B$104,MATCH(F94,PERKARA!$A$5:$A$104,0)),"ID TIDAK TERDAFTAR"))</f>
        <v/>
      </c>
      <c r="R94" s="67" t="str">
        <f t="shared" si="12"/>
        <v/>
      </c>
      <c r="S94" s="105"/>
      <c r="T94" s="98"/>
      <c r="U94" s="104" t="str">
        <f t="shared" si="13"/>
        <v/>
      </c>
      <c r="V94" s="131" t="str">
        <f t="shared" si="14"/>
        <v/>
      </c>
    </row>
    <row r="95" spans="1:22">
      <c r="A95" s="9" t="str">
        <f t="shared" si="10"/>
        <v/>
      </c>
      <c r="B95" s="10"/>
      <c r="C95" s="9" t="str">
        <f t="shared" si="11"/>
        <v/>
      </c>
      <c r="D95" s="6"/>
      <c r="E95" s="6"/>
      <c r="F95" s="46"/>
      <c r="G95" s="6"/>
      <c r="H95" s="11"/>
      <c r="I95" s="11"/>
      <c r="J95" s="73" t="str">
        <f>IF(D95="","",SUMIFS($H$5:H95,$D$5:D95,D95)-SUMIFS($I$5:I95,$D$5:D95,D95)+SUMIFS($I$5:I95,$D$5:D95,D95,$E$5:E95,MASTER!$Y$9))</f>
        <v/>
      </c>
      <c r="K95" s="10"/>
      <c r="L95" s="6"/>
      <c r="M95" s="103"/>
      <c r="N95" s="103"/>
      <c r="O95" s="6"/>
      <c r="P95" s="6"/>
      <c r="Q95" s="67" t="str">
        <f>IF(F95="","",IFERROR(INDEX(PERKARA!$B$5:$B$104,MATCH(F95,PERKARA!$A$5:$A$104,0)),"ID TIDAK TERDAFTAR"))</f>
        <v/>
      </c>
      <c r="R95" s="67" t="str">
        <f t="shared" si="12"/>
        <v/>
      </c>
      <c r="S95" s="105"/>
      <c r="T95" s="98"/>
      <c r="U95" s="104" t="str">
        <f t="shared" si="13"/>
        <v/>
      </c>
      <c r="V95" s="131" t="str">
        <f t="shared" si="14"/>
        <v/>
      </c>
    </row>
    <row r="96" spans="1:22">
      <c r="A96" s="9" t="str">
        <f t="shared" si="10"/>
        <v/>
      </c>
      <c r="B96" s="10"/>
      <c r="C96" s="9" t="str">
        <f t="shared" si="11"/>
        <v/>
      </c>
      <c r="D96" s="6"/>
      <c r="E96" s="6"/>
      <c r="F96" s="46"/>
      <c r="G96" s="6"/>
      <c r="H96" s="11"/>
      <c r="I96" s="11"/>
      <c r="J96" s="73" t="str">
        <f>IF(D96="","",SUMIFS($H$5:H96,$D$5:D96,D96)-SUMIFS($I$5:I96,$D$5:D96,D96)+SUMIFS($I$5:I96,$D$5:D96,D96,$E$5:E96,MASTER!$Y$9))</f>
        <v/>
      </c>
      <c r="K96" s="10"/>
      <c r="L96" s="6"/>
      <c r="M96" s="103"/>
      <c r="N96" s="103"/>
      <c r="O96" s="6"/>
      <c r="P96" s="6"/>
      <c r="Q96" s="67" t="str">
        <f>IF(F96="","",IFERROR(INDEX(PERKARA!$B$5:$B$104,MATCH(F96,PERKARA!$A$5:$A$104,0)),"ID TIDAK TERDAFTAR"))</f>
        <v/>
      </c>
      <c r="R96" s="67" t="str">
        <f t="shared" si="12"/>
        <v/>
      </c>
      <c r="S96" s="105"/>
      <c r="T96" s="98"/>
      <c r="U96" s="104" t="str">
        <f t="shared" si="13"/>
        <v/>
      </c>
      <c r="V96" s="131" t="str">
        <f t="shared" si="14"/>
        <v/>
      </c>
    </row>
    <row r="97" spans="1:22">
      <c r="A97" s="9" t="str">
        <f t="shared" si="10"/>
        <v/>
      </c>
      <c r="B97" s="10"/>
      <c r="C97" s="9" t="str">
        <f t="shared" si="11"/>
        <v/>
      </c>
      <c r="D97" s="6"/>
      <c r="E97" s="6"/>
      <c r="F97" s="46"/>
      <c r="G97" s="6"/>
      <c r="H97" s="11"/>
      <c r="I97" s="11"/>
      <c r="J97" s="73" t="str">
        <f>IF(D97="","",SUMIFS($H$5:H97,$D$5:D97,D97)-SUMIFS($I$5:I97,$D$5:D97,D97)+SUMIFS($I$5:I97,$D$5:D97,D97,$E$5:E97,MASTER!$Y$9))</f>
        <v/>
      </c>
      <c r="K97" s="10"/>
      <c r="L97" s="6"/>
      <c r="M97" s="103"/>
      <c r="N97" s="103"/>
      <c r="O97" s="6"/>
      <c r="P97" s="6"/>
      <c r="Q97" s="67" t="str">
        <f>IF(F97="","",IFERROR(INDEX(PERKARA!$B$5:$B$104,MATCH(F97,PERKARA!$A$5:$A$104,0)),"ID TIDAK TERDAFTAR"))</f>
        <v/>
      </c>
      <c r="R97" s="67" t="str">
        <f t="shared" si="12"/>
        <v/>
      </c>
      <c r="S97" s="105"/>
      <c r="T97" s="98"/>
      <c r="U97" s="104" t="str">
        <f t="shared" si="13"/>
        <v/>
      </c>
      <c r="V97" s="131" t="str">
        <f t="shared" si="14"/>
        <v/>
      </c>
    </row>
    <row r="98" spans="1:22">
      <c r="A98" s="9" t="str">
        <f t="shared" si="10"/>
        <v/>
      </c>
      <c r="B98" s="10"/>
      <c r="C98" s="9" t="str">
        <f t="shared" si="11"/>
        <v/>
      </c>
      <c r="D98" s="6"/>
      <c r="E98" s="6"/>
      <c r="F98" s="46"/>
      <c r="G98" s="6"/>
      <c r="H98" s="11"/>
      <c r="I98" s="11"/>
      <c r="J98" s="73" t="str">
        <f>IF(D98="","",SUMIFS($H$5:H98,$D$5:D98,D98)-SUMIFS($I$5:I98,$D$5:D98,D98)+SUMIFS($I$5:I98,$D$5:D98,D98,$E$5:E98,MASTER!$Y$9))</f>
        <v/>
      </c>
      <c r="K98" s="10"/>
      <c r="L98" s="6"/>
      <c r="M98" s="103"/>
      <c r="N98" s="103"/>
      <c r="O98" s="6"/>
      <c r="P98" s="6"/>
      <c r="Q98" s="67" t="str">
        <f>IF(F98="","",IFERROR(INDEX(PERKARA!$B$5:$B$104,MATCH(F98,PERKARA!$A$5:$A$104,0)),"ID TIDAK TERDAFTAR"))</f>
        <v/>
      </c>
      <c r="R98" s="67" t="str">
        <f t="shared" si="12"/>
        <v/>
      </c>
      <c r="S98" s="105"/>
      <c r="T98" s="98"/>
      <c r="U98" s="104" t="str">
        <f t="shared" si="13"/>
        <v/>
      </c>
      <c r="V98" s="131" t="str">
        <f t="shared" si="14"/>
        <v/>
      </c>
    </row>
    <row r="99" spans="1:22">
      <c r="A99" s="9" t="str">
        <f t="shared" si="10"/>
        <v/>
      </c>
      <c r="B99" s="10"/>
      <c r="C99" s="9" t="str">
        <f t="shared" si="11"/>
        <v/>
      </c>
      <c r="D99" s="6"/>
      <c r="E99" s="6"/>
      <c r="F99" s="46"/>
      <c r="G99" s="6"/>
      <c r="H99" s="11"/>
      <c r="I99" s="11"/>
      <c r="J99" s="73" t="str">
        <f>IF(D99="","",SUMIFS($H$5:H99,$D$5:D99,D99)-SUMIFS($I$5:I99,$D$5:D99,D99)+SUMIFS($I$5:I99,$D$5:D99,D99,$E$5:E99,MASTER!$Y$9))</f>
        <v/>
      </c>
      <c r="K99" s="10"/>
      <c r="L99" s="6"/>
      <c r="M99" s="103"/>
      <c r="N99" s="103"/>
      <c r="O99" s="6"/>
      <c r="P99" s="6"/>
      <c r="Q99" s="67" t="str">
        <f>IF(F99="","",IFERROR(INDEX(PERKARA!$B$5:$B$104,MATCH(F99,PERKARA!$A$5:$A$104,0)),"ID TIDAK TERDAFTAR"))</f>
        <v/>
      </c>
      <c r="R99" s="67" t="str">
        <f t="shared" si="12"/>
        <v/>
      </c>
      <c r="S99" s="105"/>
      <c r="T99" s="98"/>
      <c r="U99" s="104" t="str">
        <f t="shared" si="13"/>
        <v/>
      </c>
      <c r="V99" s="131" t="str">
        <f t="shared" si="14"/>
        <v/>
      </c>
    </row>
    <row r="100" spans="1:22">
      <c r="A100" s="9" t="str">
        <f t="shared" si="10"/>
        <v/>
      </c>
      <c r="B100" s="10"/>
      <c r="C100" s="9" t="str">
        <f t="shared" si="11"/>
        <v/>
      </c>
      <c r="D100" s="6"/>
      <c r="E100" s="6"/>
      <c r="F100" s="46"/>
      <c r="G100" s="6"/>
      <c r="H100" s="11"/>
      <c r="I100" s="11"/>
      <c r="J100" s="73" t="str">
        <f>IF(D100="","",SUMIFS($H$5:H100,$D$5:D100,D100)-SUMIFS($I$5:I100,$D$5:D100,D100)+SUMIFS($I$5:I100,$D$5:D100,D100,$E$5:E100,MASTER!$Y$9))</f>
        <v/>
      </c>
      <c r="K100" s="10"/>
      <c r="L100" s="6"/>
      <c r="M100" s="103"/>
      <c r="N100" s="103"/>
      <c r="O100" s="6"/>
      <c r="P100" s="6"/>
      <c r="Q100" s="67" t="str">
        <f>IF(F100="","",IFERROR(INDEX(PERKARA!$B$5:$B$104,MATCH(F100,PERKARA!$A$5:$A$104,0)),"ID TIDAK TERDAFTAR"))</f>
        <v/>
      </c>
      <c r="R100" s="67" t="str">
        <f t="shared" si="12"/>
        <v/>
      </c>
      <c r="S100" s="105"/>
      <c r="T100" s="98"/>
      <c r="U100" s="104" t="str">
        <f t="shared" si="13"/>
        <v/>
      </c>
      <c r="V100" s="131" t="str">
        <f t="shared" si="14"/>
        <v/>
      </c>
    </row>
    <row r="101" spans="1:22">
      <c r="A101" s="9" t="str">
        <f t="shared" ref="A101:A124" si="15">IF(B101="","",IFERROR("PTR-"&amp;TEXT(B101,"yyyymmdd")&amp;"-"&amp;TEXT(ROW()-4,"000"),"TANGGAL TIDAK VALID"))</f>
        <v/>
      </c>
      <c r="B101" s="10"/>
      <c r="C101" s="9" t="str">
        <f t="shared" ref="C101:C124" si="16">IF(B101="","",IFERROR(TEXT(B101,"yyyy-mm"),""))</f>
        <v/>
      </c>
      <c r="D101" s="6"/>
      <c r="E101" s="6"/>
      <c r="F101" s="46"/>
      <c r="G101" s="6"/>
      <c r="H101" s="11"/>
      <c r="I101" s="11"/>
      <c r="J101" s="73" t="str">
        <f>IF(D101="","",SUMIFS($H$5:H101,$D$5:D101,D101)-SUMIFS($I$5:I101,$D$5:D101,D101)+SUMIFS($I$5:I101,$D$5:D101,D101,$E$5:E101,MASTER!$Y$9))</f>
        <v/>
      </c>
      <c r="K101" s="10"/>
      <c r="L101" s="6"/>
      <c r="M101" s="103"/>
      <c r="N101" s="103"/>
      <c r="O101" s="6"/>
      <c r="P101" s="6"/>
      <c r="Q101" s="67" t="str">
        <f>IF(F101="","",IFERROR(INDEX(PERKARA!$B$5:$B$104,MATCH(F101,PERKARA!$A$5:$A$104,0)),"ID TIDAK TERDAFTAR"))</f>
        <v/>
      </c>
      <c r="R101" s="67" t="str">
        <f t="shared" ref="R101:R124" si="17">IF(B101="","",IF(D101="","PARTNER BELUM DIISI",IF(AND(F101&lt;&gt;"",Q101="ID TIDAK TERDAFTAR"),"PERKARA TIDAK VALID",IF(AND(I101&gt;0,E101=""),"JENIS TRANSAKSI BELUM DIISI",IF(AND(I101&gt;0,L101=""),"AKUN PEMBAYARAN BELUM DIISI",IF(AND(I101&gt;0,V101=""),"TANGGAL PEMBAYARAN BELUM DIISI",IF(AND(I101&gt;0,U101&lt;&gt;"LENGKAP"),"DIBAYAR TANPA OTORISASI","OK")))))))</f>
        <v/>
      </c>
      <c r="S101" s="105"/>
      <c r="T101" s="98"/>
      <c r="U101" s="104" t="str">
        <f t="shared" ref="U101:U124" si="18">IF(B101="","",IF(M101="Ditolak","DITOLAK",IF(AND(M101="Disetujui",N101&lt;&gt;""),"LENGKAP",IF(M101="Disetujui","NAMA PENYETUJU BELUM DIISI","MENUNGGU PERSETUJUAN MANUAL"))))</f>
        <v/>
      </c>
      <c r="V101" s="131" t="str">
        <f t="shared" ref="V101:V124" si="19">IF(I101="","",IF(I101&lt;=0,"",IF(K101&lt;&gt;"",K101,IF(B101&lt;&gt;"",B101,""))))</f>
        <v/>
      </c>
    </row>
    <row r="102" spans="1:22">
      <c r="A102" s="9" t="str">
        <f t="shared" si="15"/>
        <v/>
      </c>
      <c r="B102" s="10"/>
      <c r="C102" s="9" t="str">
        <f t="shared" si="16"/>
        <v/>
      </c>
      <c r="D102" s="6"/>
      <c r="E102" s="6"/>
      <c r="F102" s="46"/>
      <c r="G102" s="6"/>
      <c r="H102" s="11"/>
      <c r="I102" s="11"/>
      <c r="J102" s="73" t="str">
        <f>IF(D102="","",SUMIFS($H$5:H102,$D$5:D102,D102)-SUMIFS($I$5:I102,$D$5:D102,D102)+SUMIFS($I$5:I102,$D$5:D102,D102,$E$5:E102,MASTER!$Y$9))</f>
        <v/>
      </c>
      <c r="K102" s="10"/>
      <c r="L102" s="6"/>
      <c r="M102" s="103"/>
      <c r="N102" s="103"/>
      <c r="O102" s="6"/>
      <c r="P102" s="6"/>
      <c r="Q102" s="67" t="str">
        <f>IF(F102="","",IFERROR(INDEX(PERKARA!$B$5:$B$104,MATCH(F102,PERKARA!$A$5:$A$104,0)),"ID TIDAK TERDAFTAR"))</f>
        <v/>
      </c>
      <c r="R102" s="67" t="str">
        <f t="shared" si="17"/>
        <v/>
      </c>
      <c r="S102" s="105"/>
      <c r="T102" s="98"/>
      <c r="U102" s="104" t="str">
        <f t="shared" si="18"/>
        <v/>
      </c>
      <c r="V102" s="131" t="str">
        <f t="shared" si="19"/>
        <v/>
      </c>
    </row>
    <row r="103" spans="1:22">
      <c r="A103" s="9" t="str">
        <f t="shared" si="15"/>
        <v/>
      </c>
      <c r="B103" s="10"/>
      <c r="C103" s="9" t="str">
        <f t="shared" si="16"/>
        <v/>
      </c>
      <c r="D103" s="6"/>
      <c r="E103" s="6"/>
      <c r="F103" s="46"/>
      <c r="G103" s="6"/>
      <c r="H103" s="11"/>
      <c r="I103" s="11"/>
      <c r="J103" s="73" t="str">
        <f>IF(D103="","",SUMIFS($H$5:H103,$D$5:D103,D103)-SUMIFS($I$5:I103,$D$5:D103,D103)+SUMIFS($I$5:I103,$D$5:D103,D103,$E$5:E103,MASTER!$Y$9))</f>
        <v/>
      </c>
      <c r="K103" s="10"/>
      <c r="L103" s="6"/>
      <c r="M103" s="103"/>
      <c r="N103" s="103"/>
      <c r="O103" s="6"/>
      <c r="P103" s="6"/>
      <c r="Q103" s="67" t="str">
        <f>IF(F103="","",IFERROR(INDEX(PERKARA!$B$5:$B$104,MATCH(F103,PERKARA!$A$5:$A$104,0)),"ID TIDAK TERDAFTAR"))</f>
        <v/>
      </c>
      <c r="R103" s="67" t="str">
        <f t="shared" si="17"/>
        <v/>
      </c>
      <c r="S103" s="105"/>
      <c r="T103" s="98"/>
      <c r="U103" s="104" t="str">
        <f t="shared" si="18"/>
        <v/>
      </c>
      <c r="V103" s="131" t="str">
        <f t="shared" si="19"/>
        <v/>
      </c>
    </row>
    <row r="104" spans="1:22">
      <c r="A104" s="9" t="str">
        <f t="shared" si="15"/>
        <v/>
      </c>
      <c r="B104" s="10"/>
      <c r="C104" s="9" t="str">
        <f t="shared" si="16"/>
        <v/>
      </c>
      <c r="D104" s="6"/>
      <c r="E104" s="6"/>
      <c r="F104" s="46"/>
      <c r="G104" s="6"/>
      <c r="H104" s="11"/>
      <c r="I104" s="11"/>
      <c r="J104" s="73" t="str">
        <f>IF(D104="","",SUMIFS($H$5:H104,$D$5:D104,D104)-SUMIFS($I$5:I104,$D$5:D104,D104)+SUMIFS($I$5:I104,$D$5:D104,D104,$E$5:E104,MASTER!$Y$9))</f>
        <v/>
      </c>
      <c r="K104" s="10"/>
      <c r="L104" s="6"/>
      <c r="M104" s="103"/>
      <c r="N104" s="103"/>
      <c r="O104" s="6"/>
      <c r="P104" s="6"/>
      <c r="Q104" s="67" t="str">
        <f>IF(F104="","",IFERROR(INDEX(PERKARA!$B$5:$B$104,MATCH(F104,PERKARA!$A$5:$A$104,0)),"ID TIDAK TERDAFTAR"))</f>
        <v/>
      </c>
      <c r="R104" s="67" t="str">
        <f t="shared" si="17"/>
        <v/>
      </c>
      <c r="S104" s="105"/>
      <c r="T104" s="98"/>
      <c r="U104" s="104" t="str">
        <f t="shared" si="18"/>
        <v/>
      </c>
      <c r="V104" s="131" t="str">
        <f t="shared" si="19"/>
        <v/>
      </c>
    </row>
    <row r="105" spans="1:22">
      <c r="A105" s="9" t="str">
        <f t="shared" si="15"/>
        <v/>
      </c>
      <c r="B105" s="10"/>
      <c r="C105" s="9" t="str">
        <f t="shared" si="16"/>
        <v/>
      </c>
      <c r="D105" s="6"/>
      <c r="E105" s="6"/>
      <c r="F105" s="46"/>
      <c r="G105" s="6"/>
      <c r="H105" s="11"/>
      <c r="I105" s="11"/>
      <c r="J105" s="73" t="str">
        <f>IF(D105="","",SUMIFS($H$5:H105,$D$5:D105,D105)-SUMIFS($I$5:I105,$D$5:D105,D105)+SUMIFS($I$5:I105,$D$5:D105,D105,$E$5:E105,MASTER!$Y$9))</f>
        <v/>
      </c>
      <c r="K105" s="10"/>
      <c r="L105" s="6"/>
      <c r="M105" s="103"/>
      <c r="N105" s="103"/>
      <c r="O105" s="6"/>
      <c r="P105" s="6"/>
      <c r="Q105" s="67" t="str">
        <f>IF(F105="","",IFERROR(INDEX(PERKARA!$B$5:$B$104,MATCH(F105,PERKARA!$A$5:$A$104,0)),"ID TIDAK TERDAFTAR"))</f>
        <v/>
      </c>
      <c r="R105" s="67" t="str">
        <f t="shared" si="17"/>
        <v/>
      </c>
      <c r="S105" s="105"/>
      <c r="T105" s="98"/>
      <c r="U105" s="104" t="str">
        <f t="shared" si="18"/>
        <v/>
      </c>
      <c r="V105" s="131" t="str">
        <f t="shared" si="19"/>
        <v/>
      </c>
    </row>
    <row r="106" spans="1:22">
      <c r="A106" s="9" t="str">
        <f t="shared" si="15"/>
        <v/>
      </c>
      <c r="B106" s="10"/>
      <c r="C106" s="9" t="str">
        <f t="shared" si="16"/>
        <v/>
      </c>
      <c r="D106" s="6"/>
      <c r="E106" s="6"/>
      <c r="F106" s="46"/>
      <c r="G106" s="6"/>
      <c r="H106" s="11"/>
      <c r="I106" s="11"/>
      <c r="J106" s="73" t="str">
        <f>IF(D106="","",SUMIFS($H$5:H106,$D$5:D106,D106)-SUMIFS($I$5:I106,$D$5:D106,D106)+SUMIFS($I$5:I106,$D$5:D106,D106,$E$5:E106,MASTER!$Y$9))</f>
        <v/>
      </c>
      <c r="K106" s="10"/>
      <c r="L106" s="6"/>
      <c r="M106" s="103"/>
      <c r="N106" s="103"/>
      <c r="O106" s="6"/>
      <c r="P106" s="6"/>
      <c r="Q106" s="67" t="str">
        <f>IF(F106="","",IFERROR(INDEX(PERKARA!$B$5:$B$104,MATCH(F106,PERKARA!$A$5:$A$104,0)),"ID TIDAK TERDAFTAR"))</f>
        <v/>
      </c>
      <c r="R106" s="67" t="str">
        <f t="shared" si="17"/>
        <v/>
      </c>
      <c r="S106" s="105"/>
      <c r="T106" s="98"/>
      <c r="U106" s="104" t="str">
        <f t="shared" si="18"/>
        <v/>
      </c>
      <c r="V106" s="131" t="str">
        <f t="shared" si="19"/>
        <v/>
      </c>
    </row>
    <row r="107" spans="1:22">
      <c r="A107" s="9" t="str">
        <f t="shared" si="15"/>
        <v/>
      </c>
      <c r="B107" s="10"/>
      <c r="C107" s="9" t="str">
        <f t="shared" si="16"/>
        <v/>
      </c>
      <c r="D107" s="6"/>
      <c r="E107" s="6"/>
      <c r="F107" s="46"/>
      <c r="G107" s="6"/>
      <c r="H107" s="11"/>
      <c r="I107" s="11"/>
      <c r="J107" s="73" t="str">
        <f>IF(D107="","",SUMIFS($H$5:H107,$D$5:D107,D107)-SUMIFS($I$5:I107,$D$5:D107,D107)+SUMIFS($I$5:I107,$D$5:D107,D107,$E$5:E107,MASTER!$Y$9))</f>
        <v/>
      </c>
      <c r="K107" s="10"/>
      <c r="L107" s="6"/>
      <c r="M107" s="103"/>
      <c r="N107" s="103"/>
      <c r="O107" s="6"/>
      <c r="P107" s="6"/>
      <c r="Q107" s="67" t="str">
        <f>IF(F107="","",IFERROR(INDEX(PERKARA!$B$5:$B$104,MATCH(F107,PERKARA!$A$5:$A$104,0)),"ID TIDAK TERDAFTAR"))</f>
        <v/>
      </c>
      <c r="R107" s="67" t="str">
        <f t="shared" si="17"/>
        <v/>
      </c>
      <c r="S107" s="105"/>
      <c r="T107" s="98"/>
      <c r="U107" s="104" t="str">
        <f t="shared" si="18"/>
        <v/>
      </c>
      <c r="V107" s="131" t="str">
        <f t="shared" si="19"/>
        <v/>
      </c>
    </row>
    <row r="108" spans="1:22">
      <c r="A108" s="9" t="str">
        <f t="shared" si="15"/>
        <v/>
      </c>
      <c r="B108" s="10"/>
      <c r="C108" s="9" t="str">
        <f t="shared" si="16"/>
        <v/>
      </c>
      <c r="D108" s="6"/>
      <c r="E108" s="6"/>
      <c r="F108" s="46"/>
      <c r="G108" s="6"/>
      <c r="H108" s="11"/>
      <c r="I108" s="11"/>
      <c r="J108" s="73" t="str">
        <f>IF(D108="","",SUMIFS($H$5:H108,$D$5:D108,D108)-SUMIFS($I$5:I108,$D$5:D108,D108)+SUMIFS($I$5:I108,$D$5:D108,D108,$E$5:E108,MASTER!$Y$9))</f>
        <v/>
      </c>
      <c r="K108" s="10"/>
      <c r="L108" s="6"/>
      <c r="M108" s="103"/>
      <c r="N108" s="103"/>
      <c r="O108" s="6"/>
      <c r="P108" s="6"/>
      <c r="Q108" s="67" t="str">
        <f>IF(F108="","",IFERROR(INDEX(PERKARA!$B$5:$B$104,MATCH(F108,PERKARA!$A$5:$A$104,0)),"ID TIDAK TERDAFTAR"))</f>
        <v/>
      </c>
      <c r="R108" s="67" t="str">
        <f t="shared" si="17"/>
        <v/>
      </c>
      <c r="S108" s="105"/>
      <c r="T108" s="98"/>
      <c r="U108" s="104" t="str">
        <f t="shared" si="18"/>
        <v/>
      </c>
      <c r="V108" s="131" t="str">
        <f t="shared" si="19"/>
        <v/>
      </c>
    </row>
    <row r="109" spans="1:22">
      <c r="A109" s="9" t="str">
        <f t="shared" si="15"/>
        <v/>
      </c>
      <c r="B109" s="10"/>
      <c r="C109" s="9" t="str">
        <f t="shared" si="16"/>
        <v/>
      </c>
      <c r="D109" s="6"/>
      <c r="E109" s="6"/>
      <c r="F109" s="46"/>
      <c r="G109" s="6"/>
      <c r="H109" s="11"/>
      <c r="I109" s="11"/>
      <c r="J109" s="73" t="str">
        <f>IF(D109="","",SUMIFS($H$5:H109,$D$5:D109,D109)-SUMIFS($I$5:I109,$D$5:D109,D109)+SUMIFS($I$5:I109,$D$5:D109,D109,$E$5:E109,MASTER!$Y$9))</f>
        <v/>
      </c>
      <c r="K109" s="10"/>
      <c r="L109" s="6"/>
      <c r="M109" s="103"/>
      <c r="N109" s="103"/>
      <c r="O109" s="6"/>
      <c r="P109" s="6"/>
      <c r="Q109" s="67" t="str">
        <f>IF(F109="","",IFERROR(INDEX(PERKARA!$B$5:$B$104,MATCH(F109,PERKARA!$A$5:$A$104,0)),"ID TIDAK TERDAFTAR"))</f>
        <v/>
      </c>
      <c r="R109" s="67" t="str">
        <f t="shared" si="17"/>
        <v/>
      </c>
      <c r="S109" s="105"/>
      <c r="T109" s="98"/>
      <c r="U109" s="104" t="str">
        <f t="shared" si="18"/>
        <v/>
      </c>
      <c r="V109" s="131" t="str">
        <f t="shared" si="19"/>
        <v/>
      </c>
    </row>
    <row r="110" spans="1:22">
      <c r="A110" s="9" t="str">
        <f t="shared" si="15"/>
        <v/>
      </c>
      <c r="B110" s="10"/>
      <c r="C110" s="9" t="str">
        <f t="shared" si="16"/>
        <v/>
      </c>
      <c r="D110" s="6"/>
      <c r="E110" s="6"/>
      <c r="F110" s="46"/>
      <c r="G110" s="6"/>
      <c r="H110" s="11"/>
      <c r="I110" s="11"/>
      <c r="J110" s="73" t="str">
        <f>IF(D110="","",SUMIFS($H$5:H110,$D$5:D110,D110)-SUMIFS($I$5:I110,$D$5:D110,D110)+SUMIFS($I$5:I110,$D$5:D110,D110,$E$5:E110,MASTER!$Y$9))</f>
        <v/>
      </c>
      <c r="K110" s="10"/>
      <c r="L110" s="6"/>
      <c r="M110" s="103"/>
      <c r="N110" s="103"/>
      <c r="O110" s="6"/>
      <c r="P110" s="6"/>
      <c r="Q110" s="67" t="str">
        <f>IF(F110="","",IFERROR(INDEX(PERKARA!$B$5:$B$104,MATCH(F110,PERKARA!$A$5:$A$104,0)),"ID TIDAK TERDAFTAR"))</f>
        <v/>
      </c>
      <c r="R110" s="67" t="str">
        <f t="shared" si="17"/>
        <v/>
      </c>
      <c r="S110" s="105"/>
      <c r="T110" s="98"/>
      <c r="U110" s="104" t="str">
        <f t="shared" si="18"/>
        <v/>
      </c>
      <c r="V110" s="131" t="str">
        <f t="shared" si="19"/>
        <v/>
      </c>
    </row>
    <row r="111" spans="1:22">
      <c r="A111" s="9" t="str">
        <f t="shared" si="15"/>
        <v/>
      </c>
      <c r="B111" s="10"/>
      <c r="C111" s="9" t="str">
        <f t="shared" si="16"/>
        <v/>
      </c>
      <c r="D111" s="6"/>
      <c r="E111" s="6"/>
      <c r="F111" s="46"/>
      <c r="G111" s="6"/>
      <c r="H111" s="11"/>
      <c r="I111" s="11"/>
      <c r="J111" s="73" t="str">
        <f>IF(D111="","",SUMIFS($H$5:H111,$D$5:D111,D111)-SUMIFS($I$5:I111,$D$5:D111,D111)+SUMIFS($I$5:I111,$D$5:D111,D111,$E$5:E111,MASTER!$Y$9))</f>
        <v/>
      </c>
      <c r="K111" s="10"/>
      <c r="L111" s="6"/>
      <c r="M111" s="103"/>
      <c r="N111" s="103"/>
      <c r="O111" s="6"/>
      <c r="P111" s="6"/>
      <c r="Q111" s="67" t="str">
        <f>IF(F111="","",IFERROR(INDEX(PERKARA!$B$5:$B$104,MATCH(F111,PERKARA!$A$5:$A$104,0)),"ID TIDAK TERDAFTAR"))</f>
        <v/>
      </c>
      <c r="R111" s="67" t="str">
        <f t="shared" si="17"/>
        <v/>
      </c>
      <c r="S111" s="105"/>
      <c r="T111" s="98"/>
      <c r="U111" s="104" t="str">
        <f t="shared" si="18"/>
        <v/>
      </c>
      <c r="V111" s="131" t="str">
        <f t="shared" si="19"/>
        <v/>
      </c>
    </row>
    <row r="112" spans="1:22">
      <c r="A112" s="9" t="str">
        <f t="shared" si="15"/>
        <v/>
      </c>
      <c r="B112" s="10"/>
      <c r="C112" s="9" t="str">
        <f t="shared" si="16"/>
        <v/>
      </c>
      <c r="D112" s="6"/>
      <c r="E112" s="6"/>
      <c r="F112" s="46"/>
      <c r="G112" s="6"/>
      <c r="H112" s="11"/>
      <c r="I112" s="11"/>
      <c r="J112" s="73" t="str">
        <f>IF(D112="","",SUMIFS($H$5:H112,$D$5:D112,D112)-SUMIFS($I$5:I112,$D$5:D112,D112)+SUMIFS($I$5:I112,$D$5:D112,D112,$E$5:E112,MASTER!$Y$9))</f>
        <v/>
      </c>
      <c r="K112" s="10"/>
      <c r="L112" s="6"/>
      <c r="M112" s="103"/>
      <c r="N112" s="103"/>
      <c r="O112" s="6"/>
      <c r="P112" s="6"/>
      <c r="Q112" s="67" t="str">
        <f>IF(F112="","",IFERROR(INDEX(PERKARA!$B$5:$B$104,MATCH(F112,PERKARA!$A$5:$A$104,0)),"ID TIDAK TERDAFTAR"))</f>
        <v/>
      </c>
      <c r="R112" s="67" t="str">
        <f t="shared" si="17"/>
        <v/>
      </c>
      <c r="S112" s="105"/>
      <c r="T112" s="98"/>
      <c r="U112" s="104" t="str">
        <f t="shared" si="18"/>
        <v/>
      </c>
      <c r="V112" s="131" t="str">
        <f t="shared" si="19"/>
        <v/>
      </c>
    </row>
    <row r="113" spans="1:22">
      <c r="A113" s="9" t="str">
        <f t="shared" si="15"/>
        <v/>
      </c>
      <c r="B113" s="10"/>
      <c r="C113" s="9" t="str">
        <f t="shared" si="16"/>
        <v/>
      </c>
      <c r="D113" s="6"/>
      <c r="E113" s="6"/>
      <c r="F113" s="46"/>
      <c r="G113" s="6"/>
      <c r="H113" s="11"/>
      <c r="I113" s="11"/>
      <c r="J113" s="73" t="str">
        <f>IF(D113="","",SUMIFS($H$5:H113,$D$5:D113,D113)-SUMIFS($I$5:I113,$D$5:D113,D113)+SUMIFS($I$5:I113,$D$5:D113,D113,$E$5:E113,MASTER!$Y$9))</f>
        <v/>
      </c>
      <c r="K113" s="10"/>
      <c r="L113" s="6"/>
      <c r="M113" s="103"/>
      <c r="N113" s="103"/>
      <c r="O113" s="6"/>
      <c r="P113" s="6"/>
      <c r="Q113" s="67" t="str">
        <f>IF(F113="","",IFERROR(INDEX(PERKARA!$B$5:$B$104,MATCH(F113,PERKARA!$A$5:$A$104,0)),"ID TIDAK TERDAFTAR"))</f>
        <v/>
      </c>
      <c r="R113" s="67" t="str">
        <f t="shared" si="17"/>
        <v/>
      </c>
      <c r="S113" s="105"/>
      <c r="T113" s="98"/>
      <c r="U113" s="104" t="str">
        <f t="shared" si="18"/>
        <v/>
      </c>
      <c r="V113" s="131" t="str">
        <f t="shared" si="19"/>
        <v/>
      </c>
    </row>
    <row r="114" spans="1:22">
      <c r="A114" s="9" t="str">
        <f t="shared" si="15"/>
        <v/>
      </c>
      <c r="B114" s="10"/>
      <c r="C114" s="9" t="str">
        <f t="shared" si="16"/>
        <v/>
      </c>
      <c r="D114" s="6"/>
      <c r="E114" s="6"/>
      <c r="F114" s="46"/>
      <c r="G114" s="6"/>
      <c r="H114" s="11"/>
      <c r="I114" s="11"/>
      <c r="J114" s="73" t="str">
        <f>IF(D114="","",SUMIFS($H$5:H114,$D$5:D114,D114)-SUMIFS($I$5:I114,$D$5:D114,D114)+SUMIFS($I$5:I114,$D$5:D114,D114,$E$5:E114,MASTER!$Y$9))</f>
        <v/>
      </c>
      <c r="K114" s="10"/>
      <c r="L114" s="6"/>
      <c r="M114" s="103"/>
      <c r="N114" s="103"/>
      <c r="O114" s="6"/>
      <c r="P114" s="6"/>
      <c r="Q114" s="67" t="str">
        <f>IF(F114="","",IFERROR(INDEX(PERKARA!$B$5:$B$104,MATCH(F114,PERKARA!$A$5:$A$104,0)),"ID TIDAK TERDAFTAR"))</f>
        <v/>
      </c>
      <c r="R114" s="67" t="str">
        <f t="shared" si="17"/>
        <v/>
      </c>
      <c r="S114" s="105"/>
      <c r="T114" s="98"/>
      <c r="U114" s="104" t="str">
        <f t="shared" si="18"/>
        <v/>
      </c>
      <c r="V114" s="131" t="str">
        <f t="shared" si="19"/>
        <v/>
      </c>
    </row>
    <row r="115" spans="1:22">
      <c r="A115" s="9" t="str">
        <f t="shared" si="15"/>
        <v/>
      </c>
      <c r="B115" s="10"/>
      <c r="C115" s="9" t="str">
        <f t="shared" si="16"/>
        <v/>
      </c>
      <c r="D115" s="6"/>
      <c r="E115" s="6"/>
      <c r="F115" s="46"/>
      <c r="G115" s="6"/>
      <c r="H115" s="11"/>
      <c r="I115" s="11"/>
      <c r="J115" s="73" t="str">
        <f>IF(D115="","",SUMIFS($H$5:H115,$D$5:D115,D115)-SUMIFS($I$5:I115,$D$5:D115,D115)+SUMIFS($I$5:I115,$D$5:D115,D115,$E$5:E115,MASTER!$Y$9))</f>
        <v/>
      </c>
      <c r="K115" s="10"/>
      <c r="L115" s="6"/>
      <c r="M115" s="103"/>
      <c r="N115" s="103"/>
      <c r="O115" s="6"/>
      <c r="P115" s="6"/>
      <c r="Q115" s="67" t="str">
        <f>IF(F115="","",IFERROR(INDEX(PERKARA!$B$5:$B$104,MATCH(F115,PERKARA!$A$5:$A$104,0)),"ID TIDAK TERDAFTAR"))</f>
        <v/>
      </c>
      <c r="R115" s="67" t="str">
        <f t="shared" si="17"/>
        <v/>
      </c>
      <c r="S115" s="105"/>
      <c r="T115" s="98"/>
      <c r="U115" s="104" t="str">
        <f t="shared" si="18"/>
        <v/>
      </c>
      <c r="V115" s="131" t="str">
        <f t="shared" si="19"/>
        <v/>
      </c>
    </row>
    <row r="116" spans="1:22">
      <c r="A116" s="9" t="str">
        <f t="shared" si="15"/>
        <v/>
      </c>
      <c r="B116" s="10"/>
      <c r="C116" s="9" t="str">
        <f t="shared" si="16"/>
        <v/>
      </c>
      <c r="D116" s="6"/>
      <c r="E116" s="6"/>
      <c r="F116" s="46"/>
      <c r="G116" s="6"/>
      <c r="H116" s="11"/>
      <c r="I116" s="11"/>
      <c r="J116" s="73" t="str">
        <f>IF(D116="","",SUMIFS($H$5:H116,$D$5:D116,D116)-SUMIFS($I$5:I116,$D$5:D116,D116)+SUMIFS($I$5:I116,$D$5:D116,D116,$E$5:E116,MASTER!$Y$9))</f>
        <v/>
      </c>
      <c r="K116" s="10"/>
      <c r="L116" s="6"/>
      <c r="M116" s="103"/>
      <c r="N116" s="103"/>
      <c r="O116" s="6"/>
      <c r="P116" s="6"/>
      <c r="Q116" s="67" t="str">
        <f>IF(F116="","",IFERROR(INDEX(PERKARA!$B$5:$B$104,MATCH(F116,PERKARA!$A$5:$A$104,0)),"ID TIDAK TERDAFTAR"))</f>
        <v/>
      </c>
      <c r="R116" s="67" t="str">
        <f t="shared" si="17"/>
        <v/>
      </c>
      <c r="S116" s="105"/>
      <c r="T116" s="98"/>
      <c r="U116" s="104" t="str">
        <f t="shared" si="18"/>
        <v/>
      </c>
      <c r="V116" s="131" t="str">
        <f t="shared" si="19"/>
        <v/>
      </c>
    </row>
    <row r="117" spans="1:22">
      <c r="A117" s="9" t="str">
        <f t="shared" si="15"/>
        <v/>
      </c>
      <c r="B117" s="10"/>
      <c r="C117" s="9" t="str">
        <f t="shared" si="16"/>
        <v/>
      </c>
      <c r="D117" s="6"/>
      <c r="E117" s="6"/>
      <c r="F117" s="46"/>
      <c r="G117" s="6"/>
      <c r="H117" s="11"/>
      <c r="I117" s="11"/>
      <c r="J117" s="73" t="str">
        <f>IF(D117="","",SUMIFS($H$5:H117,$D$5:D117,D117)-SUMIFS($I$5:I117,$D$5:D117,D117)+SUMIFS($I$5:I117,$D$5:D117,D117,$E$5:E117,MASTER!$Y$9))</f>
        <v/>
      </c>
      <c r="K117" s="10"/>
      <c r="L117" s="6"/>
      <c r="M117" s="103"/>
      <c r="N117" s="103"/>
      <c r="O117" s="6"/>
      <c r="P117" s="6"/>
      <c r="Q117" s="67" t="str">
        <f>IF(F117="","",IFERROR(INDEX(PERKARA!$B$5:$B$104,MATCH(F117,PERKARA!$A$5:$A$104,0)),"ID TIDAK TERDAFTAR"))</f>
        <v/>
      </c>
      <c r="R117" s="67" t="str">
        <f t="shared" si="17"/>
        <v/>
      </c>
      <c r="S117" s="105"/>
      <c r="T117" s="98"/>
      <c r="U117" s="104" t="str">
        <f t="shared" si="18"/>
        <v/>
      </c>
      <c r="V117" s="131" t="str">
        <f t="shared" si="19"/>
        <v/>
      </c>
    </row>
    <row r="118" spans="1:22">
      <c r="A118" s="9" t="str">
        <f t="shared" si="15"/>
        <v/>
      </c>
      <c r="B118" s="10"/>
      <c r="C118" s="9" t="str">
        <f t="shared" si="16"/>
        <v/>
      </c>
      <c r="D118" s="6"/>
      <c r="E118" s="6"/>
      <c r="F118" s="46"/>
      <c r="G118" s="6"/>
      <c r="H118" s="11"/>
      <c r="I118" s="11"/>
      <c r="J118" s="73" t="str">
        <f>IF(D118="","",SUMIFS($H$5:H118,$D$5:D118,D118)-SUMIFS($I$5:I118,$D$5:D118,D118)+SUMIFS($I$5:I118,$D$5:D118,D118,$E$5:E118,MASTER!$Y$9))</f>
        <v/>
      </c>
      <c r="K118" s="10"/>
      <c r="L118" s="6"/>
      <c r="M118" s="103"/>
      <c r="N118" s="103"/>
      <c r="O118" s="6"/>
      <c r="P118" s="6"/>
      <c r="Q118" s="67" t="str">
        <f>IF(F118="","",IFERROR(INDEX(PERKARA!$B$5:$B$104,MATCH(F118,PERKARA!$A$5:$A$104,0)),"ID TIDAK TERDAFTAR"))</f>
        <v/>
      </c>
      <c r="R118" s="67" t="str">
        <f t="shared" si="17"/>
        <v/>
      </c>
      <c r="S118" s="105"/>
      <c r="T118" s="98"/>
      <c r="U118" s="104" t="str">
        <f t="shared" si="18"/>
        <v/>
      </c>
      <c r="V118" s="131" t="str">
        <f t="shared" si="19"/>
        <v/>
      </c>
    </row>
    <row r="119" spans="1:22">
      <c r="A119" s="9" t="str">
        <f t="shared" si="15"/>
        <v/>
      </c>
      <c r="B119" s="10"/>
      <c r="C119" s="9" t="str">
        <f t="shared" si="16"/>
        <v/>
      </c>
      <c r="D119" s="6"/>
      <c r="E119" s="6"/>
      <c r="F119" s="46"/>
      <c r="G119" s="6"/>
      <c r="H119" s="11"/>
      <c r="I119" s="11"/>
      <c r="J119" s="73" t="str">
        <f>IF(D119="","",SUMIFS($H$5:H119,$D$5:D119,D119)-SUMIFS($I$5:I119,$D$5:D119,D119)+SUMIFS($I$5:I119,$D$5:D119,D119,$E$5:E119,MASTER!$Y$9))</f>
        <v/>
      </c>
      <c r="K119" s="10"/>
      <c r="L119" s="6"/>
      <c r="M119" s="103"/>
      <c r="N119" s="103"/>
      <c r="O119" s="6"/>
      <c r="P119" s="6"/>
      <c r="Q119" s="67" t="str">
        <f>IF(F119="","",IFERROR(INDEX(PERKARA!$B$5:$B$104,MATCH(F119,PERKARA!$A$5:$A$104,0)),"ID TIDAK TERDAFTAR"))</f>
        <v/>
      </c>
      <c r="R119" s="67" t="str">
        <f t="shared" si="17"/>
        <v/>
      </c>
      <c r="S119" s="105"/>
      <c r="T119" s="98"/>
      <c r="U119" s="104" t="str">
        <f t="shared" si="18"/>
        <v/>
      </c>
      <c r="V119" s="131" t="str">
        <f t="shared" si="19"/>
        <v/>
      </c>
    </row>
    <row r="120" spans="1:22">
      <c r="A120" s="9" t="str">
        <f t="shared" si="15"/>
        <v/>
      </c>
      <c r="B120" s="10"/>
      <c r="C120" s="9" t="str">
        <f t="shared" si="16"/>
        <v/>
      </c>
      <c r="D120" s="6"/>
      <c r="E120" s="6"/>
      <c r="F120" s="46"/>
      <c r="G120" s="6"/>
      <c r="H120" s="11"/>
      <c r="I120" s="11"/>
      <c r="J120" s="73" t="str">
        <f>IF(D120="","",SUMIFS($H$5:H120,$D$5:D120,D120)-SUMIFS($I$5:I120,$D$5:D120,D120)+SUMIFS($I$5:I120,$D$5:D120,D120,$E$5:E120,MASTER!$Y$9))</f>
        <v/>
      </c>
      <c r="K120" s="10"/>
      <c r="L120" s="6"/>
      <c r="M120" s="103"/>
      <c r="N120" s="103"/>
      <c r="O120" s="6"/>
      <c r="P120" s="6"/>
      <c r="Q120" s="67" t="str">
        <f>IF(F120="","",IFERROR(INDEX(PERKARA!$B$5:$B$104,MATCH(F120,PERKARA!$A$5:$A$104,0)),"ID TIDAK TERDAFTAR"))</f>
        <v/>
      </c>
      <c r="R120" s="67" t="str">
        <f t="shared" si="17"/>
        <v/>
      </c>
      <c r="S120" s="105"/>
      <c r="T120" s="98"/>
      <c r="U120" s="104" t="str">
        <f t="shared" si="18"/>
        <v/>
      </c>
      <c r="V120" s="131" t="str">
        <f t="shared" si="19"/>
        <v/>
      </c>
    </row>
    <row r="121" spans="1:22">
      <c r="A121" s="9" t="str">
        <f t="shared" si="15"/>
        <v/>
      </c>
      <c r="B121" s="10"/>
      <c r="C121" s="9" t="str">
        <f t="shared" si="16"/>
        <v/>
      </c>
      <c r="D121" s="6"/>
      <c r="E121" s="6"/>
      <c r="F121" s="46"/>
      <c r="G121" s="6"/>
      <c r="H121" s="11"/>
      <c r="I121" s="11"/>
      <c r="J121" s="73" t="str">
        <f>IF(D121="","",SUMIFS($H$5:H121,$D$5:D121,D121)-SUMIFS($I$5:I121,$D$5:D121,D121)+SUMIFS($I$5:I121,$D$5:D121,D121,$E$5:E121,MASTER!$Y$9))</f>
        <v/>
      </c>
      <c r="K121" s="10"/>
      <c r="L121" s="6"/>
      <c r="M121" s="103"/>
      <c r="N121" s="103"/>
      <c r="O121" s="6"/>
      <c r="P121" s="6"/>
      <c r="Q121" s="67" t="str">
        <f>IF(F121="","",IFERROR(INDEX(PERKARA!$B$5:$B$104,MATCH(F121,PERKARA!$A$5:$A$104,0)),"ID TIDAK TERDAFTAR"))</f>
        <v/>
      </c>
      <c r="R121" s="67" t="str">
        <f t="shared" si="17"/>
        <v/>
      </c>
      <c r="S121" s="105"/>
      <c r="T121" s="98"/>
      <c r="U121" s="104" t="str">
        <f t="shared" si="18"/>
        <v/>
      </c>
      <c r="V121" s="131" t="str">
        <f t="shared" si="19"/>
        <v/>
      </c>
    </row>
    <row r="122" spans="1:22">
      <c r="A122" s="9" t="str">
        <f t="shared" si="15"/>
        <v/>
      </c>
      <c r="B122" s="10"/>
      <c r="C122" s="9" t="str">
        <f t="shared" si="16"/>
        <v/>
      </c>
      <c r="D122" s="6"/>
      <c r="E122" s="6"/>
      <c r="F122" s="46"/>
      <c r="G122" s="6"/>
      <c r="H122" s="11"/>
      <c r="I122" s="11"/>
      <c r="J122" s="73" t="str">
        <f>IF(D122="","",SUMIFS($H$5:H122,$D$5:D122,D122)-SUMIFS($I$5:I122,$D$5:D122,D122)+SUMIFS($I$5:I122,$D$5:D122,D122,$E$5:E122,MASTER!$Y$9))</f>
        <v/>
      </c>
      <c r="K122" s="10"/>
      <c r="L122" s="6"/>
      <c r="M122" s="103"/>
      <c r="N122" s="103"/>
      <c r="O122" s="6"/>
      <c r="P122" s="6"/>
      <c r="Q122" s="67" t="str">
        <f>IF(F122="","",IFERROR(INDEX(PERKARA!$B$5:$B$104,MATCH(F122,PERKARA!$A$5:$A$104,0)),"ID TIDAK TERDAFTAR"))</f>
        <v/>
      </c>
      <c r="R122" s="67" t="str">
        <f t="shared" si="17"/>
        <v/>
      </c>
      <c r="S122" s="105"/>
      <c r="T122" s="98"/>
      <c r="U122" s="104" t="str">
        <f t="shared" si="18"/>
        <v/>
      </c>
      <c r="V122" s="131" t="str">
        <f t="shared" si="19"/>
        <v/>
      </c>
    </row>
    <row r="123" spans="1:22">
      <c r="A123" s="9" t="str">
        <f t="shared" si="15"/>
        <v/>
      </c>
      <c r="B123" s="10"/>
      <c r="C123" s="9" t="str">
        <f t="shared" si="16"/>
        <v/>
      </c>
      <c r="D123" s="6"/>
      <c r="E123" s="6"/>
      <c r="F123" s="46"/>
      <c r="G123" s="6"/>
      <c r="H123" s="11"/>
      <c r="I123" s="11"/>
      <c r="J123" s="73" t="str">
        <f>IF(D123="","",SUMIFS($H$5:H123,$D$5:D123,D123)-SUMIFS($I$5:I123,$D$5:D123,D123)+SUMIFS($I$5:I123,$D$5:D123,D123,$E$5:E123,MASTER!$Y$9))</f>
        <v/>
      </c>
      <c r="K123" s="10"/>
      <c r="L123" s="6"/>
      <c r="M123" s="103"/>
      <c r="N123" s="103"/>
      <c r="O123" s="6"/>
      <c r="P123" s="6"/>
      <c r="Q123" s="67" t="str">
        <f>IF(F123="","",IFERROR(INDEX(PERKARA!$B$5:$B$104,MATCH(F123,PERKARA!$A$5:$A$104,0)),"ID TIDAK TERDAFTAR"))</f>
        <v/>
      </c>
      <c r="R123" s="67" t="str">
        <f t="shared" si="17"/>
        <v/>
      </c>
      <c r="S123" s="105"/>
      <c r="T123" s="98"/>
      <c r="U123" s="104" t="str">
        <f t="shared" si="18"/>
        <v/>
      </c>
      <c r="V123" s="131" t="str">
        <f t="shared" si="19"/>
        <v/>
      </c>
    </row>
    <row r="124" spans="1:22">
      <c r="A124" s="9" t="str">
        <f t="shared" si="15"/>
        <v/>
      </c>
      <c r="B124" s="10"/>
      <c r="C124" s="9" t="str">
        <f t="shared" si="16"/>
        <v/>
      </c>
      <c r="D124" s="6"/>
      <c r="E124" s="6"/>
      <c r="F124" s="46"/>
      <c r="G124" s="6"/>
      <c r="H124" s="11"/>
      <c r="I124" s="11"/>
      <c r="J124" s="73" t="str">
        <f>IF(D124="","",SUMIFS($H$5:H124,$D$5:D124,D124)-SUMIFS($I$5:I124,$D$5:D124,D124)+SUMIFS($I$5:I124,$D$5:D124,D124,$E$5:E124,MASTER!$Y$9))</f>
        <v/>
      </c>
      <c r="K124" s="10"/>
      <c r="L124" s="6"/>
      <c r="M124" s="103"/>
      <c r="N124" s="103"/>
      <c r="O124" s="6"/>
      <c r="P124" s="6"/>
      <c r="Q124" s="67" t="str">
        <f>IF(F124="","",IFERROR(INDEX(PERKARA!$B$5:$B$104,MATCH(F124,PERKARA!$A$5:$A$104,0)),"ID TIDAK TERDAFTAR"))</f>
        <v/>
      </c>
      <c r="R124" s="67" t="str">
        <f t="shared" si="17"/>
        <v/>
      </c>
      <c r="S124" s="105"/>
      <c r="T124" s="98"/>
      <c r="U124" s="104" t="str">
        <f t="shared" si="18"/>
        <v/>
      </c>
      <c r="V124" s="131" t="str">
        <f t="shared" si="19"/>
        <v/>
      </c>
    </row>
  </sheetData>
  <mergeCells count="2">
    <mergeCell ref="A1:V2"/>
    <mergeCell ref="A3:V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A00-000000000000}">
          <x14:formula1>
            <xm:f>MASTER!$A$5:$A$7</xm:f>
          </x14:formula1>
          <xm:sqref>D5:D124 N5:N124</xm:sqref>
        </x14:dataValidation>
        <x14:dataValidation type="list" xr:uid="{00000000-0002-0000-0A00-000001000000}">
          <x14:formula1>
            <xm:f>MASTER!$Y$5:$Y$10</xm:f>
          </x14:formula1>
          <xm:sqref>E5:E124</xm:sqref>
        </x14:dataValidation>
        <x14:dataValidation type="list" xr:uid="{00000000-0002-0000-0A00-000002000000}">
          <x14:formula1>
            <xm:f>PERKARA!$A$5:$A$104</xm:f>
          </x14:formula1>
          <xm:sqref>F5:F124</xm:sqref>
        </x14:dataValidation>
        <x14:dataValidation type="list" xr:uid="{00000000-0002-0000-0A00-000003000000}">
          <x14:formula1>
            <xm:f>MASTER!$G$5:$G$10</xm:f>
          </x14:formula1>
          <xm:sqref>L5:L124</xm:sqref>
        </x14:dataValidation>
        <x14:dataValidation type="list" xr:uid="{00000000-0002-0000-0A00-000004000000}">
          <x14:formula1>
            <xm:f>MASTER!$M$5:$M$8</xm:f>
          </x14:formula1>
          <xm:sqref>M5:M124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1"/>
  <sheetViews>
    <sheetView showGridLines="0" topLeftCell="A16" workbookViewId="0">
      <selection sqref="A1:N2"/>
    </sheetView>
  </sheetViews>
  <sheetFormatPr defaultRowHeight="13.8"/>
  <cols>
    <col min="1" max="1" width="34" customWidth="1"/>
    <col min="2" max="4" width="19" customWidth="1"/>
    <col min="5" max="5" width="21" customWidth="1"/>
    <col min="6" max="6" width="19" customWidth="1"/>
    <col min="7" max="7" width="22" customWidth="1"/>
    <col min="8" max="8" width="4" customWidth="1"/>
    <col min="9" max="9" width="23" customWidth="1"/>
    <col min="10" max="10" width="26" customWidth="1"/>
    <col min="11" max="11" width="25" customWidth="1"/>
    <col min="12" max="12" width="23" customWidth="1"/>
    <col min="13" max="13" width="22" customWidth="1"/>
    <col min="14" max="14" width="23" customWidth="1"/>
  </cols>
  <sheetData>
    <row r="1" spans="1:14" ht="25.05" customHeight="1">
      <c r="A1" s="237" t="s">
        <v>209</v>
      </c>
      <c r="B1" s="237" t="s">
        <v>209</v>
      </c>
      <c r="C1" s="237" t="s">
        <v>209</v>
      </c>
      <c r="D1" s="237" t="s">
        <v>209</v>
      </c>
      <c r="E1" s="237" t="s">
        <v>209</v>
      </c>
      <c r="F1" s="237" t="s">
        <v>209</v>
      </c>
      <c r="G1" s="237" t="s">
        <v>209</v>
      </c>
      <c r="H1" s="237" t="s">
        <v>209</v>
      </c>
      <c r="I1" s="237" t="s">
        <v>209</v>
      </c>
      <c r="J1" s="237" t="s">
        <v>209</v>
      </c>
      <c r="K1" s="237" t="s">
        <v>209</v>
      </c>
      <c r="L1" s="237" t="s">
        <v>209</v>
      </c>
      <c r="M1" s="237" t="s">
        <v>209</v>
      </c>
      <c r="N1" s="237" t="s">
        <v>209</v>
      </c>
    </row>
    <row r="2" spans="1:14" ht="25.05" customHeight="1">
      <c r="A2" s="237" t="s">
        <v>209</v>
      </c>
      <c r="B2" s="237" t="s">
        <v>209</v>
      </c>
      <c r="C2" s="237" t="s">
        <v>209</v>
      </c>
      <c r="D2" s="237" t="s">
        <v>209</v>
      </c>
      <c r="E2" s="237" t="s">
        <v>209</v>
      </c>
      <c r="F2" s="237" t="s">
        <v>209</v>
      </c>
      <c r="G2" s="237" t="s">
        <v>209</v>
      </c>
      <c r="H2" s="237" t="s">
        <v>209</v>
      </c>
      <c r="I2" s="237" t="s">
        <v>209</v>
      </c>
      <c r="J2" s="237" t="s">
        <v>209</v>
      </c>
      <c r="K2" s="237" t="s">
        <v>209</v>
      </c>
      <c r="L2" s="237" t="s">
        <v>209</v>
      </c>
      <c r="M2" s="237" t="s">
        <v>209</v>
      </c>
      <c r="N2" s="237" t="s">
        <v>209</v>
      </c>
    </row>
    <row r="3" spans="1:14" ht="22.95" customHeight="1">
      <c r="A3" s="236" t="s">
        <v>210</v>
      </c>
      <c r="B3" s="236" t="s">
        <v>210</v>
      </c>
      <c r="C3" s="236" t="s">
        <v>210</v>
      </c>
      <c r="D3" s="236" t="s">
        <v>210</v>
      </c>
      <c r="E3" s="236" t="s">
        <v>210</v>
      </c>
      <c r="F3" s="236" t="s">
        <v>210</v>
      </c>
      <c r="G3" s="236" t="s">
        <v>210</v>
      </c>
      <c r="H3" s="236" t="s">
        <v>210</v>
      </c>
      <c r="I3" s="236" t="s">
        <v>210</v>
      </c>
      <c r="J3" s="236" t="s">
        <v>210</v>
      </c>
      <c r="K3" s="236" t="s">
        <v>210</v>
      </c>
      <c r="L3" s="236" t="s">
        <v>210</v>
      </c>
      <c r="M3" s="236" t="s">
        <v>210</v>
      </c>
      <c r="N3" s="236" t="s">
        <v>210</v>
      </c>
    </row>
    <row r="4" spans="1:14">
      <c r="A4" s="13" t="s">
        <v>211</v>
      </c>
      <c r="B4" s="14">
        <f>DASHBOARD!B4</f>
        <v>2026</v>
      </c>
    </row>
    <row r="6" spans="1:14" ht="25.05" customHeight="1">
      <c r="A6" s="241" t="s">
        <v>212</v>
      </c>
      <c r="B6" s="241" t="s">
        <v>212</v>
      </c>
      <c r="C6" s="241" t="s">
        <v>212</v>
      </c>
      <c r="D6" s="241" t="s">
        <v>212</v>
      </c>
      <c r="E6" s="241" t="s">
        <v>212</v>
      </c>
      <c r="F6" s="241" t="s">
        <v>212</v>
      </c>
      <c r="G6" s="241" t="s">
        <v>212</v>
      </c>
      <c r="I6" s="241" t="s">
        <v>213</v>
      </c>
      <c r="J6" s="241" t="s">
        <v>213</v>
      </c>
      <c r="K6" s="241" t="s">
        <v>213</v>
      </c>
      <c r="L6" s="241" t="s">
        <v>213</v>
      </c>
      <c r="M6" s="241" t="s">
        <v>213</v>
      </c>
      <c r="N6" s="241" t="s">
        <v>213</v>
      </c>
    </row>
    <row r="7" spans="1:14" ht="37.049999999999997" customHeight="1">
      <c r="A7" s="7" t="s">
        <v>214</v>
      </c>
      <c r="B7" s="7" t="s">
        <v>215</v>
      </c>
      <c r="C7" s="7" t="s">
        <v>216</v>
      </c>
      <c r="D7" s="7" t="s">
        <v>217</v>
      </c>
      <c r="E7" s="7" t="s">
        <v>218</v>
      </c>
      <c r="F7" s="7" t="s">
        <v>219</v>
      </c>
      <c r="G7" s="7" t="s">
        <v>220</v>
      </c>
      <c r="I7" s="7" t="s">
        <v>221</v>
      </c>
      <c r="J7" s="7" t="s">
        <v>222</v>
      </c>
      <c r="K7" s="7" t="s">
        <v>223</v>
      </c>
      <c r="L7" s="7" t="s">
        <v>224</v>
      </c>
      <c r="M7" s="7" t="s">
        <v>225</v>
      </c>
      <c r="N7" s="7" t="s">
        <v>226</v>
      </c>
    </row>
    <row r="8" spans="1:14" ht="31.05" customHeight="1">
      <c r="A8" t="str">
        <f>MASTER!A5</f>
        <v>Fajar Roni</v>
      </c>
      <c r="B8" s="72">
        <f>SALDO_AWAL_2026!B22</f>
        <v>0</v>
      </c>
      <c r="C8" s="73">
        <f>SUMIFS(PARTNER!$H$5:$H$124,PARTNER!$D$5:$D$124,$A8,PARTNER!$E$5:$E$124,"Setoran Modal",PARTNER!$B$5:$B$124,"&gt;="&amp;DATE($B$4,1,1),PARTNER!$B$5:$B$124,"&lt;"&amp;DATE($B$4+1,1,1))</f>
        <v>0</v>
      </c>
      <c r="D8" s="73">
        <f>SUMIFS(PARTNER!$H$5:$H$124,PARTNER!$E$5:$E$124,"Alokasi Laba",PARTNER!$D$5:$D$124,$A8,PARTNER!$B$5:$B$124,"&gt;="&amp;DATE($B$4,1,1),PARTNER!$B$5:$B$124,"&lt;"&amp;DATE($B$4+1,1,1))+SUMIFS(PARTNER!$H$5:$H$124,PARTNER!$E$5:$E$124,"Pembayaran Bagi Hasil",PARTNER!$D$5:$D$124,$A8,PARTNER!$B$5:$B$124,"&gt;="&amp;DATE($B$4,1,1),PARTNER!$B$5:$B$124,"&lt;"&amp;DATE($B$4+1,1,1))</f>
        <v>9000000</v>
      </c>
      <c r="E8" s="73">
        <f>SUMIFS(PARTNER!$I$5:$I$124,PARTNER!$D$5:$D$124,$A8,PARTNER!$E$5:$E$124,"Prive",PARTNER!$V$5:$V$124,"&gt;="&amp;DATE($B$4,1,1),PARTNER!$V$5:$V$124,"&lt;"&amp;DATE($B$4+1,1,1))+SUMIFS(PARTNER!$I$5:$I$124,PARTNER!$D$5:$D$124,$A8,PARTNER!$E$5:$E$124,"Pembayaran Bagi Hasil",PARTNER!$V$5:$V$124,"&gt;="&amp;DATE($B$4,1,1),PARTNER!$V$5:$V$124,"&lt;"&amp;DATE($B$4+1,1,1))</f>
        <v>9000000</v>
      </c>
      <c r="F8" s="73">
        <f>SUMIFS(PARTNER!$H$5:$H$124,PARTNER!$D$5:$D$124,$A8,PARTNER!$E$5:$E$124,"Koreksi",PARTNER!$B$5:$B$124,"&gt;="&amp;DATE($B$4,1,1),PARTNER!$B$5:$B$124,"&lt;"&amp;DATE($B$4+1,1,1))-SUMIFS(PARTNER!$I$5:$I$124,PARTNER!$D$5:$D$124,$A8,PARTNER!$E$5:$E$124,"Koreksi",PARTNER!$B$5:$B$124,"&gt;="&amp;DATE($B$4,1,1),PARTNER!$B$5:$B$124,"&lt;"&amp;DATE($B$4+1,1,1))</f>
        <v>0</v>
      </c>
      <c r="G8" s="73">
        <f>B8+C8+D8-E8+F8</f>
        <v>0</v>
      </c>
      <c r="I8" s="11">
        <f>SALDO_AWAL_2026!B21</f>
        <v>0</v>
      </c>
      <c r="J8" s="12">
        <f>LABA_RUGI!N26</f>
        <v>0</v>
      </c>
      <c r="K8" s="12">
        <f>SUM(D8:D10)</f>
        <v>9000000</v>
      </c>
      <c r="L8" s="12">
        <f>I8+J8-K8</f>
        <v>-9000000</v>
      </c>
      <c r="M8" s="12">
        <f>G11</f>
        <v>0</v>
      </c>
      <c r="N8" s="17">
        <f>L8+M8</f>
        <v>-9000000</v>
      </c>
    </row>
    <row r="9" spans="1:14">
      <c r="A9" t="str">
        <f>MASTER!A6</f>
        <v>Reza Evaldo Kusumah</v>
      </c>
      <c r="B9" s="72">
        <f>SALDO_AWAL_2026!B23</f>
        <v>0</v>
      </c>
      <c r="C9" s="73">
        <f>SUMIFS(PARTNER!$H$5:$H$124,PARTNER!$D$5:$D$124,$A9,PARTNER!$E$5:$E$124,"Setoran Modal",PARTNER!$B$5:$B$124,"&gt;="&amp;DATE($B$4,1,1),PARTNER!$B$5:$B$124,"&lt;"&amp;DATE($B$4+1,1,1))</f>
        <v>0</v>
      </c>
      <c r="D9" s="73">
        <f>SUMIFS(PARTNER!$H$5:$H$124,PARTNER!$E$5:$E$124,"Alokasi Laba",PARTNER!$D$5:$D$124,$A9,PARTNER!$B$5:$B$124,"&gt;="&amp;DATE($B$4,1,1),PARTNER!$B$5:$B$124,"&lt;"&amp;DATE($B$4+1,1,1))+SUMIFS(PARTNER!$H$5:$H$124,PARTNER!$E$5:$E$124,"Pembayaran Bagi Hasil",PARTNER!$D$5:$D$124,$A9,PARTNER!$B$5:$B$124,"&gt;="&amp;DATE($B$4,1,1),PARTNER!$B$5:$B$124,"&lt;"&amp;DATE($B$4+1,1,1))</f>
        <v>0</v>
      </c>
      <c r="E9" s="73">
        <f>SUMIFS(PARTNER!$I$5:$I$124,PARTNER!$D$5:$D$124,$A9,PARTNER!$E$5:$E$124,"Prive",PARTNER!$V$5:$V$124,"&gt;="&amp;DATE($B$4,1,1),PARTNER!$V$5:$V$124,"&lt;"&amp;DATE($B$4+1,1,1))+SUMIFS(PARTNER!$I$5:$I$124,PARTNER!$D$5:$D$124,$A9,PARTNER!$E$5:$E$124,"Pembayaran Bagi Hasil",PARTNER!$V$5:$V$124,"&gt;="&amp;DATE($B$4,1,1),PARTNER!$V$5:$V$124,"&lt;"&amp;DATE($B$4+1,1,1))</f>
        <v>0</v>
      </c>
      <c r="F9" s="73">
        <f>SUMIFS(PARTNER!$H$5:$H$124,PARTNER!$D$5:$D$124,$A9,PARTNER!$E$5:$E$124,"Koreksi",PARTNER!$B$5:$B$124,"&gt;="&amp;DATE($B$4,1,1),PARTNER!$B$5:$B$124,"&lt;"&amp;DATE($B$4+1,1,1))-SUMIFS(PARTNER!$I$5:$I$124,PARTNER!$D$5:$D$124,$A9,PARTNER!$E$5:$E$124,"Koreksi",PARTNER!$B$5:$B$124,"&gt;="&amp;DATE($B$4,1,1),PARTNER!$B$5:$B$124,"&lt;"&amp;DATE($B$4+1,1,1))</f>
        <v>0</v>
      </c>
      <c r="G9" s="73">
        <f>B9+C9+D9-E9+F9</f>
        <v>0</v>
      </c>
    </row>
    <row r="10" spans="1:14">
      <c r="A10" t="str">
        <f>MASTER!A7</f>
        <v>Anggara Putra</v>
      </c>
      <c r="B10" s="72">
        <f>SALDO_AWAL_2026!B24</f>
        <v>0</v>
      </c>
      <c r="C10" s="73">
        <f>SUMIFS(PARTNER!$H$5:$H$124,PARTNER!$D$5:$D$124,$A10,PARTNER!$E$5:$E$124,"Setoran Modal",PARTNER!$B$5:$B$124,"&gt;="&amp;DATE($B$4,1,1),PARTNER!$B$5:$B$124,"&lt;"&amp;DATE($B$4+1,1,1))</f>
        <v>0</v>
      </c>
      <c r="D10" s="73">
        <f>SUMIFS(PARTNER!$H$5:$H$124,PARTNER!$E$5:$E$124,"Alokasi Laba",PARTNER!$D$5:$D$124,$A10,PARTNER!$B$5:$B$124,"&gt;="&amp;DATE($B$4,1,1),PARTNER!$B$5:$B$124,"&lt;"&amp;DATE($B$4+1,1,1))+SUMIFS(PARTNER!$H$5:$H$124,PARTNER!$E$5:$E$124,"Pembayaran Bagi Hasil",PARTNER!$D$5:$D$124,$A10,PARTNER!$B$5:$B$124,"&gt;="&amp;DATE($B$4,1,1),PARTNER!$B$5:$B$124,"&lt;"&amp;DATE($B$4+1,1,1))</f>
        <v>0</v>
      </c>
      <c r="E10" s="73">
        <f>SUMIFS(PARTNER!$I$5:$I$124,PARTNER!$D$5:$D$124,$A10,PARTNER!$E$5:$E$124,"Prive",PARTNER!$V$5:$V$124,"&gt;="&amp;DATE($B$4,1,1),PARTNER!$V$5:$V$124,"&lt;"&amp;DATE($B$4+1,1,1))+SUMIFS(PARTNER!$I$5:$I$124,PARTNER!$D$5:$D$124,$A10,PARTNER!$E$5:$E$124,"Pembayaran Bagi Hasil",PARTNER!$V$5:$V$124,"&gt;="&amp;DATE($B$4,1,1),PARTNER!$V$5:$V$124,"&lt;"&amp;DATE($B$4+1,1,1))</f>
        <v>0</v>
      </c>
      <c r="F10" s="73">
        <f>SUMIFS(PARTNER!$H$5:$H$124,PARTNER!$D$5:$D$124,$A10,PARTNER!$E$5:$E$124,"Koreksi",PARTNER!$B$5:$B$124,"&gt;="&amp;DATE($B$4,1,1),PARTNER!$B$5:$B$124,"&lt;"&amp;DATE($B$4+1,1,1))-SUMIFS(PARTNER!$I$5:$I$124,PARTNER!$D$5:$D$124,$A10,PARTNER!$E$5:$E$124,"Koreksi",PARTNER!$B$5:$B$124,"&gt;="&amp;DATE($B$4,1,1),PARTNER!$B$5:$B$124,"&lt;"&amp;DATE($B$4+1,1,1))</f>
        <v>0</v>
      </c>
      <c r="G10" s="73">
        <f>B10+C10+D10-E10+F10</f>
        <v>0</v>
      </c>
      <c r="I10" s="360" t="s">
        <v>227</v>
      </c>
      <c r="J10" s="361" t="s">
        <v>227</v>
      </c>
      <c r="K10" s="361" t="s">
        <v>227</v>
      </c>
      <c r="L10" s="361" t="s">
        <v>227</v>
      </c>
      <c r="M10" s="361" t="s">
        <v>227</v>
      </c>
      <c r="N10" s="362" t="s">
        <v>227</v>
      </c>
    </row>
    <row r="11" spans="1:14">
      <c r="A11" s="15" t="s">
        <v>228</v>
      </c>
      <c r="B11" s="16">
        <f t="shared" ref="B11:G11" si="0">SUM(B8:B10)</f>
        <v>0</v>
      </c>
      <c r="C11" s="16">
        <f t="shared" si="0"/>
        <v>0</v>
      </c>
      <c r="D11" s="16">
        <f t="shared" si="0"/>
        <v>9000000</v>
      </c>
      <c r="E11" s="16">
        <f t="shared" si="0"/>
        <v>9000000</v>
      </c>
      <c r="F11" s="16">
        <f t="shared" si="0"/>
        <v>0</v>
      </c>
      <c r="G11" s="16">
        <f t="shared" si="0"/>
        <v>0</v>
      </c>
      <c r="I11" s="363" t="s">
        <v>227</v>
      </c>
      <c r="J11" s="364" t="s">
        <v>227</v>
      </c>
      <c r="K11" s="364" t="s">
        <v>227</v>
      </c>
      <c r="L11" s="364" t="s">
        <v>227</v>
      </c>
      <c r="M11" s="364" t="s">
        <v>227</v>
      </c>
      <c r="N11" s="365" t="s">
        <v>227</v>
      </c>
    </row>
    <row r="12" spans="1:14">
      <c r="I12" s="366" t="s">
        <v>227</v>
      </c>
      <c r="J12" s="367" t="s">
        <v>227</v>
      </c>
      <c r="K12" s="367" t="s">
        <v>227</v>
      </c>
      <c r="L12" s="367" t="s">
        <v>227</v>
      </c>
      <c r="M12" s="367" t="s">
        <v>227</v>
      </c>
      <c r="N12" s="368" t="s">
        <v>227</v>
      </c>
    </row>
    <row r="15" spans="1:14" ht="25.05" customHeight="1">
      <c r="A15" s="241" t="s">
        <v>229</v>
      </c>
      <c r="B15" s="241" t="s">
        <v>229</v>
      </c>
      <c r="C15" s="241" t="s">
        <v>229</v>
      </c>
      <c r="D15" s="241" t="s">
        <v>229</v>
      </c>
      <c r="E15" s="241" t="s">
        <v>229</v>
      </c>
      <c r="F15" s="241" t="s">
        <v>229</v>
      </c>
      <c r="G15" s="241" t="s">
        <v>229</v>
      </c>
      <c r="H15" s="241" t="s">
        <v>229</v>
      </c>
      <c r="I15" s="241" t="s">
        <v>229</v>
      </c>
      <c r="J15" s="241" t="s">
        <v>229</v>
      </c>
      <c r="K15" s="241" t="s">
        <v>229</v>
      </c>
      <c r="L15" s="241" t="s">
        <v>229</v>
      </c>
      <c r="M15" s="241" t="s">
        <v>229</v>
      </c>
      <c r="N15" s="241" t="s">
        <v>229</v>
      </c>
    </row>
    <row r="16" spans="1:14" ht="37.049999999999997" customHeight="1">
      <c r="A16" s="7" t="s">
        <v>230</v>
      </c>
      <c r="B16" s="7" t="s">
        <v>231</v>
      </c>
      <c r="C16" s="7" t="s">
        <v>232</v>
      </c>
      <c r="D16" s="7" t="s">
        <v>233</v>
      </c>
      <c r="E16" s="7" t="s">
        <v>234</v>
      </c>
      <c r="F16" s="7" t="s">
        <v>235</v>
      </c>
      <c r="G16" s="7" t="s">
        <v>236</v>
      </c>
      <c r="H16" s="7" t="s">
        <v>237</v>
      </c>
      <c r="I16" s="7" t="s">
        <v>238</v>
      </c>
      <c r="J16" s="7" t="s">
        <v>239</v>
      </c>
      <c r="K16" s="7" t="s">
        <v>240</v>
      </c>
      <c r="L16" s="7" t="s">
        <v>241</v>
      </c>
      <c r="M16" s="7" t="s">
        <v>242</v>
      </c>
      <c r="N16" s="7" t="s">
        <v>243</v>
      </c>
    </row>
    <row r="17" spans="1:14">
      <c r="A17" s="18" t="s">
        <v>244</v>
      </c>
      <c r="B17" s="88">
        <f ca="1">IF(1&gt;MASTER!$AF$15,"",SUM(SUM($B$8:$B$10)+$I$8))</f>
        <v>0</v>
      </c>
      <c r="C17" s="88"/>
      <c r="D17" s="88"/>
      <c r="E17" s="88"/>
      <c r="F17" s="88"/>
      <c r="G17" s="88"/>
      <c r="H17" s="88"/>
      <c r="I17" s="88"/>
      <c r="J17" s="88"/>
      <c r="K17" s="88"/>
      <c r="L17" s="88"/>
      <c r="M17" s="88"/>
      <c r="N17" s="88">
        <f ca="1">B17</f>
        <v>0</v>
      </c>
    </row>
    <row r="18" spans="1:14">
      <c r="A18" t="s">
        <v>245</v>
      </c>
      <c r="B18" s="84">
        <f ca="1">IF(1&gt;MASTER!$AF$15,"",SUM(SUMIFS(PARTNER!$H$5:$H$124,PARTNER!$E$5:$E$124,"Setoran Modal",PARTNER!$B$5:$B$124,"&gt;="&amp;DATE($B$4,1,1),PARTNER!$B$5:$B$124,"&lt;"&amp;DATE($B$4,2,1))))</f>
        <v>0</v>
      </c>
      <c r="C18" s="84">
        <f ca="1">IF(2&gt;MASTER!$AF$15,"",SUM(SUMIFS(PARTNER!$H$5:$H$124,PARTNER!$E$5:$E$124,"Setoran Modal",PARTNER!$B$5:$B$124,"&gt;="&amp;DATE($B$4,2,1),PARTNER!$B$5:$B$124,"&lt;"&amp;DATE($B$4,3,1))))</f>
        <v>0</v>
      </c>
      <c r="D18" s="84">
        <f ca="1">IF(3&gt;MASTER!$AF$15,"",SUM(SUMIFS(PARTNER!$H$5:$H$124,PARTNER!$E$5:$E$124,"Setoran Modal",PARTNER!$B$5:$B$124,"&gt;="&amp;DATE($B$4,3,1),PARTNER!$B$5:$B$124,"&lt;"&amp;DATE($B$4,4,1))))</f>
        <v>0</v>
      </c>
      <c r="E18" s="84">
        <f ca="1">IF(4&gt;MASTER!$AF$15,"",SUM(SUMIFS(PARTNER!$H$5:$H$124,PARTNER!$E$5:$E$124,"Setoran Modal",PARTNER!$B$5:$B$124,"&gt;="&amp;DATE($B$4,4,1),PARTNER!$B$5:$B$124,"&lt;"&amp;DATE($B$4,5,1))))</f>
        <v>0</v>
      </c>
      <c r="F18" s="84">
        <f ca="1">IF(5&gt;MASTER!$AF$15,"",SUM(SUMIFS(PARTNER!$H$5:$H$124,PARTNER!$E$5:$E$124,"Setoran Modal",PARTNER!$B$5:$B$124,"&gt;="&amp;DATE($B$4,5,1),PARTNER!$B$5:$B$124,"&lt;"&amp;DATE($B$4,6,1))))</f>
        <v>0</v>
      </c>
      <c r="G18" s="84">
        <f ca="1">IF(6&gt;MASTER!$AF$15,"",SUM(SUMIFS(PARTNER!$H$5:$H$124,PARTNER!$E$5:$E$124,"Setoran Modal",PARTNER!$B$5:$B$124,"&gt;="&amp;DATE($B$4,6,1),PARTNER!$B$5:$B$124,"&lt;"&amp;DATE($B$4,7,1))))</f>
        <v>0</v>
      </c>
      <c r="H18" s="84">
        <f ca="1">IF(7&gt;MASTER!$AF$15,"",SUM(SUMIFS(PARTNER!$H$5:$H$124,PARTNER!$E$5:$E$124,"Setoran Modal",PARTNER!$B$5:$B$124,"&gt;="&amp;DATE($B$4,7,1),PARTNER!$B$5:$B$124,"&lt;"&amp;DATE($B$4,8,1))))</f>
        <v>0</v>
      </c>
      <c r="I18" s="84">
        <f ca="1">IF(8&gt;MASTER!$AF$15,"",SUM(SUMIFS(PARTNER!$H$5:$H$124,PARTNER!$E$5:$E$124,"Setoran Modal",PARTNER!$B$5:$B$124,"&gt;="&amp;DATE($B$4,8,1),PARTNER!$B$5:$B$124,"&lt;"&amp;DATE($B$4,9,1))))</f>
        <v>0</v>
      </c>
      <c r="J18" s="84" t="str">
        <f ca="1">IF(9&gt;MASTER!$AF$15,"",SUM(SUMIFS(PARTNER!$H$5:$H$124,PARTNER!$E$5:$E$124,"Setoran Modal",PARTNER!$B$5:$B$124,"&gt;="&amp;DATE($B$4,9,1),PARTNER!$B$5:$B$124,"&lt;"&amp;DATE($B$4,10,1))))</f>
        <v/>
      </c>
      <c r="K18" s="84" t="str">
        <f ca="1">IF(10&gt;MASTER!$AF$15,"",SUM(SUMIFS(PARTNER!$H$5:$H$124,PARTNER!$E$5:$E$124,"Setoran Modal",PARTNER!$B$5:$B$124,"&gt;="&amp;DATE($B$4,10,1),PARTNER!$B$5:$B$124,"&lt;"&amp;DATE($B$4,11,1))))</f>
        <v/>
      </c>
      <c r="L18" s="84" t="str">
        <f ca="1">IF(11&gt;MASTER!$AF$15,"",SUM(SUMIFS(PARTNER!$H$5:$H$124,PARTNER!$E$5:$E$124,"Setoran Modal",PARTNER!$B$5:$B$124,"&gt;="&amp;DATE($B$4,11,1),PARTNER!$B$5:$B$124,"&lt;"&amp;DATE($B$4,12,1))))</f>
        <v/>
      </c>
      <c r="M18" s="84" t="str">
        <f ca="1">IF(12&gt;MASTER!$AF$15,"",SUM(SUMIFS(PARTNER!$H$5:$H$124,PARTNER!$E$5:$E$124,"Setoran Modal",PARTNER!$B$5:$B$124,"&gt;="&amp;DATE($B$4,12,1),PARTNER!$B$5:$B$124,"&lt;"&amp;DATE($B$4,13,1))))</f>
        <v/>
      </c>
      <c r="N18" s="84">
        <f ca="1">SUM(B18:M18)</f>
        <v>0</v>
      </c>
    </row>
    <row r="19" spans="1:14">
      <c r="A19" t="s">
        <v>246</v>
      </c>
      <c r="B19" s="84">
        <f ca="1">IF(1&gt;MASTER!$AF$15,"",SUM(LABA_RUGI!B26))</f>
        <v>0</v>
      </c>
      <c r="C19" s="84">
        <f ca="1">IF(2&gt;MASTER!$AF$15,"",SUM(LABA_RUGI!C26))</f>
        <v>0</v>
      </c>
      <c r="D19" s="84">
        <f ca="1">IF(3&gt;MASTER!$AF$15,"",SUM(LABA_RUGI!D26))</f>
        <v>0</v>
      </c>
      <c r="E19" s="84">
        <f ca="1">IF(4&gt;MASTER!$AF$15,"",SUM(LABA_RUGI!E26))</f>
        <v>0</v>
      </c>
      <c r="F19" s="84">
        <f ca="1">IF(5&gt;MASTER!$AF$15,"",SUM(LABA_RUGI!F26))</f>
        <v>0</v>
      </c>
      <c r="G19" s="84">
        <f ca="1">IF(6&gt;MASTER!$AF$15,"",SUM(LABA_RUGI!G26))</f>
        <v>0</v>
      </c>
      <c r="H19" s="84">
        <f ca="1">IF(7&gt;MASTER!$AF$15,"",SUM(LABA_RUGI!H26))</f>
        <v>0</v>
      </c>
      <c r="I19" s="84">
        <f ca="1">IF(8&gt;MASTER!$AF$15,"",SUM(LABA_RUGI!I26))</f>
        <v>0</v>
      </c>
      <c r="J19" s="84" t="str">
        <f ca="1">IF(9&gt;MASTER!$AF$15,"",SUM(LABA_RUGI!J26))</f>
        <v/>
      </c>
      <c r="K19" s="84" t="str">
        <f ca="1">IF(10&gt;MASTER!$AF$15,"",SUM(LABA_RUGI!K26))</f>
        <v/>
      </c>
      <c r="L19" s="84" t="str">
        <f ca="1">IF(11&gt;MASTER!$AF$15,"",SUM(LABA_RUGI!L26))</f>
        <v/>
      </c>
      <c r="M19" s="84" t="str">
        <f ca="1">IF(12&gt;MASTER!$AF$15,"",SUM(LABA_RUGI!M26))</f>
        <v/>
      </c>
      <c r="N19" s="84">
        <f ca="1">SUM(B19:M19)</f>
        <v>0</v>
      </c>
    </row>
    <row r="20" spans="1:14">
      <c r="A20" t="s">
        <v>247</v>
      </c>
      <c r="B20" s="84">
        <f ca="1">IF(1&gt;MASTER!$AF$15,"",SUM(SUMIFS(PARTNER!$I$5:$I$124,PARTNER!$E$5:$E$124,MASTER!$Y$7,PARTNER!$V$5:$V$124,"&gt;="&amp;DATE($B$4,1,1),PARTNER!$V$5:$V$124,"&lt;"&amp;DATE($B$4,2,1))+SUMIFS(PARTNER!$I$5:$I$124,PARTNER!$E$5:$E$124,MASTER!$Y$8,PARTNER!$V$5:$V$124,"&gt;="&amp;DATE($B$4,1,1),PARTNER!$V$5:$V$124,"&lt;"&amp;DATE($B$4,2,1))))</f>
        <v>0</v>
      </c>
      <c r="C20" s="84">
        <f ca="1">IF(2&gt;MASTER!$AF$15,"",SUM(SUMIFS(PARTNER!$I$5:$I$124,PARTNER!$E$5:$E$124,MASTER!$Y$7,PARTNER!$V$5:$V$124,"&gt;="&amp;DATE($B$4,2,1),PARTNER!$V$5:$V$124,"&lt;"&amp;DATE($B$4,3,1))+SUMIFS(PARTNER!$I$5:$I$124,PARTNER!$E$5:$E$124,MASTER!$Y$8,PARTNER!$V$5:$V$124,"&gt;="&amp;DATE($B$4,2,1),PARTNER!$V$5:$V$124,"&lt;"&amp;DATE($B$4,3,1))))</f>
        <v>0</v>
      </c>
      <c r="D20" s="84">
        <f ca="1">IF(3&gt;MASTER!$AF$15,"",SUM(SUMIFS(PARTNER!$I$5:$I$124,PARTNER!$E$5:$E$124,MASTER!$Y$7,PARTNER!$V$5:$V$124,"&gt;="&amp;DATE($B$4,3,1),PARTNER!$V$5:$V$124,"&lt;"&amp;DATE($B$4,4,1))+SUMIFS(PARTNER!$I$5:$I$124,PARTNER!$E$5:$E$124,MASTER!$Y$8,PARTNER!$V$5:$V$124,"&gt;="&amp;DATE($B$4,3,1),PARTNER!$V$5:$V$124,"&lt;"&amp;DATE($B$4,4,1))))</f>
        <v>0</v>
      </c>
      <c r="E20" s="84">
        <f ca="1">IF(4&gt;MASTER!$AF$15,"",SUM(SUMIFS(PARTNER!$I$5:$I$124,PARTNER!$E$5:$E$124,MASTER!$Y$7,PARTNER!$V$5:$V$124,"&gt;="&amp;DATE($B$4,4,1),PARTNER!$V$5:$V$124,"&lt;"&amp;DATE($B$4,5,1))+SUMIFS(PARTNER!$I$5:$I$124,PARTNER!$E$5:$E$124,MASTER!$Y$8,PARTNER!$V$5:$V$124,"&gt;="&amp;DATE($B$4,4,1),PARTNER!$V$5:$V$124,"&lt;"&amp;DATE($B$4,5,1))))</f>
        <v>0</v>
      </c>
      <c r="F20" s="84">
        <f ca="1">IF(5&gt;MASTER!$AF$15,"",SUM(SUMIFS(PARTNER!$I$5:$I$124,PARTNER!$E$5:$E$124,MASTER!$Y$7,PARTNER!$V$5:$V$124,"&gt;="&amp;DATE($B$4,5,1),PARTNER!$V$5:$V$124,"&lt;"&amp;DATE($B$4,6,1))+SUMIFS(PARTNER!$I$5:$I$124,PARTNER!$E$5:$E$124,MASTER!$Y$8,PARTNER!$V$5:$V$124,"&gt;="&amp;DATE($B$4,5,1),PARTNER!$V$5:$V$124,"&lt;"&amp;DATE($B$4,6,1))))</f>
        <v>0</v>
      </c>
      <c r="G20" s="84">
        <f ca="1">IF(6&gt;MASTER!$AF$15,"",SUM(SUMIFS(PARTNER!$I$5:$I$124,PARTNER!$E$5:$E$124,MASTER!$Y$7,PARTNER!$V$5:$V$124,"&gt;="&amp;DATE($B$4,6,1),PARTNER!$V$5:$V$124,"&lt;"&amp;DATE($B$4,7,1))+SUMIFS(PARTNER!$I$5:$I$124,PARTNER!$E$5:$E$124,MASTER!$Y$8,PARTNER!$V$5:$V$124,"&gt;="&amp;DATE($B$4,6,1),PARTNER!$V$5:$V$124,"&lt;"&amp;DATE($B$4,7,1))))</f>
        <v>0</v>
      </c>
      <c r="H20" s="84">
        <f ca="1">IF(7&gt;MASTER!$AF$15,"",SUM(SUMIFS(PARTNER!$I$5:$I$124,PARTNER!$E$5:$E$124,MASTER!$Y$7,PARTNER!$V$5:$V$124,"&gt;="&amp;DATE($B$4,7,1),PARTNER!$V$5:$V$124,"&lt;"&amp;DATE($B$4,8,1))+SUMIFS(PARTNER!$I$5:$I$124,PARTNER!$E$5:$E$124,MASTER!$Y$8,PARTNER!$V$5:$V$124,"&gt;="&amp;DATE($B$4,7,1),PARTNER!$V$5:$V$124,"&lt;"&amp;DATE($B$4,8,1))))</f>
        <v>9000000</v>
      </c>
      <c r="I20" s="84">
        <f ca="1">IF(8&gt;MASTER!$AF$15,"",SUM(SUMIFS(PARTNER!$I$5:$I$124,PARTNER!$E$5:$E$124,MASTER!$Y$7,PARTNER!$V$5:$V$124,"&gt;="&amp;DATE($B$4,8,1),PARTNER!$V$5:$V$124,"&lt;"&amp;DATE($B$4,9,1))+SUMIFS(PARTNER!$I$5:$I$124,PARTNER!$E$5:$E$124,MASTER!$Y$8,PARTNER!$V$5:$V$124,"&gt;="&amp;DATE($B$4,8,1),PARTNER!$V$5:$V$124,"&lt;"&amp;DATE($B$4,9,1))))</f>
        <v>0</v>
      </c>
      <c r="J20" s="84" t="str">
        <f ca="1">IF(9&gt;MASTER!$AF$15,"",SUM(SUMIFS(PARTNER!$I$5:$I$124,PARTNER!$E$5:$E$124,MASTER!$Y$7,PARTNER!$V$5:$V$124,"&gt;="&amp;DATE($B$4,9,1),PARTNER!$V$5:$V$124,"&lt;"&amp;DATE($B$4,10,1))+SUMIFS(PARTNER!$I$5:$I$124,PARTNER!$E$5:$E$124,MASTER!$Y$8,PARTNER!$V$5:$V$124,"&gt;="&amp;DATE($B$4,9,1),PARTNER!$V$5:$V$124,"&lt;"&amp;DATE($B$4,10,1))))</f>
        <v/>
      </c>
      <c r="K20" s="84" t="str">
        <f ca="1">IF(10&gt;MASTER!$AF$15,"",SUM(SUMIFS(PARTNER!$I$5:$I$124,PARTNER!$E$5:$E$124,MASTER!$Y$7,PARTNER!$V$5:$V$124,"&gt;="&amp;DATE($B$4,10,1),PARTNER!$V$5:$V$124,"&lt;"&amp;DATE($B$4,11,1))+SUMIFS(PARTNER!$I$5:$I$124,PARTNER!$E$5:$E$124,MASTER!$Y$8,PARTNER!$V$5:$V$124,"&gt;="&amp;DATE($B$4,10,1),PARTNER!$V$5:$V$124,"&lt;"&amp;DATE($B$4,11,1))))</f>
        <v/>
      </c>
      <c r="L20" s="84" t="str">
        <f ca="1">IF(11&gt;MASTER!$AF$15,"",SUM(SUMIFS(PARTNER!$I$5:$I$124,PARTNER!$E$5:$E$124,MASTER!$Y$7,PARTNER!$V$5:$V$124,"&gt;="&amp;DATE($B$4,11,1),PARTNER!$V$5:$V$124,"&lt;"&amp;DATE($B$4,12,1))+SUMIFS(PARTNER!$I$5:$I$124,PARTNER!$E$5:$E$124,MASTER!$Y$8,PARTNER!$V$5:$V$124,"&gt;="&amp;DATE($B$4,11,1),PARTNER!$V$5:$V$124,"&lt;"&amp;DATE($B$4,12,1))))</f>
        <v/>
      </c>
      <c r="M20" s="84" t="str">
        <f ca="1">IF(12&gt;MASTER!$AF$15,"",SUM(SUMIFS(PARTNER!$I$5:$I$124,PARTNER!$E$5:$E$124,MASTER!$Y$7,PARTNER!$V$5:$V$124,"&gt;="&amp;DATE($B$4,12,1),PARTNER!$V$5:$V$124,"&lt;"&amp;DATE($B$4,13,1))+SUMIFS(PARTNER!$I$5:$I$124,PARTNER!$E$5:$E$124,MASTER!$Y$8,PARTNER!$V$5:$V$124,"&gt;="&amp;DATE($B$4,12,1),PARTNER!$V$5:$V$124,"&lt;"&amp;DATE($B$4,13,1))))</f>
        <v/>
      </c>
      <c r="N20" s="84">
        <f ca="1">SUM(B20:M20)</f>
        <v>9000000</v>
      </c>
    </row>
    <row r="21" spans="1:14">
      <c r="A21" t="s">
        <v>248</v>
      </c>
      <c r="B21" s="84">
        <f ca="1">IF(1&gt;MASTER!$AF$15,"",SUM(SUMIFS(PARTNER!$H$5:$H$124,PARTNER!$E$5:$E$124,"Koreksi",PARTNER!$B$5:$B$124,"&gt;="&amp;DATE($B$4,1,1),PARTNER!$B$5:$B$124,"&lt;"&amp;DATE($B$4,2,1))-SUMIFS(PARTNER!$I$5:$I$124,PARTNER!$E$5:$E$124,"Koreksi",PARTNER!$B$5:$B$124,"&gt;="&amp;DATE($B$4,1,1),PARTNER!$B$5:$B$124,"&lt;"&amp;DATE($B$4,2,1))))</f>
        <v>0</v>
      </c>
      <c r="C21" s="84">
        <f ca="1">IF(2&gt;MASTER!$AF$15,"",SUM(SUMIFS(PARTNER!$H$5:$H$124,PARTNER!$E$5:$E$124,"Koreksi",PARTNER!$B$5:$B$124,"&gt;="&amp;DATE($B$4,2,1),PARTNER!$B$5:$B$124,"&lt;"&amp;DATE($B$4,3,1))-SUMIFS(PARTNER!$I$5:$I$124,PARTNER!$E$5:$E$124,"Koreksi",PARTNER!$B$5:$B$124,"&gt;="&amp;DATE($B$4,2,1),PARTNER!$B$5:$B$124,"&lt;"&amp;DATE($B$4,3,1))))</f>
        <v>0</v>
      </c>
      <c r="D21" s="84">
        <f ca="1">IF(3&gt;MASTER!$AF$15,"",SUM(SUMIFS(PARTNER!$H$5:$H$124,PARTNER!$E$5:$E$124,"Koreksi",PARTNER!$B$5:$B$124,"&gt;="&amp;DATE($B$4,3,1),PARTNER!$B$5:$B$124,"&lt;"&amp;DATE($B$4,4,1))-SUMIFS(PARTNER!$I$5:$I$124,PARTNER!$E$5:$E$124,"Koreksi",PARTNER!$B$5:$B$124,"&gt;="&amp;DATE($B$4,3,1),PARTNER!$B$5:$B$124,"&lt;"&amp;DATE($B$4,4,1))))</f>
        <v>0</v>
      </c>
      <c r="E21" s="84">
        <f ca="1">IF(4&gt;MASTER!$AF$15,"",SUM(SUMIFS(PARTNER!$H$5:$H$124,PARTNER!$E$5:$E$124,"Koreksi",PARTNER!$B$5:$B$124,"&gt;="&amp;DATE($B$4,4,1),PARTNER!$B$5:$B$124,"&lt;"&amp;DATE($B$4,5,1))-SUMIFS(PARTNER!$I$5:$I$124,PARTNER!$E$5:$E$124,"Koreksi",PARTNER!$B$5:$B$124,"&gt;="&amp;DATE($B$4,4,1),PARTNER!$B$5:$B$124,"&lt;"&amp;DATE($B$4,5,1))))</f>
        <v>0</v>
      </c>
      <c r="F21" s="84">
        <f ca="1">IF(5&gt;MASTER!$AF$15,"",SUM(SUMIFS(PARTNER!$H$5:$H$124,PARTNER!$E$5:$E$124,"Koreksi",PARTNER!$B$5:$B$124,"&gt;="&amp;DATE($B$4,5,1),PARTNER!$B$5:$B$124,"&lt;"&amp;DATE($B$4,6,1))-SUMIFS(PARTNER!$I$5:$I$124,PARTNER!$E$5:$E$124,"Koreksi",PARTNER!$B$5:$B$124,"&gt;="&amp;DATE($B$4,5,1),PARTNER!$B$5:$B$124,"&lt;"&amp;DATE($B$4,6,1))))</f>
        <v>0</v>
      </c>
      <c r="G21" s="84">
        <f ca="1">IF(6&gt;MASTER!$AF$15,"",SUM(SUMIFS(PARTNER!$H$5:$H$124,PARTNER!$E$5:$E$124,"Koreksi",PARTNER!$B$5:$B$124,"&gt;="&amp;DATE($B$4,6,1),PARTNER!$B$5:$B$124,"&lt;"&amp;DATE($B$4,7,1))-SUMIFS(PARTNER!$I$5:$I$124,PARTNER!$E$5:$E$124,"Koreksi",PARTNER!$B$5:$B$124,"&gt;="&amp;DATE($B$4,6,1),PARTNER!$B$5:$B$124,"&lt;"&amp;DATE($B$4,7,1))))</f>
        <v>0</v>
      </c>
      <c r="H21" s="84">
        <f ca="1">IF(7&gt;MASTER!$AF$15,"",SUM(SUMIFS(PARTNER!$H$5:$H$124,PARTNER!$E$5:$E$124,"Koreksi",PARTNER!$B$5:$B$124,"&gt;="&amp;DATE($B$4,7,1),PARTNER!$B$5:$B$124,"&lt;"&amp;DATE($B$4,8,1))-SUMIFS(PARTNER!$I$5:$I$124,PARTNER!$E$5:$E$124,"Koreksi",PARTNER!$B$5:$B$124,"&gt;="&amp;DATE($B$4,7,1),PARTNER!$B$5:$B$124,"&lt;"&amp;DATE($B$4,8,1))))</f>
        <v>0</v>
      </c>
      <c r="I21" s="84">
        <f ca="1">IF(8&gt;MASTER!$AF$15,"",SUM(SUMIFS(PARTNER!$H$5:$H$124,PARTNER!$E$5:$E$124,"Koreksi",PARTNER!$B$5:$B$124,"&gt;="&amp;DATE($B$4,8,1),PARTNER!$B$5:$B$124,"&lt;"&amp;DATE($B$4,9,1))-SUMIFS(PARTNER!$I$5:$I$124,PARTNER!$E$5:$E$124,"Koreksi",PARTNER!$B$5:$B$124,"&gt;="&amp;DATE($B$4,8,1),PARTNER!$B$5:$B$124,"&lt;"&amp;DATE($B$4,9,1))))</f>
        <v>0</v>
      </c>
      <c r="J21" s="84" t="str">
        <f ca="1">IF(9&gt;MASTER!$AF$15,"",SUM(SUMIFS(PARTNER!$H$5:$H$124,PARTNER!$E$5:$E$124,"Koreksi",PARTNER!$B$5:$B$124,"&gt;="&amp;DATE($B$4,9,1),PARTNER!$B$5:$B$124,"&lt;"&amp;DATE($B$4,10,1))-SUMIFS(PARTNER!$I$5:$I$124,PARTNER!$E$5:$E$124,"Koreksi",PARTNER!$B$5:$B$124,"&gt;="&amp;DATE($B$4,9,1),PARTNER!$B$5:$B$124,"&lt;"&amp;DATE($B$4,10,1))))</f>
        <v/>
      </c>
      <c r="K21" s="84" t="str">
        <f ca="1">IF(10&gt;MASTER!$AF$15,"",SUM(SUMIFS(PARTNER!$H$5:$H$124,PARTNER!$E$5:$E$124,"Koreksi",PARTNER!$B$5:$B$124,"&gt;="&amp;DATE($B$4,10,1),PARTNER!$B$5:$B$124,"&lt;"&amp;DATE($B$4,11,1))-SUMIFS(PARTNER!$I$5:$I$124,PARTNER!$E$5:$E$124,"Koreksi",PARTNER!$B$5:$B$124,"&gt;="&amp;DATE($B$4,10,1),PARTNER!$B$5:$B$124,"&lt;"&amp;DATE($B$4,11,1))))</f>
        <v/>
      </c>
      <c r="L21" s="84" t="str">
        <f ca="1">IF(11&gt;MASTER!$AF$15,"",SUM(SUMIFS(PARTNER!$H$5:$H$124,PARTNER!$E$5:$E$124,"Koreksi",PARTNER!$B$5:$B$124,"&gt;="&amp;DATE($B$4,11,1),PARTNER!$B$5:$B$124,"&lt;"&amp;DATE($B$4,12,1))-SUMIFS(PARTNER!$I$5:$I$124,PARTNER!$E$5:$E$124,"Koreksi",PARTNER!$B$5:$B$124,"&gt;="&amp;DATE($B$4,11,1),PARTNER!$B$5:$B$124,"&lt;"&amp;DATE($B$4,12,1))))</f>
        <v/>
      </c>
      <c r="M21" s="84" t="str">
        <f ca="1">IF(12&gt;MASTER!$AF$15,"",SUM(SUMIFS(PARTNER!$H$5:$H$124,PARTNER!$E$5:$E$124,"Koreksi",PARTNER!$B$5:$B$124,"&gt;="&amp;DATE($B$4,12,1),PARTNER!$B$5:$B$124,"&lt;"&amp;DATE($B$4,13,1))-SUMIFS(PARTNER!$I$5:$I$124,PARTNER!$E$5:$E$124,"Koreksi",PARTNER!$B$5:$B$124,"&gt;="&amp;DATE($B$4,12,1),PARTNER!$B$5:$B$124,"&lt;"&amp;DATE($B$4,13,1))))</f>
        <v/>
      </c>
      <c r="N21" s="84">
        <f ca="1">SUM(B21:M21)</f>
        <v>0</v>
      </c>
    </row>
    <row r="22" spans="1:14">
      <c r="A22" s="18" t="s">
        <v>249</v>
      </c>
      <c r="B22" s="88">
        <v>0</v>
      </c>
      <c r="C22" s="88"/>
      <c r="D22" s="88"/>
      <c r="E22" s="88"/>
      <c r="F22" s="88"/>
      <c r="G22" s="88"/>
      <c r="H22" s="88"/>
      <c r="I22" s="88"/>
      <c r="J22" s="88"/>
      <c r="K22" s="88"/>
      <c r="L22" s="88"/>
      <c r="M22" s="88"/>
      <c r="N22" s="88">
        <f>SUM(B22:M22)</f>
        <v>0</v>
      </c>
    </row>
    <row r="23" spans="1:14">
      <c r="A23" s="20" t="s">
        <v>250</v>
      </c>
      <c r="B23" s="89">
        <v>-1095908</v>
      </c>
      <c r="C23" s="89"/>
      <c r="D23" s="89"/>
      <c r="E23" s="89"/>
      <c r="F23" s="89"/>
      <c r="G23" s="89"/>
      <c r="H23" s="89"/>
      <c r="I23" s="89"/>
      <c r="J23" s="89"/>
      <c r="K23" s="89"/>
      <c r="L23" s="89"/>
      <c r="M23" s="89"/>
      <c r="N23" s="89">
        <f ca="1">INDEX(B23:M23,1,MASTER!$AF$15)</f>
        <v>0</v>
      </c>
    </row>
    <row r="26" spans="1:14" ht="25.05" customHeight="1">
      <c r="A26" s="241" t="s">
        <v>251</v>
      </c>
      <c r="B26" s="241" t="s">
        <v>251</v>
      </c>
      <c r="C26" s="241" t="s">
        <v>251</v>
      </c>
      <c r="D26" s="241" t="s">
        <v>251</v>
      </c>
      <c r="E26" s="241" t="s">
        <v>251</v>
      </c>
      <c r="F26" s="241" t="s">
        <v>251</v>
      </c>
      <c r="G26" s="241" t="s">
        <v>251</v>
      </c>
    </row>
    <row r="27" spans="1:14" ht="37.049999999999997" customHeight="1">
      <c r="A27" s="7" t="s">
        <v>252</v>
      </c>
      <c r="B27" s="7" t="s">
        <v>253</v>
      </c>
      <c r="C27" s="7" t="s">
        <v>254</v>
      </c>
      <c r="D27" s="7" t="s">
        <v>180</v>
      </c>
      <c r="E27" s="358" t="s">
        <v>255</v>
      </c>
      <c r="F27" s="358"/>
      <c r="G27" s="358"/>
    </row>
    <row r="28" spans="1:14" ht="31.05" customHeight="1">
      <c r="A28" s="21" t="s">
        <v>256</v>
      </c>
      <c r="B28" s="22">
        <f>ABS(SUMIFS(PEMASUKAN!$J$5:$J$204,PEMASUKAN!$M$5:$M$204,"Modal Partner",PEMASUKAN!$B$5:$B$204,"&gt;="&amp;DATE($B$4,1,1),PEMASUKAN!$B$5:$B$204,"&lt;"&amp;DATE($B$4+1,1,1))-SUM(C8:C10))</f>
        <v>0</v>
      </c>
      <c r="C28" s="21" t="s">
        <v>257</v>
      </c>
      <c r="D28" s="21" t="str">
        <f>IF(B28=0,"Sesuai","Periksa")</f>
        <v>Sesuai</v>
      </c>
      <c r="E28" s="359" t="s">
        <v>258</v>
      </c>
      <c r="F28" s="359"/>
      <c r="G28" s="359"/>
    </row>
    <row r="29" spans="1:14" ht="31.05" customHeight="1">
      <c r="A29" s="21" t="s">
        <v>259</v>
      </c>
      <c r="B29" s="22">
        <f ca="1">ABS(N8-N23)</f>
        <v>9000000</v>
      </c>
      <c r="C29" s="21" t="s">
        <v>260</v>
      </c>
      <c r="D29" s="21" t="str">
        <f ca="1">IF(B29=0,"Sesuai","Periksa")</f>
        <v>Periksa</v>
      </c>
      <c r="E29" s="359" t="s">
        <v>261</v>
      </c>
      <c r="F29" s="359"/>
      <c r="G29" s="359"/>
    </row>
    <row r="30" spans="1:14" ht="31.05" customHeight="1">
      <c r="A30" s="21" t="s">
        <v>262</v>
      </c>
      <c r="B30" s="21">
        <f>COUNTIF(G8:G10,"&lt;0")</f>
        <v>0</v>
      </c>
      <c r="C30" s="21" t="s">
        <v>263</v>
      </c>
      <c r="D30" s="21" t="str">
        <f>IF(B30=0,"Sesuai","Periksa")</f>
        <v>Sesuai</v>
      </c>
      <c r="E30" s="359" t="s">
        <v>264</v>
      </c>
      <c r="F30" s="359"/>
      <c r="G30" s="359"/>
    </row>
    <row r="31" spans="1:14" ht="31.05" customHeight="1">
      <c r="A31" s="23" t="s">
        <v>265</v>
      </c>
      <c r="B31" s="24">
        <f>IF(K8=0,0,MAX(K8-MAX(I8+J8,0),0))</f>
        <v>9000000</v>
      </c>
      <c r="C31" s="23" t="s">
        <v>263</v>
      </c>
      <c r="D31" s="23" t="str">
        <f>IF(B31=0,"Sesuai","Periksa")</f>
        <v>Periksa</v>
      </c>
      <c r="E31" s="357" t="s">
        <v>266</v>
      </c>
      <c r="F31" s="357"/>
      <c r="G31" s="357"/>
    </row>
  </sheetData>
  <mergeCells count="12">
    <mergeCell ref="E31:G31"/>
    <mergeCell ref="A1:N2"/>
    <mergeCell ref="A26:G26"/>
    <mergeCell ref="E27:G27"/>
    <mergeCell ref="E28:G28"/>
    <mergeCell ref="E29:G29"/>
    <mergeCell ref="E30:G30"/>
    <mergeCell ref="A3:N3"/>
    <mergeCell ref="A6:G6"/>
    <mergeCell ref="I6:N6"/>
    <mergeCell ref="I10:N12"/>
    <mergeCell ref="A15:N15"/>
  </mergeCells>
  <conditionalFormatting sqref="D28:D31">
    <cfRule type="containsText" dxfId="10" priority="2" operator="containsText" text="Lunas"/>
    <cfRule type="containsText" dxfId="9" priority="6" operator="containsText" text="Jatuh Tempo"/>
    <cfRule type="containsText" dxfId="8" priority="11" operator="containsText" text="Sebagian"/>
  </conditionalFormatting>
  <conditionalFormatting sqref="G8:G10">
    <cfRule type="cellIs" dxfId="7" priority="1"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workbookViewId="0">
      <selection sqref="A1:N2"/>
    </sheetView>
  </sheetViews>
  <sheetFormatPr defaultRowHeight="13.8"/>
  <cols>
    <col min="1" max="1" width="39" customWidth="1"/>
    <col min="2" max="13" width="17" customWidth="1"/>
    <col min="14" max="14" width="22" customWidth="1"/>
  </cols>
  <sheetData>
    <row r="1" spans="1:14" ht="25.05" customHeight="1">
      <c r="A1" s="237" t="s">
        <v>301</v>
      </c>
      <c r="B1" s="237" t="s">
        <v>301</v>
      </c>
      <c r="C1" s="237" t="s">
        <v>301</v>
      </c>
      <c r="D1" s="237" t="s">
        <v>301</v>
      </c>
      <c r="E1" s="237" t="s">
        <v>301</v>
      </c>
      <c r="F1" s="237" t="s">
        <v>301</v>
      </c>
      <c r="G1" s="237" t="s">
        <v>301</v>
      </c>
      <c r="H1" s="237" t="s">
        <v>301</v>
      </c>
      <c r="I1" s="237" t="s">
        <v>301</v>
      </c>
      <c r="J1" s="237" t="s">
        <v>301</v>
      </c>
      <c r="K1" s="237" t="s">
        <v>301</v>
      </c>
      <c r="L1" s="237" t="s">
        <v>301</v>
      </c>
      <c r="M1" s="237" t="s">
        <v>301</v>
      </c>
      <c r="N1" s="237" t="s">
        <v>301</v>
      </c>
    </row>
    <row r="2" spans="1:14" ht="25.05" customHeight="1">
      <c r="A2" s="237" t="s">
        <v>301</v>
      </c>
      <c r="B2" s="237" t="s">
        <v>301</v>
      </c>
      <c r="C2" s="237" t="s">
        <v>301</v>
      </c>
      <c r="D2" s="237" t="s">
        <v>301</v>
      </c>
      <c r="E2" s="237" t="s">
        <v>301</v>
      </c>
      <c r="F2" s="237" t="s">
        <v>301</v>
      </c>
      <c r="G2" s="237" t="s">
        <v>301</v>
      </c>
      <c r="H2" s="237" t="s">
        <v>301</v>
      </c>
      <c r="I2" s="237" t="s">
        <v>301</v>
      </c>
      <c r="J2" s="237" t="s">
        <v>301</v>
      </c>
      <c r="K2" s="237" t="s">
        <v>301</v>
      </c>
      <c r="L2" s="237" t="s">
        <v>301</v>
      </c>
      <c r="M2" s="237" t="s">
        <v>301</v>
      </c>
      <c r="N2" s="237" t="s">
        <v>301</v>
      </c>
    </row>
    <row r="3" spans="1:14" ht="22.95" customHeight="1">
      <c r="A3" s="236" t="s">
        <v>634</v>
      </c>
      <c r="B3" s="236" t="s">
        <v>634</v>
      </c>
      <c r="C3" s="236" t="s">
        <v>634</v>
      </c>
      <c r="D3" s="236" t="s">
        <v>634</v>
      </c>
      <c r="E3" s="236" t="s">
        <v>634</v>
      </c>
      <c r="F3" s="236" t="s">
        <v>634</v>
      </c>
      <c r="G3" s="236" t="s">
        <v>634</v>
      </c>
      <c r="H3" s="236" t="s">
        <v>634</v>
      </c>
      <c r="I3" s="236" t="s">
        <v>634</v>
      </c>
      <c r="J3" s="236" t="s">
        <v>634</v>
      </c>
      <c r="K3" s="236" t="s">
        <v>634</v>
      </c>
      <c r="L3" s="236" t="s">
        <v>634</v>
      </c>
      <c r="M3" s="236" t="s">
        <v>634</v>
      </c>
      <c r="N3" s="236" t="s">
        <v>634</v>
      </c>
    </row>
    <row r="5" spans="1:14" ht="37.049999999999997" customHeight="1">
      <c r="A5" s="7" t="s">
        <v>230</v>
      </c>
      <c r="B5" s="7" t="s">
        <v>231</v>
      </c>
      <c r="C5" s="7" t="s">
        <v>232</v>
      </c>
      <c r="D5" s="7" t="s">
        <v>233</v>
      </c>
      <c r="E5" s="7" t="s">
        <v>234</v>
      </c>
      <c r="F5" s="7" t="s">
        <v>235</v>
      </c>
      <c r="G5" s="7" t="s">
        <v>236</v>
      </c>
      <c r="H5" s="7" t="s">
        <v>237</v>
      </c>
      <c r="I5" s="7" t="s">
        <v>238</v>
      </c>
      <c r="J5" s="7" t="s">
        <v>239</v>
      </c>
      <c r="K5" s="7" t="s">
        <v>240</v>
      </c>
      <c r="L5" s="7" t="s">
        <v>241</v>
      </c>
      <c r="M5" s="7" t="s">
        <v>242</v>
      </c>
      <c r="N5" s="7" t="s">
        <v>278</v>
      </c>
    </row>
    <row r="7" spans="1:14">
      <c r="A7" s="18" t="s">
        <v>302</v>
      </c>
      <c r="B7" s="88">
        <v>0</v>
      </c>
      <c r="C7" s="88"/>
      <c r="D7" s="88"/>
      <c r="E7" s="88"/>
      <c r="F7" s="88"/>
      <c r="G7" s="88"/>
      <c r="H7" s="88"/>
      <c r="I7" s="88"/>
      <c r="J7" s="88"/>
      <c r="K7" s="88"/>
      <c r="L7" s="88"/>
      <c r="M7" s="88"/>
      <c r="N7" s="88">
        <f>SUM(B7:M7)</f>
        <v>0</v>
      </c>
    </row>
    <row r="8" spans="1:14">
      <c r="A8" t="s">
        <v>303</v>
      </c>
      <c r="B8" s="84">
        <f ca="1">IF(1&gt;MASTER!$AF$15,"",SUM(SUMIFS(PEMASUKAN!$J$5:$J$204,PEMASUKAN!$C$5:$C$204,TEXT(DATE(DASHBOARD!$B$4,1,1),"yyyy-mm"),PEMASUKAN!$M$5:$M$204,"Pendapatan Operasional")))</f>
        <v>0</v>
      </c>
      <c r="C8" s="84">
        <f ca="1">IF(2&gt;MASTER!$AF$15,"",SUM(SUMIFS(PEMASUKAN!$J$5:$J$204,PEMASUKAN!$C$5:$C$204,TEXT(DATE(DASHBOARD!$B$4,2,1),"yyyy-mm"),PEMASUKAN!$M$5:$M$204,"Pendapatan Operasional")))</f>
        <v>0</v>
      </c>
      <c r="D8" s="84">
        <f ca="1">IF(3&gt;MASTER!$AF$15,"",SUM(SUMIFS(PEMASUKAN!$J$5:$J$204,PEMASUKAN!$C$5:$C$204,TEXT(DATE(DASHBOARD!$B$4,3,1),"yyyy-mm"),PEMASUKAN!$M$5:$M$204,"Pendapatan Operasional")))</f>
        <v>0</v>
      </c>
      <c r="E8" s="84">
        <f ca="1">IF(4&gt;MASTER!$AF$15,"",SUM(SUMIFS(PEMASUKAN!$J$5:$J$204,PEMASUKAN!$C$5:$C$204,TEXT(DATE(DASHBOARD!$B$4,4,1),"yyyy-mm"),PEMASUKAN!$M$5:$M$204,"Pendapatan Operasional")))</f>
        <v>0</v>
      </c>
      <c r="F8" s="84">
        <f ca="1">IF(5&gt;MASTER!$AF$15,"",SUM(SUMIFS(PEMASUKAN!$J$5:$J$204,PEMASUKAN!$C$5:$C$204,TEXT(DATE(DASHBOARD!$B$4,5,1),"yyyy-mm"),PEMASUKAN!$M$5:$M$204,"Pendapatan Operasional")))</f>
        <v>0</v>
      </c>
      <c r="G8" s="84">
        <f ca="1">IF(6&gt;MASTER!$AF$15,"",SUM(SUMIFS(PEMASUKAN!$J$5:$J$204,PEMASUKAN!$C$5:$C$204,TEXT(DATE(DASHBOARD!$B$4,6,1),"yyyy-mm"),PEMASUKAN!$M$5:$M$204,"Pendapatan Operasional")))</f>
        <v>0</v>
      </c>
      <c r="H8" s="84">
        <f ca="1">IF(7&gt;MASTER!$AF$15,"",SUM(SUMIFS(PEMASUKAN!$J$5:$J$204,PEMASUKAN!$C$5:$C$204,TEXT(DATE(DASHBOARD!$B$4,7,1),"yyyy-mm"),PEMASUKAN!$M$5:$M$204,"Pendapatan Operasional")))</f>
        <v>16000000</v>
      </c>
      <c r="I8" s="84">
        <f ca="1">IF(8&gt;MASTER!$AF$15,"",SUM(SUMIFS(PEMASUKAN!$J$5:$J$204,PEMASUKAN!$C$5:$C$204,TEXT(DATE(DASHBOARD!$B$4,8,1),"yyyy-mm"),PEMASUKAN!$M$5:$M$204,"Pendapatan Operasional")))</f>
        <v>0</v>
      </c>
      <c r="J8" s="84" t="str">
        <f ca="1">IF(9&gt;MASTER!$AF$15,"",SUM(SUMIFS(PEMASUKAN!$J$5:$J$204,PEMASUKAN!$C$5:$C$204,TEXT(DATE(DASHBOARD!$B$4,9,1),"yyyy-mm"),PEMASUKAN!$M$5:$M$204,"Pendapatan Operasional")))</f>
        <v/>
      </c>
      <c r="K8" s="84" t="str">
        <f ca="1">IF(10&gt;MASTER!$AF$15,"",SUM(SUMIFS(PEMASUKAN!$J$5:$J$204,PEMASUKAN!$C$5:$C$204,TEXT(DATE(DASHBOARD!$B$4,10,1),"yyyy-mm"),PEMASUKAN!$M$5:$M$204,"Pendapatan Operasional")))</f>
        <v/>
      </c>
      <c r="L8" s="84" t="str">
        <f ca="1">IF(11&gt;MASTER!$AF$15,"",SUM(SUMIFS(PEMASUKAN!$J$5:$J$204,PEMASUKAN!$C$5:$C$204,TEXT(DATE(DASHBOARD!$B$4,11,1),"yyyy-mm"),PEMASUKAN!$M$5:$M$204,"Pendapatan Operasional")))</f>
        <v/>
      </c>
      <c r="M8" s="84" t="str">
        <f ca="1">IF(12&gt;MASTER!$AF$15,"",SUM(SUMIFS(PEMASUKAN!$J$5:$J$204,PEMASUKAN!$C$5:$C$204,TEXT(DATE(DASHBOARD!$B$4,12,1),"yyyy-mm"),PEMASUKAN!$M$5:$M$204,"Pendapatan Operasional")))</f>
        <v/>
      </c>
      <c r="N8" s="84">
        <f ca="1">SUM(B8:M8)</f>
        <v>16000000</v>
      </c>
    </row>
    <row r="9" spans="1:14">
      <c r="A9" t="s">
        <v>304</v>
      </c>
      <c r="B9" s="84">
        <f ca="1">IF(1&gt;MASTER!$AF$15,"",SUM(SUMIFS(PEMASUKAN!$J$5:$J$204,PEMASUKAN!$C$5:$C$204,TEXT(DATE(DASHBOARD!$B$4,1,1),"yyyy-mm"),PEMASUKAN!$M$5:$M$204,"Penggantian Biaya")))</f>
        <v>0</v>
      </c>
      <c r="C9" s="84">
        <f ca="1">IF(2&gt;MASTER!$AF$15,"",SUM(SUMIFS(PEMASUKAN!$J$5:$J$204,PEMASUKAN!$C$5:$C$204,TEXT(DATE(DASHBOARD!$B$4,2,1),"yyyy-mm"),PEMASUKAN!$M$5:$M$204,"Penggantian Biaya")))</f>
        <v>0</v>
      </c>
      <c r="D9" s="84">
        <f ca="1">IF(3&gt;MASTER!$AF$15,"",SUM(SUMIFS(PEMASUKAN!$J$5:$J$204,PEMASUKAN!$C$5:$C$204,TEXT(DATE(DASHBOARD!$B$4,3,1),"yyyy-mm"),PEMASUKAN!$M$5:$M$204,"Penggantian Biaya")))</f>
        <v>0</v>
      </c>
      <c r="E9" s="84">
        <f ca="1">IF(4&gt;MASTER!$AF$15,"",SUM(SUMIFS(PEMASUKAN!$J$5:$J$204,PEMASUKAN!$C$5:$C$204,TEXT(DATE(DASHBOARD!$B$4,4,1),"yyyy-mm"),PEMASUKAN!$M$5:$M$204,"Penggantian Biaya")))</f>
        <v>0</v>
      </c>
      <c r="F9" s="84">
        <f ca="1">IF(5&gt;MASTER!$AF$15,"",SUM(SUMIFS(PEMASUKAN!$J$5:$J$204,PEMASUKAN!$C$5:$C$204,TEXT(DATE(DASHBOARD!$B$4,5,1),"yyyy-mm"),PEMASUKAN!$M$5:$M$204,"Penggantian Biaya")))</f>
        <v>0</v>
      </c>
      <c r="G9" s="84">
        <f ca="1">IF(6&gt;MASTER!$AF$15,"",SUM(SUMIFS(PEMASUKAN!$J$5:$J$204,PEMASUKAN!$C$5:$C$204,TEXT(DATE(DASHBOARD!$B$4,6,1),"yyyy-mm"),PEMASUKAN!$M$5:$M$204,"Penggantian Biaya")))</f>
        <v>0</v>
      </c>
      <c r="H9" s="84">
        <f ca="1">IF(7&gt;MASTER!$AF$15,"",SUM(SUMIFS(PEMASUKAN!$J$5:$J$204,PEMASUKAN!$C$5:$C$204,TEXT(DATE(DASHBOARD!$B$4,7,1),"yyyy-mm"),PEMASUKAN!$M$5:$M$204,"Penggantian Biaya")))</f>
        <v>0</v>
      </c>
      <c r="I9" s="84">
        <f ca="1">IF(8&gt;MASTER!$AF$15,"",SUM(SUMIFS(PEMASUKAN!$J$5:$J$204,PEMASUKAN!$C$5:$C$204,TEXT(DATE(DASHBOARD!$B$4,8,1),"yyyy-mm"),PEMASUKAN!$M$5:$M$204,"Penggantian Biaya")))</f>
        <v>0</v>
      </c>
      <c r="J9" s="84" t="str">
        <f ca="1">IF(9&gt;MASTER!$AF$15,"",SUM(SUMIFS(PEMASUKAN!$J$5:$J$204,PEMASUKAN!$C$5:$C$204,TEXT(DATE(DASHBOARD!$B$4,9,1),"yyyy-mm"),PEMASUKAN!$M$5:$M$204,"Penggantian Biaya")))</f>
        <v/>
      </c>
      <c r="K9" s="84" t="str">
        <f ca="1">IF(10&gt;MASTER!$AF$15,"",SUM(SUMIFS(PEMASUKAN!$J$5:$J$204,PEMASUKAN!$C$5:$C$204,TEXT(DATE(DASHBOARD!$B$4,10,1),"yyyy-mm"),PEMASUKAN!$M$5:$M$204,"Penggantian Biaya")))</f>
        <v/>
      </c>
      <c r="L9" s="84" t="str">
        <f ca="1">IF(11&gt;MASTER!$AF$15,"",SUM(SUMIFS(PEMASUKAN!$J$5:$J$204,PEMASUKAN!$C$5:$C$204,TEXT(DATE(DASHBOARD!$B$4,11,1),"yyyy-mm"),PEMASUKAN!$M$5:$M$204,"Penggantian Biaya")))</f>
        <v/>
      </c>
      <c r="M9" s="84" t="str">
        <f ca="1">IF(12&gt;MASTER!$AF$15,"",SUM(SUMIFS(PEMASUKAN!$J$5:$J$204,PEMASUKAN!$C$5:$C$204,TEXT(DATE(DASHBOARD!$B$4,12,1),"yyyy-mm"),PEMASUKAN!$M$5:$M$204,"Penggantian Biaya")))</f>
        <v/>
      </c>
      <c r="N9" s="84">
        <f ca="1">SUM(B9:M9)</f>
        <v>0</v>
      </c>
    </row>
    <row r="10" spans="1:14">
      <c r="B10" s="84"/>
      <c r="C10" s="84"/>
      <c r="D10" s="84"/>
      <c r="E10" s="84"/>
      <c r="F10" s="84"/>
      <c r="G10" s="84"/>
      <c r="H10" s="84"/>
      <c r="I10" s="84"/>
      <c r="J10" s="84"/>
      <c r="K10" s="84"/>
      <c r="L10" s="84"/>
      <c r="M10" s="84"/>
      <c r="N10" s="84"/>
    </row>
    <row r="11" spans="1:14">
      <c r="A11" s="18" t="s">
        <v>305</v>
      </c>
      <c r="B11" s="88">
        <v>0</v>
      </c>
      <c r="C11" s="88"/>
      <c r="D11" s="88"/>
      <c r="E11" s="88"/>
      <c r="F11" s="88"/>
      <c r="G11" s="88"/>
      <c r="H11" s="88"/>
      <c r="I11" s="88"/>
      <c r="J11" s="88"/>
      <c r="K11" s="88"/>
      <c r="L11" s="88"/>
      <c r="M11" s="88"/>
      <c r="N11" s="88">
        <f>SUM(B11:M11)</f>
        <v>0</v>
      </c>
    </row>
    <row r="12" spans="1:14">
      <c r="A12" t="s">
        <v>306</v>
      </c>
      <c r="B12" s="84">
        <f ca="1">IF(1&gt;MASTER!$AF$15,"",SUM(SUMIFS(PENGELUARAN!$K$5:$K$204,PENGELUARAN!$C$5:$C$204,TEXT(DATE(DASHBOARD!$B$4,1,1),"yyyy-mm"),PENGELUARAN!$I$5:$I$204,"&lt;&gt;",PENGELUARAN!$I$5:$I$204,"&lt;&gt;Bank Dana Klien")))</f>
        <v>0</v>
      </c>
      <c r="C12" s="84">
        <f ca="1">IF(2&gt;MASTER!$AF$15,"",SUM(SUMIFS(PENGELUARAN!$K$5:$K$204,PENGELUARAN!$C$5:$C$204,TEXT(DATE(DASHBOARD!$B$4,2,1),"yyyy-mm"),PENGELUARAN!$I$5:$I$204,"&lt;&gt;",PENGELUARAN!$I$5:$I$204,"&lt;&gt;Bank Dana Klien")))</f>
        <v>0</v>
      </c>
      <c r="D12" s="84">
        <f ca="1">IF(3&gt;MASTER!$AF$15,"",SUM(SUMIFS(PENGELUARAN!$K$5:$K$204,PENGELUARAN!$C$5:$C$204,TEXT(DATE(DASHBOARD!$B$4,3,1),"yyyy-mm"),PENGELUARAN!$I$5:$I$204,"&lt;&gt;",PENGELUARAN!$I$5:$I$204,"&lt;&gt;Bank Dana Klien")))</f>
        <v>0</v>
      </c>
      <c r="E12" s="84">
        <f ca="1">IF(4&gt;MASTER!$AF$15,"",SUM(SUMIFS(PENGELUARAN!$K$5:$K$204,PENGELUARAN!$C$5:$C$204,TEXT(DATE(DASHBOARD!$B$4,4,1),"yyyy-mm"),PENGELUARAN!$I$5:$I$204,"&lt;&gt;",PENGELUARAN!$I$5:$I$204,"&lt;&gt;Bank Dana Klien")))</f>
        <v>0</v>
      </c>
      <c r="F12" s="84">
        <f ca="1">IF(5&gt;MASTER!$AF$15,"",SUM(SUMIFS(PENGELUARAN!$K$5:$K$204,PENGELUARAN!$C$5:$C$204,TEXT(DATE(DASHBOARD!$B$4,5,1),"yyyy-mm"),PENGELUARAN!$I$5:$I$204,"&lt;&gt;",PENGELUARAN!$I$5:$I$204,"&lt;&gt;Bank Dana Klien")))</f>
        <v>0</v>
      </c>
      <c r="G12" s="84">
        <f ca="1">IF(6&gt;MASTER!$AF$15,"",SUM(SUMIFS(PENGELUARAN!$K$5:$K$204,PENGELUARAN!$C$5:$C$204,TEXT(DATE(DASHBOARD!$B$4,6,1),"yyyy-mm"),PENGELUARAN!$I$5:$I$204,"&lt;&gt;",PENGELUARAN!$I$5:$I$204,"&lt;&gt;Bank Dana Klien")))</f>
        <v>0</v>
      </c>
      <c r="H12" s="84">
        <f ca="1">IF(7&gt;MASTER!$AF$15,"",SUM(SUMIFS(PENGELUARAN!$K$5:$K$204,PENGELUARAN!$C$5:$C$204,TEXT(DATE(DASHBOARD!$B$4,7,1),"yyyy-mm"),PENGELUARAN!$I$5:$I$204,"&lt;&gt;",PENGELUARAN!$I$5:$I$204,"&lt;&gt;Bank Dana Klien")))</f>
        <v>2390600</v>
      </c>
      <c r="I12" s="84">
        <f ca="1">IF(8&gt;MASTER!$AF$15,"",SUM(SUMIFS(PENGELUARAN!$K$5:$K$204,PENGELUARAN!$C$5:$C$204,TEXT(DATE(DASHBOARD!$B$4,8,1),"yyyy-mm"),PENGELUARAN!$I$5:$I$204,"&lt;&gt;",PENGELUARAN!$I$5:$I$204,"&lt;&gt;Bank Dana Klien")))</f>
        <v>1705308</v>
      </c>
      <c r="J12" s="84" t="str">
        <f ca="1">IF(9&gt;MASTER!$AF$15,"",SUM(SUMIFS(PENGELUARAN!$K$5:$K$204,PENGELUARAN!$C$5:$C$204,TEXT(DATE(DASHBOARD!$B$4,9,1),"yyyy-mm"),PENGELUARAN!$I$5:$I$204,"&lt;&gt;",PENGELUARAN!$I$5:$I$204,"&lt;&gt;Bank Dana Klien")))</f>
        <v/>
      </c>
      <c r="K12" s="84" t="str">
        <f ca="1">IF(10&gt;MASTER!$AF$15,"",SUM(SUMIFS(PENGELUARAN!$K$5:$K$204,PENGELUARAN!$C$5:$C$204,TEXT(DATE(DASHBOARD!$B$4,10,1),"yyyy-mm"),PENGELUARAN!$I$5:$I$204,"&lt;&gt;",PENGELUARAN!$I$5:$I$204,"&lt;&gt;Bank Dana Klien")))</f>
        <v/>
      </c>
      <c r="L12" s="84" t="str">
        <f ca="1">IF(11&gt;MASTER!$AF$15,"",SUM(SUMIFS(PENGELUARAN!$K$5:$K$204,PENGELUARAN!$C$5:$C$204,TEXT(DATE(DASHBOARD!$B$4,11,1),"yyyy-mm"),PENGELUARAN!$I$5:$I$204,"&lt;&gt;",PENGELUARAN!$I$5:$I$204,"&lt;&gt;Bank Dana Klien")))</f>
        <v/>
      </c>
      <c r="M12" s="84" t="str">
        <f ca="1">IF(12&gt;MASTER!$AF$15,"",SUM(SUMIFS(PENGELUARAN!$K$5:$K$204,PENGELUARAN!$C$5:$C$204,TEXT(DATE(DASHBOARD!$B$4,12,1),"yyyy-mm"),PENGELUARAN!$I$5:$I$204,"&lt;&gt;",PENGELUARAN!$I$5:$I$204,"&lt;&gt;Bank Dana Klien")))</f>
        <v/>
      </c>
      <c r="N12" s="84">
        <f ca="1">SUM(B12:M12)</f>
        <v>4095908</v>
      </c>
    </row>
    <row r="13" spans="1:14">
      <c r="A13" t="s">
        <v>307</v>
      </c>
      <c r="B13" s="84">
        <f ca="1">IF(1&gt;MASTER!$AF$15,"",SUM(SUMIFS(GAJI!$P$5:$P$124,GAJI!$S$5:$S$124,"&gt;="&amp;DATE(DASHBOARD!$B$4,1,1),GAJI!$S$5:$S$124,"&lt;"&amp;DATE(DASHBOARD!$B$4,2,1),GAJI!$R$5:$R$124,"Dibayar")))</f>
        <v>0</v>
      </c>
      <c r="C13" s="84">
        <f ca="1">IF(2&gt;MASTER!$AF$15,"",SUM(SUMIFS(GAJI!$P$5:$P$124,GAJI!$S$5:$S$124,"&gt;="&amp;DATE(DASHBOARD!$B$4,2,1),GAJI!$S$5:$S$124,"&lt;"&amp;DATE(DASHBOARD!$B$4,3,1),GAJI!$R$5:$R$124,"Dibayar")))</f>
        <v>0</v>
      </c>
      <c r="D13" s="84">
        <f ca="1">IF(3&gt;MASTER!$AF$15,"",SUM(SUMIFS(GAJI!$P$5:$P$124,GAJI!$S$5:$S$124,"&gt;="&amp;DATE(DASHBOARD!$B$4,3,1),GAJI!$S$5:$S$124,"&lt;"&amp;DATE(DASHBOARD!$B$4,4,1),GAJI!$R$5:$R$124,"Dibayar")))</f>
        <v>0</v>
      </c>
      <c r="E13" s="84">
        <f ca="1">IF(4&gt;MASTER!$AF$15,"",SUM(SUMIFS(GAJI!$P$5:$P$124,GAJI!$S$5:$S$124,"&gt;="&amp;DATE(DASHBOARD!$B$4,4,1),GAJI!$S$5:$S$124,"&lt;"&amp;DATE(DASHBOARD!$B$4,5,1),GAJI!$R$5:$R$124,"Dibayar")))</f>
        <v>0</v>
      </c>
      <c r="F13" s="84">
        <f ca="1">IF(5&gt;MASTER!$AF$15,"",SUM(SUMIFS(GAJI!$P$5:$P$124,GAJI!$S$5:$S$124,"&gt;="&amp;DATE(DASHBOARD!$B$4,5,1),GAJI!$S$5:$S$124,"&lt;"&amp;DATE(DASHBOARD!$B$4,6,1),GAJI!$R$5:$R$124,"Dibayar")))</f>
        <v>0</v>
      </c>
      <c r="G13" s="84">
        <f ca="1">IF(6&gt;MASTER!$AF$15,"",SUM(SUMIFS(GAJI!$P$5:$P$124,GAJI!$S$5:$S$124,"&gt;="&amp;DATE(DASHBOARD!$B$4,6,1),GAJI!$S$5:$S$124,"&lt;"&amp;DATE(DASHBOARD!$B$4,7,1),GAJI!$R$5:$R$124,"Dibayar")))</f>
        <v>0</v>
      </c>
      <c r="H13" s="84">
        <f ca="1">IF(7&gt;MASTER!$AF$15,"",SUM(SUMIFS(GAJI!$P$5:$P$124,GAJI!$S$5:$S$124,"&gt;="&amp;DATE(DASHBOARD!$B$4,7,1),GAJI!$S$5:$S$124,"&lt;"&amp;DATE(DASHBOARD!$B$4,8,1),GAJI!$R$5:$R$124,"Dibayar")))</f>
        <v>1000000</v>
      </c>
      <c r="I13" s="84">
        <f ca="1">IF(8&gt;MASTER!$AF$15,"",SUM(SUMIFS(GAJI!$P$5:$P$124,GAJI!$S$5:$S$124,"&gt;="&amp;DATE(DASHBOARD!$B$4,8,1),GAJI!$S$5:$S$124,"&lt;"&amp;DATE(DASHBOARD!$B$4,9,1),GAJI!$R$5:$R$124,"Dibayar")))</f>
        <v>0</v>
      </c>
      <c r="J13" s="84" t="str">
        <f ca="1">IF(9&gt;MASTER!$AF$15,"",SUM(SUMIFS(GAJI!$P$5:$P$124,GAJI!$S$5:$S$124,"&gt;="&amp;DATE(DASHBOARD!$B$4,9,1),GAJI!$S$5:$S$124,"&lt;"&amp;DATE(DASHBOARD!$B$4,10,1),GAJI!$R$5:$R$124,"Dibayar")))</f>
        <v/>
      </c>
      <c r="K13" s="84" t="str">
        <f ca="1">IF(10&gt;MASTER!$AF$15,"",SUM(SUMIFS(GAJI!$P$5:$P$124,GAJI!$S$5:$S$124,"&gt;="&amp;DATE(DASHBOARD!$B$4,10,1),GAJI!$S$5:$S$124,"&lt;"&amp;DATE(DASHBOARD!$B$4,11,1),GAJI!$R$5:$R$124,"Dibayar")))</f>
        <v/>
      </c>
      <c r="L13" s="84" t="str">
        <f ca="1">IF(11&gt;MASTER!$AF$15,"",SUM(SUMIFS(GAJI!$P$5:$P$124,GAJI!$S$5:$S$124,"&gt;="&amp;DATE(DASHBOARD!$B$4,11,1),GAJI!$S$5:$S$124,"&lt;"&amp;DATE(DASHBOARD!$B$4,12,1),GAJI!$R$5:$R$124,"Dibayar")))</f>
        <v/>
      </c>
      <c r="M13" s="84" t="str">
        <f ca="1">IF(12&gt;MASTER!$AF$15,"",SUM(SUMIFS(GAJI!$P$5:$P$124,GAJI!$S$5:$S$124,"&gt;="&amp;DATE(DASHBOARD!$B$4,12,1),GAJI!$S$5:$S$124,"&lt;"&amp;DATE(DASHBOARD!$B$4,13,1),GAJI!$R$5:$R$124,"Dibayar")))</f>
        <v/>
      </c>
      <c r="N13" s="84">
        <f ca="1">SUM(B13:M13)</f>
        <v>1000000</v>
      </c>
    </row>
    <row r="14" spans="1:14">
      <c r="A14" t="s">
        <v>635</v>
      </c>
      <c r="B14" s="84">
        <f ca="1">IF(1&gt;MASTER!$AF$15,"",SUM(SUMIFS(REIMBURSE!$J$5:$J$124,REIMBURSE!$N$5:$N$124,"&gt;="&amp;DATE(DASHBOARD!$B$4,1,1),REIMBURSE!$N$5:$N$124,"&lt;"&amp;DATE(DASHBOARD!$B$4,2,1))))</f>
        <v>0</v>
      </c>
      <c r="C14" s="84">
        <f ca="1">IF(2&gt;MASTER!$AF$15,"",SUM(SUMIFS(REIMBURSE!$J$5:$J$124,REIMBURSE!$N$5:$N$124,"&gt;="&amp;DATE(DASHBOARD!$B$4,2,1),REIMBURSE!$N$5:$N$124,"&lt;"&amp;DATE(DASHBOARD!$B$4,3,1))))</f>
        <v>0</v>
      </c>
      <c r="D14" s="84">
        <f ca="1">IF(3&gt;MASTER!$AF$15,"",SUM(SUMIFS(REIMBURSE!$J$5:$J$124,REIMBURSE!$N$5:$N$124,"&gt;="&amp;DATE(DASHBOARD!$B$4,3,1),REIMBURSE!$N$5:$N$124,"&lt;"&amp;DATE(DASHBOARD!$B$4,4,1))))</f>
        <v>0</v>
      </c>
      <c r="E14" s="84">
        <f ca="1">IF(4&gt;MASTER!$AF$15,"",SUM(SUMIFS(REIMBURSE!$J$5:$J$124,REIMBURSE!$N$5:$N$124,"&gt;="&amp;DATE(DASHBOARD!$B$4,4,1),REIMBURSE!$N$5:$N$124,"&lt;"&amp;DATE(DASHBOARD!$B$4,5,1))))</f>
        <v>0</v>
      </c>
      <c r="F14" s="84">
        <f ca="1">IF(5&gt;MASTER!$AF$15,"",SUM(SUMIFS(REIMBURSE!$J$5:$J$124,REIMBURSE!$N$5:$N$124,"&gt;="&amp;DATE(DASHBOARD!$B$4,5,1),REIMBURSE!$N$5:$N$124,"&lt;"&amp;DATE(DASHBOARD!$B$4,6,1))))</f>
        <v>0</v>
      </c>
      <c r="G14" s="84">
        <f ca="1">IF(6&gt;MASTER!$AF$15,"",SUM(SUMIFS(REIMBURSE!$J$5:$J$124,REIMBURSE!$N$5:$N$124,"&gt;="&amp;DATE(DASHBOARD!$B$4,6,1),REIMBURSE!$N$5:$N$124,"&lt;"&amp;DATE(DASHBOARD!$B$4,7,1))))</f>
        <v>0</v>
      </c>
      <c r="H14" s="84">
        <f ca="1">IF(7&gt;MASTER!$AF$15,"",SUM(SUMIFS(REIMBURSE!$J$5:$J$124,REIMBURSE!$N$5:$N$124,"&gt;="&amp;DATE(DASHBOARD!$B$4,7,1),REIMBURSE!$N$5:$N$124,"&lt;"&amp;DATE(DASHBOARD!$B$4,8,1))))</f>
        <v>0</v>
      </c>
      <c r="I14" s="84">
        <f ca="1">IF(8&gt;MASTER!$AF$15,"",SUM(SUMIFS(REIMBURSE!$J$5:$J$124,REIMBURSE!$N$5:$N$124,"&gt;="&amp;DATE(DASHBOARD!$B$4,8,1),REIMBURSE!$N$5:$N$124,"&lt;"&amp;DATE(DASHBOARD!$B$4,9,1))))</f>
        <v>0</v>
      </c>
      <c r="J14" s="84" t="str">
        <f ca="1">IF(9&gt;MASTER!$AF$15,"",SUM(SUMIFS(REIMBURSE!$J$5:$J$124,REIMBURSE!$N$5:$N$124,"&gt;="&amp;DATE(DASHBOARD!$B$4,9,1),REIMBURSE!$N$5:$N$124,"&lt;"&amp;DATE(DASHBOARD!$B$4,10,1))))</f>
        <v/>
      </c>
      <c r="K14" s="84" t="str">
        <f ca="1">IF(10&gt;MASTER!$AF$15,"",SUM(SUMIFS(REIMBURSE!$J$5:$J$124,REIMBURSE!$N$5:$N$124,"&gt;="&amp;DATE(DASHBOARD!$B$4,10,1),REIMBURSE!$N$5:$N$124,"&lt;"&amp;DATE(DASHBOARD!$B$4,11,1))))</f>
        <v/>
      </c>
      <c r="L14" s="84" t="str">
        <f ca="1">IF(11&gt;MASTER!$AF$15,"",SUM(SUMIFS(REIMBURSE!$J$5:$J$124,REIMBURSE!$N$5:$N$124,"&gt;="&amp;DATE(DASHBOARD!$B$4,11,1),REIMBURSE!$N$5:$N$124,"&lt;"&amp;DATE(DASHBOARD!$B$4,12,1))))</f>
        <v/>
      </c>
      <c r="M14" s="84" t="str">
        <f ca="1">IF(12&gt;MASTER!$AF$15,"",SUM(SUMIFS(REIMBURSE!$J$5:$J$124,REIMBURSE!$N$5:$N$124,"&gt;="&amp;DATE(DASHBOARD!$B$4,12,1),REIMBURSE!$N$5:$N$124,"&lt;"&amp;DATE(DASHBOARD!$B$4,13,1))))</f>
        <v/>
      </c>
      <c r="N14" s="84">
        <f ca="1">SUM(B14:M14)</f>
        <v>0</v>
      </c>
    </row>
    <row r="15" spans="1:14">
      <c r="A15" t="s">
        <v>308</v>
      </c>
      <c r="B15" s="84">
        <f ca="1">IF(1&gt;MASTER!$AF$15,"",SUM(SUMIFS(KEWAJIBAN!$F$5:$F$124,KEWAJIBAN!$I$5:$I$124,"&gt;="&amp;DATE(DASHBOARD!$B$4,1,1),KEWAJIBAN!$I$5:$I$124,"&lt;"&amp;DATE(DASHBOARD!$B$4,2,1))))</f>
        <v>0</v>
      </c>
      <c r="C15" s="84">
        <f ca="1">IF(2&gt;MASTER!$AF$15,"",SUM(SUMIFS(KEWAJIBAN!$F$5:$F$124,KEWAJIBAN!$I$5:$I$124,"&gt;="&amp;DATE(DASHBOARD!$B$4,2,1),KEWAJIBAN!$I$5:$I$124,"&lt;"&amp;DATE(DASHBOARD!$B$4,3,1))))</f>
        <v>0</v>
      </c>
      <c r="D15" s="84">
        <f ca="1">IF(3&gt;MASTER!$AF$15,"",SUM(SUMIFS(KEWAJIBAN!$F$5:$F$124,KEWAJIBAN!$I$5:$I$124,"&gt;="&amp;DATE(DASHBOARD!$B$4,3,1),KEWAJIBAN!$I$5:$I$124,"&lt;"&amp;DATE(DASHBOARD!$B$4,4,1))))</f>
        <v>0</v>
      </c>
      <c r="E15" s="84">
        <f ca="1">IF(4&gt;MASTER!$AF$15,"",SUM(SUMIFS(KEWAJIBAN!$F$5:$F$124,KEWAJIBAN!$I$5:$I$124,"&gt;="&amp;DATE(DASHBOARD!$B$4,4,1),KEWAJIBAN!$I$5:$I$124,"&lt;"&amp;DATE(DASHBOARD!$B$4,5,1))))</f>
        <v>0</v>
      </c>
      <c r="F15" s="84">
        <f ca="1">IF(5&gt;MASTER!$AF$15,"",SUM(SUMIFS(KEWAJIBAN!$F$5:$F$124,KEWAJIBAN!$I$5:$I$124,"&gt;="&amp;DATE(DASHBOARD!$B$4,5,1),KEWAJIBAN!$I$5:$I$124,"&lt;"&amp;DATE(DASHBOARD!$B$4,6,1))))</f>
        <v>0</v>
      </c>
      <c r="G15" s="84">
        <f ca="1">IF(6&gt;MASTER!$AF$15,"",SUM(SUMIFS(KEWAJIBAN!$F$5:$F$124,KEWAJIBAN!$I$5:$I$124,"&gt;="&amp;DATE(DASHBOARD!$B$4,6,1),KEWAJIBAN!$I$5:$I$124,"&lt;"&amp;DATE(DASHBOARD!$B$4,7,1))))</f>
        <v>0</v>
      </c>
      <c r="H15" s="84">
        <f ca="1">IF(7&gt;MASTER!$AF$15,"",SUM(SUMIFS(KEWAJIBAN!$F$5:$F$124,KEWAJIBAN!$I$5:$I$124,"&gt;="&amp;DATE(DASHBOARD!$B$4,7,1),KEWAJIBAN!$I$5:$I$124,"&lt;"&amp;DATE(DASHBOARD!$B$4,8,1))))</f>
        <v>0</v>
      </c>
      <c r="I15" s="84">
        <f ca="1">IF(8&gt;MASTER!$AF$15,"",SUM(SUMIFS(KEWAJIBAN!$F$5:$F$124,KEWAJIBAN!$I$5:$I$124,"&gt;="&amp;DATE(DASHBOARD!$B$4,8,1),KEWAJIBAN!$I$5:$I$124,"&lt;"&amp;DATE(DASHBOARD!$B$4,9,1))))</f>
        <v>0</v>
      </c>
      <c r="J15" s="84" t="str">
        <f ca="1">IF(9&gt;MASTER!$AF$15,"",SUM(SUMIFS(KEWAJIBAN!$F$5:$F$124,KEWAJIBAN!$I$5:$I$124,"&gt;="&amp;DATE(DASHBOARD!$B$4,9,1),KEWAJIBAN!$I$5:$I$124,"&lt;"&amp;DATE(DASHBOARD!$B$4,10,1))))</f>
        <v/>
      </c>
      <c r="K15" s="84" t="str">
        <f ca="1">IF(10&gt;MASTER!$AF$15,"",SUM(SUMIFS(KEWAJIBAN!$F$5:$F$124,KEWAJIBAN!$I$5:$I$124,"&gt;="&amp;DATE(DASHBOARD!$B$4,10,1),KEWAJIBAN!$I$5:$I$124,"&lt;"&amp;DATE(DASHBOARD!$B$4,11,1))))</f>
        <v/>
      </c>
      <c r="L15" s="84" t="str">
        <f ca="1">IF(11&gt;MASTER!$AF$15,"",SUM(SUMIFS(KEWAJIBAN!$F$5:$F$124,KEWAJIBAN!$I$5:$I$124,"&gt;="&amp;DATE(DASHBOARD!$B$4,11,1),KEWAJIBAN!$I$5:$I$124,"&lt;"&amp;DATE(DASHBOARD!$B$4,12,1))))</f>
        <v/>
      </c>
      <c r="M15" s="84" t="str">
        <f ca="1">IF(12&gt;MASTER!$AF$15,"",SUM(SUMIFS(KEWAJIBAN!$F$5:$F$124,KEWAJIBAN!$I$5:$I$124,"&gt;="&amp;DATE(DASHBOARD!$B$4,12,1),KEWAJIBAN!$I$5:$I$124,"&lt;"&amp;DATE(DASHBOARD!$B$4,13,1))))</f>
        <v/>
      </c>
      <c r="N15" s="84">
        <f ca="1">SUM(B15:M15)</f>
        <v>0</v>
      </c>
    </row>
    <row r="16" spans="1:14">
      <c r="B16" s="84"/>
      <c r="C16" s="84"/>
      <c r="D16" s="84"/>
      <c r="E16" s="84"/>
      <c r="F16" s="84"/>
      <c r="G16" s="84"/>
      <c r="H16" s="84"/>
      <c r="I16" s="84"/>
      <c r="J16" s="84"/>
      <c r="K16" s="84"/>
      <c r="L16" s="84"/>
      <c r="M16" s="84"/>
      <c r="N16" s="84"/>
    </row>
    <row r="17" spans="1:14">
      <c r="A17" s="20" t="s">
        <v>309</v>
      </c>
      <c r="B17" s="89">
        <v>0</v>
      </c>
      <c r="C17" s="89"/>
      <c r="D17" s="89"/>
      <c r="E17" s="89"/>
      <c r="F17" s="89"/>
      <c r="G17" s="89"/>
      <c r="H17" s="89"/>
      <c r="I17" s="89"/>
      <c r="J17" s="89"/>
      <c r="K17" s="89"/>
      <c r="L17" s="89"/>
      <c r="M17" s="89"/>
      <c r="N17" s="89">
        <f>SUM(B17:M17)</f>
        <v>0</v>
      </c>
    </row>
    <row r="18" spans="1:14">
      <c r="B18" s="84"/>
      <c r="C18" s="84"/>
      <c r="D18" s="84"/>
      <c r="E18" s="84"/>
      <c r="F18" s="84"/>
      <c r="G18" s="84"/>
      <c r="H18" s="84"/>
      <c r="I18" s="84"/>
      <c r="J18" s="84"/>
      <c r="K18" s="84"/>
      <c r="L18" s="84"/>
      <c r="M18" s="84"/>
      <c r="N18" s="84"/>
    </row>
    <row r="19" spans="1:14">
      <c r="A19" s="18" t="s">
        <v>310</v>
      </c>
      <c r="B19" s="88">
        <v>0</v>
      </c>
      <c r="C19" s="88"/>
      <c r="D19" s="88"/>
      <c r="E19" s="88"/>
      <c r="F19" s="88"/>
      <c r="G19" s="88"/>
      <c r="H19" s="88"/>
      <c r="I19" s="88"/>
      <c r="J19" s="88"/>
      <c r="K19" s="88"/>
      <c r="L19" s="88"/>
      <c r="M19" s="88"/>
      <c r="N19" s="88">
        <f>SUM(B19:M19)</f>
        <v>0</v>
      </c>
    </row>
    <row r="20" spans="1:14">
      <c r="A20" t="s">
        <v>311</v>
      </c>
      <c r="B20" s="84">
        <f ca="1">IF(1&gt;MASTER!$AF$15,"",SUM(SUMIFS(PEMASUKAN!$J$5:$J$204,PEMASUKAN!$C$5:$C$204,TEXT(DATE(DASHBOARD!$B$4,1,1),"yyyy-mm"),PEMASUKAN!$M$5:$M$204,"Dana Klien")))</f>
        <v>0</v>
      </c>
      <c r="C20" s="84">
        <f ca="1">IF(2&gt;MASTER!$AF$15,"",SUM(SUMIFS(PEMASUKAN!$J$5:$J$204,PEMASUKAN!$C$5:$C$204,TEXT(DATE(DASHBOARD!$B$4,2,1),"yyyy-mm"),PEMASUKAN!$M$5:$M$204,"Dana Klien")))</f>
        <v>0</v>
      </c>
      <c r="D20" s="84">
        <f ca="1">IF(3&gt;MASTER!$AF$15,"",SUM(SUMIFS(PEMASUKAN!$J$5:$J$204,PEMASUKAN!$C$5:$C$204,TEXT(DATE(DASHBOARD!$B$4,3,1),"yyyy-mm"),PEMASUKAN!$M$5:$M$204,"Dana Klien")))</f>
        <v>0</v>
      </c>
      <c r="E20" s="84">
        <f ca="1">IF(4&gt;MASTER!$AF$15,"",SUM(SUMIFS(PEMASUKAN!$J$5:$J$204,PEMASUKAN!$C$5:$C$204,TEXT(DATE(DASHBOARD!$B$4,4,1),"yyyy-mm"),PEMASUKAN!$M$5:$M$204,"Dana Klien")))</f>
        <v>0</v>
      </c>
      <c r="F20" s="84">
        <f ca="1">IF(5&gt;MASTER!$AF$15,"",SUM(SUMIFS(PEMASUKAN!$J$5:$J$204,PEMASUKAN!$C$5:$C$204,TEXT(DATE(DASHBOARD!$B$4,5,1),"yyyy-mm"),PEMASUKAN!$M$5:$M$204,"Dana Klien")))</f>
        <v>0</v>
      </c>
      <c r="G20" s="84">
        <f ca="1">IF(6&gt;MASTER!$AF$15,"",SUM(SUMIFS(PEMASUKAN!$J$5:$J$204,PEMASUKAN!$C$5:$C$204,TEXT(DATE(DASHBOARD!$B$4,6,1),"yyyy-mm"),PEMASUKAN!$M$5:$M$204,"Dana Klien")))</f>
        <v>0</v>
      </c>
      <c r="H20" s="84">
        <f ca="1">IF(7&gt;MASTER!$AF$15,"",SUM(SUMIFS(PEMASUKAN!$J$5:$J$204,PEMASUKAN!$C$5:$C$204,TEXT(DATE(DASHBOARD!$B$4,7,1),"yyyy-mm"),PEMASUKAN!$M$5:$M$204,"Dana Klien")))</f>
        <v>0</v>
      </c>
      <c r="I20" s="84">
        <f ca="1">IF(8&gt;MASTER!$AF$15,"",SUM(SUMIFS(PEMASUKAN!$J$5:$J$204,PEMASUKAN!$C$5:$C$204,TEXT(DATE(DASHBOARD!$B$4,8,1),"yyyy-mm"),PEMASUKAN!$M$5:$M$204,"Dana Klien")))</f>
        <v>0</v>
      </c>
      <c r="J20" s="84" t="str">
        <f ca="1">IF(9&gt;MASTER!$AF$15,"",SUM(SUMIFS(PEMASUKAN!$J$5:$J$204,PEMASUKAN!$C$5:$C$204,TEXT(DATE(DASHBOARD!$B$4,9,1),"yyyy-mm"),PEMASUKAN!$M$5:$M$204,"Dana Klien")))</f>
        <v/>
      </c>
      <c r="K20" s="84" t="str">
        <f ca="1">IF(10&gt;MASTER!$AF$15,"",SUM(SUMIFS(PEMASUKAN!$J$5:$J$204,PEMASUKAN!$C$5:$C$204,TEXT(DATE(DASHBOARD!$B$4,10,1),"yyyy-mm"),PEMASUKAN!$M$5:$M$204,"Dana Klien")))</f>
        <v/>
      </c>
      <c r="L20" s="84" t="str">
        <f ca="1">IF(11&gt;MASTER!$AF$15,"",SUM(SUMIFS(PEMASUKAN!$J$5:$J$204,PEMASUKAN!$C$5:$C$204,TEXT(DATE(DASHBOARD!$B$4,11,1),"yyyy-mm"),PEMASUKAN!$M$5:$M$204,"Dana Klien")))</f>
        <v/>
      </c>
      <c r="M20" s="84" t="str">
        <f ca="1">IF(12&gt;MASTER!$AF$15,"",SUM(SUMIFS(PEMASUKAN!$J$5:$J$204,PEMASUKAN!$C$5:$C$204,TEXT(DATE(DASHBOARD!$B$4,12,1),"yyyy-mm"),PEMASUKAN!$M$5:$M$204,"Dana Klien")))</f>
        <v/>
      </c>
      <c r="N20" s="84">
        <f ca="1">SUM(B20:M20)</f>
        <v>0</v>
      </c>
    </row>
    <row r="21" spans="1:14">
      <c r="A21" t="s">
        <v>312</v>
      </c>
      <c r="B21" s="84">
        <f ca="1">IF(1&gt;MASTER!$AF$15,"",SUM(SUMIFS(DANA_KLIEN!$H$5:$H$154,DANA_KLIEN!$B$5:$B$154,"&gt;="&amp;DATE(DASHBOARD!$B$4,1,1),DANA_KLIEN!$B$5:$B$154,"&lt;"&amp;DATE(DASHBOARD!$B$4,2,1))))</f>
        <v>0</v>
      </c>
      <c r="C21" s="84">
        <f ca="1">IF(2&gt;MASTER!$AF$15,"",SUM(SUMIFS(DANA_KLIEN!$H$5:$H$154,DANA_KLIEN!$B$5:$B$154,"&gt;="&amp;DATE(DASHBOARD!$B$4,2,1),DANA_KLIEN!$B$5:$B$154,"&lt;"&amp;DATE(DASHBOARD!$B$4,3,1))))</f>
        <v>0</v>
      </c>
      <c r="D21" s="84">
        <f ca="1">IF(3&gt;MASTER!$AF$15,"",SUM(SUMIFS(DANA_KLIEN!$H$5:$H$154,DANA_KLIEN!$B$5:$B$154,"&gt;="&amp;DATE(DASHBOARD!$B$4,3,1),DANA_KLIEN!$B$5:$B$154,"&lt;"&amp;DATE(DASHBOARD!$B$4,4,1))))</f>
        <v>0</v>
      </c>
      <c r="E21" s="84">
        <f ca="1">IF(4&gt;MASTER!$AF$15,"",SUM(SUMIFS(DANA_KLIEN!$H$5:$H$154,DANA_KLIEN!$B$5:$B$154,"&gt;="&amp;DATE(DASHBOARD!$B$4,4,1),DANA_KLIEN!$B$5:$B$154,"&lt;"&amp;DATE(DASHBOARD!$B$4,5,1))))</f>
        <v>0</v>
      </c>
      <c r="F21" s="84">
        <f ca="1">IF(5&gt;MASTER!$AF$15,"",SUM(SUMIFS(DANA_KLIEN!$H$5:$H$154,DANA_KLIEN!$B$5:$B$154,"&gt;="&amp;DATE(DASHBOARD!$B$4,5,1),DANA_KLIEN!$B$5:$B$154,"&lt;"&amp;DATE(DASHBOARD!$B$4,6,1))))</f>
        <v>0</v>
      </c>
      <c r="G21" s="84">
        <f ca="1">IF(6&gt;MASTER!$AF$15,"",SUM(SUMIFS(DANA_KLIEN!$H$5:$H$154,DANA_KLIEN!$B$5:$B$154,"&gt;="&amp;DATE(DASHBOARD!$B$4,6,1),DANA_KLIEN!$B$5:$B$154,"&lt;"&amp;DATE(DASHBOARD!$B$4,7,1))))</f>
        <v>0</v>
      </c>
      <c r="H21" s="84">
        <f ca="1">IF(7&gt;MASTER!$AF$15,"",SUM(SUMIFS(DANA_KLIEN!$H$5:$H$154,DANA_KLIEN!$B$5:$B$154,"&gt;="&amp;DATE(DASHBOARD!$B$4,7,1),DANA_KLIEN!$B$5:$B$154,"&lt;"&amp;DATE(DASHBOARD!$B$4,8,1))))</f>
        <v>0</v>
      </c>
      <c r="I21" s="84">
        <f ca="1">IF(8&gt;MASTER!$AF$15,"",SUM(SUMIFS(DANA_KLIEN!$H$5:$H$154,DANA_KLIEN!$B$5:$B$154,"&gt;="&amp;DATE(DASHBOARD!$B$4,8,1),DANA_KLIEN!$B$5:$B$154,"&lt;"&amp;DATE(DASHBOARD!$B$4,9,1))))</f>
        <v>0</v>
      </c>
      <c r="J21" s="84" t="str">
        <f ca="1">IF(9&gt;MASTER!$AF$15,"",SUM(SUMIFS(DANA_KLIEN!$H$5:$H$154,DANA_KLIEN!$B$5:$B$154,"&gt;="&amp;DATE(DASHBOARD!$B$4,9,1),DANA_KLIEN!$B$5:$B$154,"&lt;"&amp;DATE(DASHBOARD!$B$4,10,1))))</f>
        <v/>
      </c>
      <c r="K21" s="84" t="str">
        <f ca="1">IF(10&gt;MASTER!$AF$15,"",SUM(SUMIFS(DANA_KLIEN!$H$5:$H$154,DANA_KLIEN!$B$5:$B$154,"&gt;="&amp;DATE(DASHBOARD!$B$4,10,1),DANA_KLIEN!$B$5:$B$154,"&lt;"&amp;DATE(DASHBOARD!$B$4,11,1))))</f>
        <v/>
      </c>
      <c r="L21" s="84" t="str">
        <f ca="1">IF(11&gt;MASTER!$AF$15,"",SUM(SUMIFS(DANA_KLIEN!$H$5:$H$154,DANA_KLIEN!$B$5:$B$154,"&gt;="&amp;DATE(DASHBOARD!$B$4,11,1),DANA_KLIEN!$B$5:$B$154,"&lt;"&amp;DATE(DASHBOARD!$B$4,12,1))))</f>
        <v/>
      </c>
      <c r="M21" s="84" t="str">
        <f ca="1">IF(12&gt;MASTER!$AF$15,"",SUM(SUMIFS(DANA_KLIEN!$H$5:$H$154,DANA_KLIEN!$B$5:$B$154,"&gt;="&amp;DATE(DASHBOARD!$B$4,12,1),DANA_KLIEN!$B$5:$B$154,"&lt;"&amp;DATE(DASHBOARD!$B$4,13,1))))</f>
        <v/>
      </c>
      <c r="N21" s="84">
        <f ca="1">SUM(B21:M21)</f>
        <v>0</v>
      </c>
    </row>
    <row r="22" spans="1:14">
      <c r="B22" s="84"/>
      <c r="C22" s="84"/>
      <c r="D22" s="84"/>
      <c r="E22" s="84"/>
      <c r="F22" s="84"/>
      <c r="G22" s="84"/>
      <c r="H22" s="84"/>
      <c r="I22" s="84"/>
      <c r="J22" s="84"/>
      <c r="K22" s="84"/>
      <c r="L22" s="84"/>
      <c r="M22" s="84"/>
      <c r="N22" s="84"/>
    </row>
    <row r="23" spans="1:14">
      <c r="A23" s="18" t="s">
        <v>313</v>
      </c>
      <c r="B23" s="88">
        <v>0</v>
      </c>
      <c r="C23" s="88"/>
      <c r="D23" s="88"/>
      <c r="E23" s="88"/>
      <c r="F23" s="88"/>
      <c r="G23" s="88"/>
      <c r="H23" s="88"/>
      <c r="I23" s="88"/>
      <c r="J23" s="88"/>
      <c r="K23" s="88"/>
      <c r="L23" s="88"/>
      <c r="M23" s="88"/>
      <c r="N23" s="88">
        <f t="shared" ref="N23:N28" si="0">SUM(B23:M23)</f>
        <v>0</v>
      </c>
    </row>
    <row r="24" spans="1:14">
      <c r="A24" t="s">
        <v>314</v>
      </c>
      <c r="B24" s="84">
        <f ca="1">IF(1&gt;MASTER!$AF$15,"",SUM(SUMIFS(PEMASUKAN!$J$5:$J$204,PEMASUKAN!$C$5:$C$204,TEXT(DATE(DASHBOARD!$B$4,1,1),"yyyy-mm"),PEMASUKAN!$M$5:$M$204,"Modal Partner")+SUMIFS(PEMASUKAN!$J$5:$J$204,PEMASUKAN!$C$5:$C$204,TEXT(DATE(DASHBOARD!$B$4,1,1),"yyyy-mm"),PEMASUKAN!$M$5:$M$204,"Pinjaman")))</f>
        <v>0</v>
      </c>
      <c r="C24" s="84">
        <f ca="1">IF(2&gt;MASTER!$AF$15,"",SUM(SUMIFS(PEMASUKAN!$J$5:$J$204,PEMASUKAN!$C$5:$C$204,TEXT(DATE(DASHBOARD!$B$4,2,1),"yyyy-mm"),PEMASUKAN!$M$5:$M$204,"Modal Partner")+SUMIFS(PEMASUKAN!$J$5:$J$204,PEMASUKAN!$C$5:$C$204,TEXT(DATE(DASHBOARD!$B$4,2,1),"yyyy-mm"),PEMASUKAN!$M$5:$M$204,"Pinjaman")))</f>
        <v>0</v>
      </c>
      <c r="D24" s="84">
        <f ca="1">IF(3&gt;MASTER!$AF$15,"",SUM(SUMIFS(PEMASUKAN!$J$5:$J$204,PEMASUKAN!$C$5:$C$204,TEXT(DATE(DASHBOARD!$B$4,3,1),"yyyy-mm"),PEMASUKAN!$M$5:$M$204,"Modal Partner")+SUMIFS(PEMASUKAN!$J$5:$J$204,PEMASUKAN!$C$5:$C$204,TEXT(DATE(DASHBOARD!$B$4,3,1),"yyyy-mm"),PEMASUKAN!$M$5:$M$204,"Pinjaman")))</f>
        <v>0</v>
      </c>
      <c r="E24" s="84">
        <f ca="1">IF(4&gt;MASTER!$AF$15,"",SUM(SUMIFS(PEMASUKAN!$J$5:$J$204,PEMASUKAN!$C$5:$C$204,TEXT(DATE(DASHBOARD!$B$4,4,1),"yyyy-mm"),PEMASUKAN!$M$5:$M$204,"Modal Partner")+SUMIFS(PEMASUKAN!$J$5:$J$204,PEMASUKAN!$C$5:$C$204,TEXT(DATE(DASHBOARD!$B$4,4,1),"yyyy-mm"),PEMASUKAN!$M$5:$M$204,"Pinjaman")))</f>
        <v>0</v>
      </c>
      <c r="F24" s="84">
        <f ca="1">IF(5&gt;MASTER!$AF$15,"",SUM(SUMIFS(PEMASUKAN!$J$5:$J$204,PEMASUKAN!$C$5:$C$204,TEXT(DATE(DASHBOARD!$B$4,5,1),"yyyy-mm"),PEMASUKAN!$M$5:$M$204,"Modal Partner")+SUMIFS(PEMASUKAN!$J$5:$J$204,PEMASUKAN!$C$5:$C$204,TEXT(DATE(DASHBOARD!$B$4,5,1),"yyyy-mm"),PEMASUKAN!$M$5:$M$204,"Pinjaman")))</f>
        <v>0</v>
      </c>
      <c r="G24" s="84">
        <f ca="1">IF(6&gt;MASTER!$AF$15,"",SUM(SUMIFS(PEMASUKAN!$J$5:$J$204,PEMASUKAN!$C$5:$C$204,TEXT(DATE(DASHBOARD!$B$4,6,1),"yyyy-mm"),PEMASUKAN!$M$5:$M$204,"Modal Partner")+SUMIFS(PEMASUKAN!$J$5:$J$204,PEMASUKAN!$C$5:$C$204,TEXT(DATE(DASHBOARD!$B$4,6,1),"yyyy-mm"),PEMASUKAN!$M$5:$M$204,"Pinjaman")))</f>
        <v>0</v>
      </c>
      <c r="H24" s="84">
        <f ca="1">IF(7&gt;MASTER!$AF$15,"",SUM(SUMIFS(PEMASUKAN!$J$5:$J$204,PEMASUKAN!$C$5:$C$204,TEXT(DATE(DASHBOARD!$B$4,7,1),"yyyy-mm"),PEMASUKAN!$M$5:$M$204,"Modal Partner")+SUMIFS(PEMASUKAN!$J$5:$J$204,PEMASUKAN!$C$5:$C$204,TEXT(DATE(DASHBOARD!$B$4,7,1),"yyyy-mm"),PEMASUKAN!$M$5:$M$204,"Pinjaman")))</f>
        <v>0</v>
      </c>
      <c r="I24" s="84">
        <f ca="1">IF(8&gt;MASTER!$AF$15,"",SUM(SUMIFS(PEMASUKAN!$J$5:$J$204,PEMASUKAN!$C$5:$C$204,TEXT(DATE(DASHBOARD!$B$4,8,1),"yyyy-mm"),PEMASUKAN!$M$5:$M$204,"Modal Partner")+SUMIFS(PEMASUKAN!$J$5:$J$204,PEMASUKAN!$C$5:$C$204,TEXT(DATE(DASHBOARD!$B$4,8,1),"yyyy-mm"),PEMASUKAN!$M$5:$M$204,"Pinjaman")))</f>
        <v>0</v>
      </c>
      <c r="J24" s="84" t="str">
        <f ca="1">IF(9&gt;MASTER!$AF$15,"",SUM(SUMIFS(PEMASUKAN!$J$5:$J$204,PEMASUKAN!$C$5:$C$204,TEXT(DATE(DASHBOARD!$B$4,9,1),"yyyy-mm"),PEMASUKAN!$M$5:$M$204,"Modal Partner")+SUMIFS(PEMASUKAN!$J$5:$J$204,PEMASUKAN!$C$5:$C$204,TEXT(DATE(DASHBOARD!$B$4,9,1),"yyyy-mm"),PEMASUKAN!$M$5:$M$204,"Pinjaman")))</f>
        <v/>
      </c>
      <c r="K24" s="84" t="str">
        <f ca="1">IF(10&gt;MASTER!$AF$15,"",SUM(SUMIFS(PEMASUKAN!$J$5:$J$204,PEMASUKAN!$C$5:$C$204,TEXT(DATE(DASHBOARD!$B$4,10,1),"yyyy-mm"),PEMASUKAN!$M$5:$M$204,"Modal Partner")+SUMIFS(PEMASUKAN!$J$5:$J$204,PEMASUKAN!$C$5:$C$204,TEXT(DATE(DASHBOARD!$B$4,10,1),"yyyy-mm"),PEMASUKAN!$M$5:$M$204,"Pinjaman")))</f>
        <v/>
      </c>
      <c r="L24" s="84" t="str">
        <f ca="1">IF(11&gt;MASTER!$AF$15,"",SUM(SUMIFS(PEMASUKAN!$J$5:$J$204,PEMASUKAN!$C$5:$C$204,TEXT(DATE(DASHBOARD!$B$4,11,1),"yyyy-mm"),PEMASUKAN!$M$5:$M$204,"Modal Partner")+SUMIFS(PEMASUKAN!$J$5:$J$204,PEMASUKAN!$C$5:$C$204,TEXT(DATE(DASHBOARD!$B$4,11,1),"yyyy-mm"),PEMASUKAN!$M$5:$M$204,"Pinjaman")))</f>
        <v/>
      </c>
      <c r="M24" s="84" t="str">
        <f ca="1">IF(12&gt;MASTER!$AF$15,"",SUM(SUMIFS(PEMASUKAN!$J$5:$J$204,PEMASUKAN!$C$5:$C$204,TEXT(DATE(DASHBOARD!$B$4,12,1),"yyyy-mm"),PEMASUKAN!$M$5:$M$204,"Modal Partner")+SUMIFS(PEMASUKAN!$J$5:$J$204,PEMASUKAN!$C$5:$C$204,TEXT(DATE(DASHBOARD!$B$4,12,1),"yyyy-mm"),PEMASUKAN!$M$5:$M$204,"Pinjaman")))</f>
        <v/>
      </c>
      <c r="N24" s="84">
        <f t="shared" ca="1" si="0"/>
        <v>0</v>
      </c>
    </row>
    <row r="25" spans="1:14">
      <c r="A25" t="s">
        <v>636</v>
      </c>
      <c r="B25" s="84">
        <f ca="1">IF(1&gt;MASTER!$AF$15,"",SUM(SUMIFS(PARTNER!$I$5:$I$124,PARTNER!$V$5:$V$124,"&gt;="&amp;DATE(DASHBOARD!$B$4,1,1),PARTNER!$V$5:$V$124,"&lt;"&amp;DATE(DASHBOARD!$B$4,2,1))))</f>
        <v>0</v>
      </c>
      <c r="C25" s="84">
        <f ca="1">IF(2&gt;MASTER!$AF$15,"",SUM(SUMIFS(PARTNER!$I$5:$I$124,PARTNER!$V$5:$V$124,"&gt;="&amp;DATE(DASHBOARD!$B$4,2,1),PARTNER!$V$5:$V$124,"&lt;"&amp;DATE(DASHBOARD!$B$4,3,1))))</f>
        <v>0</v>
      </c>
      <c r="D25" s="84">
        <f ca="1">IF(3&gt;MASTER!$AF$15,"",SUM(SUMIFS(PARTNER!$I$5:$I$124,PARTNER!$V$5:$V$124,"&gt;="&amp;DATE(DASHBOARD!$B$4,3,1),PARTNER!$V$5:$V$124,"&lt;"&amp;DATE(DASHBOARD!$B$4,4,1))))</f>
        <v>0</v>
      </c>
      <c r="E25" s="84">
        <f ca="1">IF(4&gt;MASTER!$AF$15,"",SUM(SUMIFS(PARTNER!$I$5:$I$124,PARTNER!$V$5:$V$124,"&gt;="&amp;DATE(DASHBOARD!$B$4,4,1),PARTNER!$V$5:$V$124,"&lt;"&amp;DATE(DASHBOARD!$B$4,5,1))))</f>
        <v>0</v>
      </c>
      <c r="F25" s="84">
        <f ca="1">IF(5&gt;MASTER!$AF$15,"",SUM(SUMIFS(PARTNER!$I$5:$I$124,PARTNER!$V$5:$V$124,"&gt;="&amp;DATE(DASHBOARD!$B$4,5,1),PARTNER!$V$5:$V$124,"&lt;"&amp;DATE(DASHBOARD!$B$4,6,1))))</f>
        <v>0</v>
      </c>
      <c r="G25" s="84">
        <f ca="1">IF(6&gt;MASTER!$AF$15,"",SUM(SUMIFS(PARTNER!$I$5:$I$124,PARTNER!$V$5:$V$124,"&gt;="&amp;DATE(DASHBOARD!$B$4,6,1),PARTNER!$V$5:$V$124,"&lt;"&amp;DATE(DASHBOARD!$B$4,7,1))))</f>
        <v>0</v>
      </c>
      <c r="H25" s="84">
        <f ca="1">IF(7&gt;MASTER!$AF$15,"",SUM(SUMIFS(PARTNER!$I$5:$I$124,PARTNER!$V$5:$V$124,"&gt;="&amp;DATE(DASHBOARD!$B$4,7,1),PARTNER!$V$5:$V$124,"&lt;"&amp;DATE(DASHBOARD!$B$4,8,1))))</f>
        <v>9000000</v>
      </c>
      <c r="I25" s="84">
        <f ca="1">IF(8&gt;MASTER!$AF$15,"",SUM(SUMIFS(PARTNER!$I$5:$I$124,PARTNER!$V$5:$V$124,"&gt;="&amp;DATE(DASHBOARD!$B$4,8,1),PARTNER!$V$5:$V$124,"&lt;"&amp;DATE(DASHBOARD!$B$4,9,1))))</f>
        <v>0</v>
      </c>
      <c r="J25" s="84" t="str">
        <f ca="1">IF(9&gt;MASTER!$AF$15,"",SUM(SUMIFS(PARTNER!$I$5:$I$124,PARTNER!$V$5:$V$124,"&gt;="&amp;DATE(DASHBOARD!$B$4,9,1),PARTNER!$V$5:$V$124,"&lt;"&amp;DATE(DASHBOARD!$B$4,10,1))))</f>
        <v/>
      </c>
      <c r="K25" s="84" t="str">
        <f ca="1">IF(10&gt;MASTER!$AF$15,"",SUM(SUMIFS(PARTNER!$I$5:$I$124,PARTNER!$V$5:$V$124,"&gt;="&amp;DATE(DASHBOARD!$B$4,10,1),PARTNER!$V$5:$V$124,"&lt;"&amp;DATE(DASHBOARD!$B$4,11,1))))</f>
        <v/>
      </c>
      <c r="L25" s="84" t="str">
        <f ca="1">IF(11&gt;MASTER!$AF$15,"",SUM(SUMIFS(PARTNER!$I$5:$I$124,PARTNER!$V$5:$V$124,"&gt;="&amp;DATE(DASHBOARD!$B$4,11,1),PARTNER!$V$5:$V$124,"&lt;"&amp;DATE(DASHBOARD!$B$4,12,1))))</f>
        <v/>
      </c>
      <c r="M25" s="84" t="str">
        <f ca="1">IF(12&gt;MASTER!$AF$15,"",SUM(SUMIFS(PARTNER!$I$5:$I$124,PARTNER!$V$5:$V$124,"&gt;="&amp;DATE(DASHBOARD!$B$4,12,1),PARTNER!$V$5:$V$124,"&lt;"&amp;DATE(DASHBOARD!$B$4,13,1))))</f>
        <v/>
      </c>
      <c r="N25" s="84">
        <f t="shared" ca="1" si="0"/>
        <v>9000000</v>
      </c>
    </row>
    <row r="26" spans="1:14">
      <c r="A26" t="s">
        <v>637</v>
      </c>
      <c r="B26" s="84">
        <f ca="1">IF(1&gt;MASTER!$AF$15,"",SUM(TALANGAN_PARTNER!B19+SUMIFS(REIMBURSE!$J$5:$J$124,REIMBURSE!$C$5:$C$124,MASTER!$A$5,REIMBURSE!$N$5:$N$124,"&gt;="&amp;DATE(DASHBOARD!$B$4,1,1),REIMBURSE!$N$5:$N$124,"&lt;"&amp;DATE(DASHBOARD!$B$4,2,1))+SUMIFS(REIMBURSE!$J$5:$J$124,REIMBURSE!$C$5:$C$124,MASTER!$A$6,REIMBURSE!$N$5:$N$124,"&gt;="&amp;DATE(DASHBOARD!$B$4,1,1),REIMBURSE!$N$5:$N$124,"&lt;"&amp;DATE(DASHBOARD!$B$4,2,1))+SUMIFS(REIMBURSE!$J$5:$J$124,REIMBURSE!$C$5:$C$124,MASTER!$A$7,REIMBURSE!$N$5:$N$124,"&gt;="&amp;DATE(DASHBOARD!$B$4,1,1),REIMBURSE!$N$5:$N$124,"&lt;"&amp;DATE(DASHBOARD!$B$4,2,1))+SUMIFS(PARTNER!$I$5:$I$124,PARTNER!$E$5:$E$124,MASTER!$Y$9,PARTNER!$V$5:$V$124,"&gt;="&amp;DATE(DASHBOARD!$B$4,1,1),PARTNER!$V$5:$V$124,"&lt;"&amp;DATE(DASHBOARD!$B$4,2,1))))</f>
        <v>0</v>
      </c>
      <c r="C26" s="84">
        <f ca="1">IF(2&gt;MASTER!$AF$15,"",SUM(TALANGAN_PARTNER!C19+SUMIFS(REIMBURSE!$J$5:$J$124,REIMBURSE!$C$5:$C$124,MASTER!$A$5,REIMBURSE!$N$5:$N$124,"&gt;="&amp;DATE(DASHBOARD!$B$4,2,1),REIMBURSE!$N$5:$N$124,"&lt;"&amp;DATE(DASHBOARD!$B$4,3,1))+SUMIFS(REIMBURSE!$J$5:$J$124,REIMBURSE!$C$5:$C$124,MASTER!$A$6,REIMBURSE!$N$5:$N$124,"&gt;="&amp;DATE(DASHBOARD!$B$4,2,1),REIMBURSE!$N$5:$N$124,"&lt;"&amp;DATE(DASHBOARD!$B$4,3,1))+SUMIFS(REIMBURSE!$J$5:$J$124,REIMBURSE!$C$5:$C$124,MASTER!$A$7,REIMBURSE!$N$5:$N$124,"&gt;="&amp;DATE(DASHBOARD!$B$4,2,1),REIMBURSE!$N$5:$N$124,"&lt;"&amp;DATE(DASHBOARD!$B$4,3,1))+SUMIFS(PARTNER!$I$5:$I$124,PARTNER!$E$5:$E$124,MASTER!$Y$9,PARTNER!$V$5:$V$124,"&gt;="&amp;DATE(DASHBOARD!$B$4,2,1),PARTNER!$V$5:$V$124,"&lt;"&amp;DATE(DASHBOARD!$B$4,3,1))))</f>
        <v>0</v>
      </c>
      <c r="D26" s="84">
        <f ca="1">IF(3&gt;MASTER!$AF$15,"",SUM(TALANGAN_PARTNER!D19+SUMIFS(REIMBURSE!$J$5:$J$124,REIMBURSE!$C$5:$C$124,MASTER!$A$5,REIMBURSE!$N$5:$N$124,"&gt;="&amp;DATE(DASHBOARD!$B$4,3,1),REIMBURSE!$N$5:$N$124,"&lt;"&amp;DATE(DASHBOARD!$B$4,4,1))+SUMIFS(REIMBURSE!$J$5:$J$124,REIMBURSE!$C$5:$C$124,MASTER!$A$6,REIMBURSE!$N$5:$N$124,"&gt;="&amp;DATE(DASHBOARD!$B$4,3,1),REIMBURSE!$N$5:$N$124,"&lt;"&amp;DATE(DASHBOARD!$B$4,4,1))+SUMIFS(REIMBURSE!$J$5:$J$124,REIMBURSE!$C$5:$C$124,MASTER!$A$7,REIMBURSE!$N$5:$N$124,"&gt;="&amp;DATE(DASHBOARD!$B$4,3,1),REIMBURSE!$N$5:$N$124,"&lt;"&amp;DATE(DASHBOARD!$B$4,4,1))+SUMIFS(PARTNER!$I$5:$I$124,PARTNER!$E$5:$E$124,MASTER!$Y$9,PARTNER!$V$5:$V$124,"&gt;="&amp;DATE(DASHBOARD!$B$4,3,1),PARTNER!$V$5:$V$124,"&lt;"&amp;DATE(DASHBOARD!$B$4,4,1))))</f>
        <v>0</v>
      </c>
      <c r="E26" s="84">
        <f ca="1">IF(4&gt;MASTER!$AF$15,"",SUM(TALANGAN_PARTNER!E19+SUMIFS(REIMBURSE!$J$5:$J$124,REIMBURSE!$C$5:$C$124,MASTER!$A$5,REIMBURSE!$N$5:$N$124,"&gt;="&amp;DATE(DASHBOARD!$B$4,4,1),REIMBURSE!$N$5:$N$124,"&lt;"&amp;DATE(DASHBOARD!$B$4,5,1))+SUMIFS(REIMBURSE!$J$5:$J$124,REIMBURSE!$C$5:$C$124,MASTER!$A$6,REIMBURSE!$N$5:$N$124,"&gt;="&amp;DATE(DASHBOARD!$B$4,4,1),REIMBURSE!$N$5:$N$124,"&lt;"&amp;DATE(DASHBOARD!$B$4,5,1))+SUMIFS(REIMBURSE!$J$5:$J$124,REIMBURSE!$C$5:$C$124,MASTER!$A$7,REIMBURSE!$N$5:$N$124,"&gt;="&amp;DATE(DASHBOARD!$B$4,4,1),REIMBURSE!$N$5:$N$124,"&lt;"&amp;DATE(DASHBOARD!$B$4,5,1))+SUMIFS(PARTNER!$I$5:$I$124,PARTNER!$E$5:$E$124,MASTER!$Y$9,PARTNER!$V$5:$V$124,"&gt;="&amp;DATE(DASHBOARD!$B$4,4,1),PARTNER!$V$5:$V$124,"&lt;"&amp;DATE(DASHBOARD!$B$4,5,1))))</f>
        <v>0</v>
      </c>
      <c r="F26" s="84">
        <f ca="1">IF(5&gt;MASTER!$AF$15,"",SUM(TALANGAN_PARTNER!F19+SUMIFS(REIMBURSE!$J$5:$J$124,REIMBURSE!$C$5:$C$124,MASTER!$A$5,REIMBURSE!$N$5:$N$124,"&gt;="&amp;DATE(DASHBOARD!$B$4,5,1),REIMBURSE!$N$5:$N$124,"&lt;"&amp;DATE(DASHBOARD!$B$4,6,1))+SUMIFS(REIMBURSE!$J$5:$J$124,REIMBURSE!$C$5:$C$124,MASTER!$A$6,REIMBURSE!$N$5:$N$124,"&gt;="&amp;DATE(DASHBOARD!$B$4,5,1),REIMBURSE!$N$5:$N$124,"&lt;"&amp;DATE(DASHBOARD!$B$4,6,1))+SUMIFS(REIMBURSE!$J$5:$J$124,REIMBURSE!$C$5:$C$124,MASTER!$A$7,REIMBURSE!$N$5:$N$124,"&gt;="&amp;DATE(DASHBOARD!$B$4,5,1),REIMBURSE!$N$5:$N$124,"&lt;"&amp;DATE(DASHBOARD!$B$4,6,1))+SUMIFS(PARTNER!$I$5:$I$124,PARTNER!$E$5:$E$124,MASTER!$Y$9,PARTNER!$V$5:$V$124,"&gt;="&amp;DATE(DASHBOARD!$B$4,5,1),PARTNER!$V$5:$V$124,"&lt;"&amp;DATE(DASHBOARD!$B$4,6,1))))</f>
        <v>0</v>
      </c>
      <c r="G26" s="84">
        <f ca="1">IF(6&gt;MASTER!$AF$15,"",SUM(TALANGAN_PARTNER!G19+SUMIFS(REIMBURSE!$J$5:$J$124,REIMBURSE!$C$5:$C$124,MASTER!$A$5,REIMBURSE!$N$5:$N$124,"&gt;="&amp;DATE(DASHBOARD!$B$4,6,1),REIMBURSE!$N$5:$N$124,"&lt;"&amp;DATE(DASHBOARD!$B$4,7,1))+SUMIFS(REIMBURSE!$J$5:$J$124,REIMBURSE!$C$5:$C$124,MASTER!$A$6,REIMBURSE!$N$5:$N$124,"&gt;="&amp;DATE(DASHBOARD!$B$4,6,1),REIMBURSE!$N$5:$N$124,"&lt;"&amp;DATE(DASHBOARD!$B$4,7,1))+SUMIFS(REIMBURSE!$J$5:$J$124,REIMBURSE!$C$5:$C$124,MASTER!$A$7,REIMBURSE!$N$5:$N$124,"&gt;="&amp;DATE(DASHBOARD!$B$4,6,1),REIMBURSE!$N$5:$N$124,"&lt;"&amp;DATE(DASHBOARD!$B$4,7,1))+SUMIFS(PARTNER!$I$5:$I$124,PARTNER!$E$5:$E$124,MASTER!$Y$9,PARTNER!$V$5:$V$124,"&gt;="&amp;DATE(DASHBOARD!$B$4,6,1),PARTNER!$V$5:$V$124,"&lt;"&amp;DATE(DASHBOARD!$B$4,7,1))))</f>
        <v>0</v>
      </c>
      <c r="H26" s="84">
        <f ca="1">IF(7&gt;MASTER!$AF$15,"",SUM(TALANGAN_PARTNER!H19+SUMIFS(REIMBURSE!$J$5:$J$124,REIMBURSE!$C$5:$C$124,MASTER!$A$5,REIMBURSE!$N$5:$N$124,"&gt;="&amp;DATE(DASHBOARD!$B$4,7,1),REIMBURSE!$N$5:$N$124,"&lt;"&amp;DATE(DASHBOARD!$B$4,8,1))+SUMIFS(REIMBURSE!$J$5:$J$124,REIMBURSE!$C$5:$C$124,MASTER!$A$6,REIMBURSE!$N$5:$N$124,"&gt;="&amp;DATE(DASHBOARD!$B$4,7,1),REIMBURSE!$N$5:$N$124,"&lt;"&amp;DATE(DASHBOARD!$B$4,8,1))+SUMIFS(REIMBURSE!$J$5:$J$124,REIMBURSE!$C$5:$C$124,MASTER!$A$7,REIMBURSE!$N$5:$N$124,"&gt;="&amp;DATE(DASHBOARD!$B$4,7,1),REIMBURSE!$N$5:$N$124,"&lt;"&amp;DATE(DASHBOARD!$B$4,8,1))+SUMIFS(PARTNER!$I$5:$I$124,PARTNER!$E$5:$E$124,MASTER!$Y$9,PARTNER!$V$5:$V$124,"&gt;="&amp;DATE(DASHBOARD!$B$4,7,1),PARTNER!$V$5:$V$124,"&lt;"&amp;DATE(DASHBOARD!$B$4,8,1))))</f>
        <v>1000000</v>
      </c>
      <c r="I26" s="84">
        <f ca="1">IF(8&gt;MASTER!$AF$15,"",SUM(TALANGAN_PARTNER!I19+SUMIFS(REIMBURSE!$J$5:$J$124,REIMBURSE!$C$5:$C$124,MASTER!$A$5,REIMBURSE!$N$5:$N$124,"&gt;="&amp;DATE(DASHBOARD!$B$4,8,1),REIMBURSE!$N$5:$N$124,"&lt;"&amp;DATE(DASHBOARD!$B$4,9,1))+SUMIFS(REIMBURSE!$J$5:$J$124,REIMBURSE!$C$5:$C$124,MASTER!$A$6,REIMBURSE!$N$5:$N$124,"&gt;="&amp;DATE(DASHBOARD!$B$4,8,1),REIMBURSE!$N$5:$N$124,"&lt;"&amp;DATE(DASHBOARD!$B$4,9,1))+SUMIFS(REIMBURSE!$J$5:$J$124,REIMBURSE!$C$5:$C$124,MASTER!$A$7,REIMBURSE!$N$5:$N$124,"&gt;="&amp;DATE(DASHBOARD!$B$4,8,1),REIMBURSE!$N$5:$N$124,"&lt;"&amp;DATE(DASHBOARD!$B$4,9,1))+SUMIFS(PARTNER!$I$5:$I$124,PARTNER!$E$5:$E$124,MASTER!$Y$9,PARTNER!$V$5:$V$124,"&gt;="&amp;DATE(DASHBOARD!$B$4,8,1),PARTNER!$V$5:$V$124,"&lt;"&amp;DATE(DASHBOARD!$B$4,9,1))))</f>
        <v>0</v>
      </c>
      <c r="J26" s="84" t="str">
        <f ca="1">IF(9&gt;MASTER!$AF$15,"",SUM(TALANGAN_PARTNER!J19+SUMIFS(REIMBURSE!$J$5:$J$124,REIMBURSE!$C$5:$C$124,MASTER!$A$5,REIMBURSE!$N$5:$N$124,"&gt;="&amp;DATE(DASHBOARD!$B$4,9,1),REIMBURSE!$N$5:$N$124,"&lt;"&amp;DATE(DASHBOARD!$B$4,10,1))+SUMIFS(REIMBURSE!$J$5:$J$124,REIMBURSE!$C$5:$C$124,MASTER!$A$6,REIMBURSE!$N$5:$N$124,"&gt;="&amp;DATE(DASHBOARD!$B$4,9,1),REIMBURSE!$N$5:$N$124,"&lt;"&amp;DATE(DASHBOARD!$B$4,10,1))+SUMIFS(REIMBURSE!$J$5:$J$124,REIMBURSE!$C$5:$C$124,MASTER!$A$7,REIMBURSE!$N$5:$N$124,"&gt;="&amp;DATE(DASHBOARD!$B$4,9,1),REIMBURSE!$N$5:$N$124,"&lt;"&amp;DATE(DASHBOARD!$B$4,10,1))+SUMIFS(PARTNER!$I$5:$I$124,PARTNER!$E$5:$E$124,MASTER!$Y$9,PARTNER!$V$5:$V$124,"&gt;="&amp;DATE(DASHBOARD!$B$4,9,1),PARTNER!$V$5:$V$124,"&lt;"&amp;DATE(DASHBOARD!$B$4,10,1))))</f>
        <v/>
      </c>
      <c r="K26" s="84" t="str">
        <f ca="1">IF(10&gt;MASTER!$AF$15,"",SUM(TALANGAN_PARTNER!K19+SUMIFS(REIMBURSE!$J$5:$J$124,REIMBURSE!$C$5:$C$124,MASTER!$A$5,REIMBURSE!$N$5:$N$124,"&gt;="&amp;DATE(DASHBOARD!$B$4,10,1),REIMBURSE!$N$5:$N$124,"&lt;"&amp;DATE(DASHBOARD!$B$4,11,1))+SUMIFS(REIMBURSE!$J$5:$J$124,REIMBURSE!$C$5:$C$124,MASTER!$A$6,REIMBURSE!$N$5:$N$124,"&gt;="&amp;DATE(DASHBOARD!$B$4,10,1),REIMBURSE!$N$5:$N$124,"&lt;"&amp;DATE(DASHBOARD!$B$4,11,1))+SUMIFS(REIMBURSE!$J$5:$J$124,REIMBURSE!$C$5:$C$124,MASTER!$A$7,REIMBURSE!$N$5:$N$124,"&gt;="&amp;DATE(DASHBOARD!$B$4,10,1),REIMBURSE!$N$5:$N$124,"&lt;"&amp;DATE(DASHBOARD!$B$4,11,1))+SUMIFS(PARTNER!$I$5:$I$124,PARTNER!$E$5:$E$124,MASTER!$Y$9,PARTNER!$V$5:$V$124,"&gt;="&amp;DATE(DASHBOARD!$B$4,10,1),PARTNER!$V$5:$V$124,"&lt;"&amp;DATE(DASHBOARD!$B$4,11,1))))</f>
        <v/>
      </c>
      <c r="L26" s="84" t="str">
        <f ca="1">IF(11&gt;MASTER!$AF$15,"",SUM(TALANGAN_PARTNER!L19+SUMIFS(REIMBURSE!$J$5:$J$124,REIMBURSE!$C$5:$C$124,MASTER!$A$5,REIMBURSE!$N$5:$N$124,"&gt;="&amp;DATE(DASHBOARD!$B$4,11,1),REIMBURSE!$N$5:$N$124,"&lt;"&amp;DATE(DASHBOARD!$B$4,12,1))+SUMIFS(REIMBURSE!$J$5:$J$124,REIMBURSE!$C$5:$C$124,MASTER!$A$6,REIMBURSE!$N$5:$N$124,"&gt;="&amp;DATE(DASHBOARD!$B$4,11,1),REIMBURSE!$N$5:$N$124,"&lt;"&amp;DATE(DASHBOARD!$B$4,12,1))+SUMIFS(REIMBURSE!$J$5:$J$124,REIMBURSE!$C$5:$C$124,MASTER!$A$7,REIMBURSE!$N$5:$N$124,"&gt;="&amp;DATE(DASHBOARD!$B$4,11,1),REIMBURSE!$N$5:$N$124,"&lt;"&amp;DATE(DASHBOARD!$B$4,12,1))+SUMIFS(PARTNER!$I$5:$I$124,PARTNER!$E$5:$E$124,MASTER!$Y$9,PARTNER!$V$5:$V$124,"&gt;="&amp;DATE(DASHBOARD!$B$4,11,1),PARTNER!$V$5:$V$124,"&lt;"&amp;DATE(DASHBOARD!$B$4,12,1))))</f>
        <v/>
      </c>
      <c r="M26" s="84" t="str">
        <f ca="1">IF(12&gt;MASTER!$AF$15,"",SUM(TALANGAN_PARTNER!M19+SUMIFS(REIMBURSE!$J$5:$J$124,REIMBURSE!$C$5:$C$124,MASTER!$A$5,REIMBURSE!$N$5:$N$124,"&gt;="&amp;DATE(DASHBOARD!$B$4,12,1),REIMBURSE!$N$5:$N$124,"&lt;"&amp;DATE(DASHBOARD!$B$4,13,1))+SUMIFS(REIMBURSE!$J$5:$J$124,REIMBURSE!$C$5:$C$124,MASTER!$A$6,REIMBURSE!$N$5:$N$124,"&gt;="&amp;DATE(DASHBOARD!$B$4,12,1),REIMBURSE!$N$5:$N$124,"&lt;"&amp;DATE(DASHBOARD!$B$4,13,1))+SUMIFS(REIMBURSE!$J$5:$J$124,REIMBURSE!$C$5:$C$124,MASTER!$A$7,REIMBURSE!$N$5:$N$124,"&gt;="&amp;DATE(DASHBOARD!$B$4,12,1),REIMBURSE!$N$5:$N$124,"&lt;"&amp;DATE(DASHBOARD!$B$4,13,1))+SUMIFS(PARTNER!$I$5:$I$124,PARTNER!$E$5:$E$124,MASTER!$Y$9,PARTNER!$V$5:$V$124,"&gt;="&amp;DATE(DASHBOARD!$B$4,12,1),PARTNER!$V$5:$V$124,"&lt;"&amp;DATE(DASHBOARD!$B$4,13,1))))</f>
        <v/>
      </c>
      <c r="N26" s="84">
        <f t="shared" ca="1" si="0"/>
        <v>1000000</v>
      </c>
    </row>
    <row r="27" spans="1:14">
      <c r="A27" s="20" t="s">
        <v>315</v>
      </c>
      <c r="B27" s="89">
        <v>0</v>
      </c>
      <c r="C27" s="89"/>
      <c r="D27" s="89"/>
      <c r="E27" s="89"/>
      <c r="F27" s="89"/>
      <c r="G27" s="89"/>
      <c r="H27" s="89"/>
      <c r="I27" s="89"/>
      <c r="J27" s="89"/>
      <c r="K27" s="89"/>
      <c r="L27" s="89"/>
      <c r="M27" s="89"/>
      <c r="N27" s="89">
        <f t="shared" si="0"/>
        <v>0</v>
      </c>
    </row>
    <row r="28" spans="1:14" ht="14.4">
      <c r="A28" s="92" t="s">
        <v>638</v>
      </c>
      <c r="B28" s="93">
        <f ca="1">IF(1&gt;MASTER!$AF$15,"",SUM(SUMIFS(TRANSFER_KAS!$F$5:$F$204,TRANSFER_KAS!$D$5:$D$204,"Bank Dana Klien",TRANSFER_KAS!$E$5:$E$204,"&lt;&gt;Bank Dana Klien",TRANSFER_KAS!$B$5:$B$204,"&gt;="&amp;DATE(DASHBOARD!$B$4,1,1),TRANSFER_KAS!$B$5:$B$204,"&lt;"&amp;DATE(DASHBOARD!$B$4,2,1))-SUMIFS(TRANSFER_KAS!$F$5:$F$204,TRANSFER_KAS!$E$5:$E$204,"Bank Dana Klien",TRANSFER_KAS!$D$5:$D$204,"&lt;&gt;Bank Dana Klien",TRANSFER_KAS!$B$5:$B$204,"&gt;="&amp;DATE(DASHBOARD!$B$4,1,1),TRANSFER_KAS!$B$5:$B$204,"&lt;"&amp;DATE(DASHBOARD!$B$4,2,1))))</f>
        <v>0</v>
      </c>
      <c r="C28" s="93">
        <f ca="1">IF(2&gt;MASTER!$AF$15,"",SUM(SUMIFS(TRANSFER_KAS!$F$5:$F$204,TRANSFER_KAS!$D$5:$D$204,"Bank Dana Klien",TRANSFER_KAS!$E$5:$E$204,"&lt;&gt;Bank Dana Klien",TRANSFER_KAS!$B$5:$B$204,"&gt;="&amp;DATE(DASHBOARD!$B$4,2,1),TRANSFER_KAS!$B$5:$B$204,"&lt;"&amp;DATE(DASHBOARD!$B$4,3,1))-SUMIFS(TRANSFER_KAS!$F$5:$F$204,TRANSFER_KAS!$E$5:$E$204,"Bank Dana Klien",TRANSFER_KAS!$D$5:$D$204,"&lt;&gt;Bank Dana Klien",TRANSFER_KAS!$B$5:$B$204,"&gt;="&amp;DATE(DASHBOARD!$B$4,2,1),TRANSFER_KAS!$B$5:$B$204,"&lt;"&amp;DATE(DASHBOARD!$B$4,3,1))))</f>
        <v>0</v>
      </c>
      <c r="D28" s="93">
        <f ca="1">IF(3&gt;MASTER!$AF$15,"",SUM(SUMIFS(TRANSFER_KAS!$F$5:$F$204,TRANSFER_KAS!$D$5:$D$204,"Bank Dana Klien",TRANSFER_KAS!$E$5:$E$204,"&lt;&gt;Bank Dana Klien",TRANSFER_KAS!$B$5:$B$204,"&gt;="&amp;DATE(DASHBOARD!$B$4,3,1),TRANSFER_KAS!$B$5:$B$204,"&lt;"&amp;DATE(DASHBOARD!$B$4,4,1))-SUMIFS(TRANSFER_KAS!$F$5:$F$204,TRANSFER_KAS!$E$5:$E$204,"Bank Dana Klien",TRANSFER_KAS!$D$5:$D$204,"&lt;&gt;Bank Dana Klien",TRANSFER_KAS!$B$5:$B$204,"&gt;="&amp;DATE(DASHBOARD!$B$4,3,1),TRANSFER_KAS!$B$5:$B$204,"&lt;"&amp;DATE(DASHBOARD!$B$4,4,1))))</f>
        <v>0</v>
      </c>
      <c r="E28" s="93">
        <f ca="1">IF(4&gt;MASTER!$AF$15,"",SUM(SUMIFS(TRANSFER_KAS!$F$5:$F$204,TRANSFER_KAS!$D$5:$D$204,"Bank Dana Klien",TRANSFER_KAS!$E$5:$E$204,"&lt;&gt;Bank Dana Klien",TRANSFER_KAS!$B$5:$B$204,"&gt;="&amp;DATE(DASHBOARD!$B$4,4,1),TRANSFER_KAS!$B$5:$B$204,"&lt;"&amp;DATE(DASHBOARD!$B$4,5,1))-SUMIFS(TRANSFER_KAS!$F$5:$F$204,TRANSFER_KAS!$E$5:$E$204,"Bank Dana Klien",TRANSFER_KAS!$D$5:$D$204,"&lt;&gt;Bank Dana Klien",TRANSFER_KAS!$B$5:$B$204,"&gt;="&amp;DATE(DASHBOARD!$B$4,4,1),TRANSFER_KAS!$B$5:$B$204,"&lt;"&amp;DATE(DASHBOARD!$B$4,5,1))))</f>
        <v>0</v>
      </c>
      <c r="F28" s="93">
        <f ca="1">IF(5&gt;MASTER!$AF$15,"",SUM(SUMIFS(TRANSFER_KAS!$F$5:$F$204,TRANSFER_KAS!$D$5:$D$204,"Bank Dana Klien",TRANSFER_KAS!$E$5:$E$204,"&lt;&gt;Bank Dana Klien",TRANSFER_KAS!$B$5:$B$204,"&gt;="&amp;DATE(DASHBOARD!$B$4,5,1),TRANSFER_KAS!$B$5:$B$204,"&lt;"&amp;DATE(DASHBOARD!$B$4,6,1))-SUMIFS(TRANSFER_KAS!$F$5:$F$204,TRANSFER_KAS!$E$5:$E$204,"Bank Dana Klien",TRANSFER_KAS!$D$5:$D$204,"&lt;&gt;Bank Dana Klien",TRANSFER_KAS!$B$5:$B$204,"&gt;="&amp;DATE(DASHBOARD!$B$4,5,1),TRANSFER_KAS!$B$5:$B$204,"&lt;"&amp;DATE(DASHBOARD!$B$4,6,1))))</f>
        <v>0</v>
      </c>
      <c r="G28" s="93">
        <f ca="1">IF(6&gt;MASTER!$AF$15,"",SUM(SUMIFS(TRANSFER_KAS!$F$5:$F$204,TRANSFER_KAS!$D$5:$D$204,"Bank Dana Klien",TRANSFER_KAS!$E$5:$E$204,"&lt;&gt;Bank Dana Klien",TRANSFER_KAS!$B$5:$B$204,"&gt;="&amp;DATE(DASHBOARD!$B$4,6,1),TRANSFER_KAS!$B$5:$B$204,"&lt;"&amp;DATE(DASHBOARD!$B$4,7,1))-SUMIFS(TRANSFER_KAS!$F$5:$F$204,TRANSFER_KAS!$E$5:$E$204,"Bank Dana Klien",TRANSFER_KAS!$D$5:$D$204,"&lt;&gt;Bank Dana Klien",TRANSFER_KAS!$B$5:$B$204,"&gt;="&amp;DATE(DASHBOARD!$B$4,6,1),TRANSFER_KAS!$B$5:$B$204,"&lt;"&amp;DATE(DASHBOARD!$B$4,7,1))))</f>
        <v>0</v>
      </c>
      <c r="H28" s="93">
        <f ca="1">IF(7&gt;MASTER!$AF$15,"",SUM(SUMIFS(TRANSFER_KAS!$F$5:$F$204,TRANSFER_KAS!$D$5:$D$204,"Bank Dana Klien",TRANSFER_KAS!$E$5:$E$204,"&lt;&gt;Bank Dana Klien",TRANSFER_KAS!$B$5:$B$204,"&gt;="&amp;DATE(DASHBOARD!$B$4,7,1),TRANSFER_KAS!$B$5:$B$204,"&lt;"&amp;DATE(DASHBOARD!$B$4,8,1))-SUMIFS(TRANSFER_KAS!$F$5:$F$204,TRANSFER_KAS!$E$5:$E$204,"Bank Dana Klien",TRANSFER_KAS!$D$5:$D$204,"&lt;&gt;Bank Dana Klien",TRANSFER_KAS!$B$5:$B$204,"&gt;="&amp;DATE(DASHBOARD!$B$4,7,1),TRANSFER_KAS!$B$5:$B$204,"&lt;"&amp;DATE(DASHBOARD!$B$4,8,1))))</f>
        <v>0</v>
      </c>
      <c r="I28" s="93">
        <f ca="1">IF(8&gt;MASTER!$AF$15,"",SUM(SUMIFS(TRANSFER_KAS!$F$5:$F$204,TRANSFER_KAS!$D$5:$D$204,"Bank Dana Klien",TRANSFER_KAS!$E$5:$E$204,"&lt;&gt;Bank Dana Klien",TRANSFER_KAS!$B$5:$B$204,"&gt;="&amp;DATE(DASHBOARD!$B$4,8,1),TRANSFER_KAS!$B$5:$B$204,"&lt;"&amp;DATE(DASHBOARD!$B$4,9,1))-SUMIFS(TRANSFER_KAS!$F$5:$F$204,TRANSFER_KAS!$E$5:$E$204,"Bank Dana Klien",TRANSFER_KAS!$D$5:$D$204,"&lt;&gt;Bank Dana Klien",TRANSFER_KAS!$B$5:$B$204,"&gt;="&amp;DATE(DASHBOARD!$B$4,8,1),TRANSFER_KAS!$B$5:$B$204,"&lt;"&amp;DATE(DASHBOARD!$B$4,9,1))))</f>
        <v>0</v>
      </c>
      <c r="J28" s="93" t="str">
        <f ca="1">IF(9&gt;MASTER!$AF$15,"",SUM(SUMIFS(TRANSFER_KAS!$F$5:$F$204,TRANSFER_KAS!$D$5:$D$204,"Bank Dana Klien",TRANSFER_KAS!$E$5:$E$204,"&lt;&gt;Bank Dana Klien",TRANSFER_KAS!$B$5:$B$204,"&gt;="&amp;DATE(DASHBOARD!$B$4,9,1),TRANSFER_KAS!$B$5:$B$204,"&lt;"&amp;DATE(DASHBOARD!$B$4,10,1))-SUMIFS(TRANSFER_KAS!$F$5:$F$204,TRANSFER_KAS!$E$5:$E$204,"Bank Dana Klien",TRANSFER_KAS!$D$5:$D$204,"&lt;&gt;Bank Dana Klien",TRANSFER_KAS!$B$5:$B$204,"&gt;="&amp;DATE(DASHBOARD!$B$4,9,1),TRANSFER_KAS!$B$5:$B$204,"&lt;"&amp;DATE(DASHBOARD!$B$4,10,1))))</f>
        <v/>
      </c>
      <c r="K28" s="93" t="str">
        <f ca="1">IF(10&gt;MASTER!$AF$15,"",SUM(SUMIFS(TRANSFER_KAS!$F$5:$F$204,TRANSFER_KAS!$D$5:$D$204,"Bank Dana Klien",TRANSFER_KAS!$E$5:$E$204,"&lt;&gt;Bank Dana Klien",TRANSFER_KAS!$B$5:$B$204,"&gt;="&amp;DATE(DASHBOARD!$B$4,10,1),TRANSFER_KAS!$B$5:$B$204,"&lt;"&amp;DATE(DASHBOARD!$B$4,11,1))-SUMIFS(TRANSFER_KAS!$F$5:$F$204,TRANSFER_KAS!$E$5:$E$204,"Bank Dana Klien",TRANSFER_KAS!$D$5:$D$204,"&lt;&gt;Bank Dana Klien",TRANSFER_KAS!$B$5:$B$204,"&gt;="&amp;DATE(DASHBOARD!$B$4,10,1),TRANSFER_KAS!$B$5:$B$204,"&lt;"&amp;DATE(DASHBOARD!$B$4,11,1))))</f>
        <v/>
      </c>
      <c r="L28" s="93" t="str">
        <f ca="1">IF(11&gt;MASTER!$AF$15,"",SUM(SUMIFS(TRANSFER_KAS!$F$5:$F$204,TRANSFER_KAS!$D$5:$D$204,"Bank Dana Klien",TRANSFER_KAS!$E$5:$E$204,"&lt;&gt;Bank Dana Klien",TRANSFER_KAS!$B$5:$B$204,"&gt;="&amp;DATE(DASHBOARD!$B$4,11,1),TRANSFER_KAS!$B$5:$B$204,"&lt;"&amp;DATE(DASHBOARD!$B$4,12,1))-SUMIFS(TRANSFER_KAS!$F$5:$F$204,TRANSFER_KAS!$E$5:$E$204,"Bank Dana Klien",TRANSFER_KAS!$D$5:$D$204,"&lt;&gt;Bank Dana Klien",TRANSFER_KAS!$B$5:$B$204,"&gt;="&amp;DATE(DASHBOARD!$B$4,11,1),TRANSFER_KAS!$B$5:$B$204,"&lt;"&amp;DATE(DASHBOARD!$B$4,12,1))))</f>
        <v/>
      </c>
      <c r="M28" s="93" t="str">
        <f ca="1">IF(12&gt;MASTER!$AF$15,"",SUM(SUMIFS(TRANSFER_KAS!$F$5:$F$204,TRANSFER_KAS!$D$5:$D$204,"Bank Dana Klien",TRANSFER_KAS!$E$5:$E$204,"&lt;&gt;Bank Dana Klien",TRANSFER_KAS!$B$5:$B$204,"&gt;="&amp;DATE(DASHBOARD!$B$4,12,1),TRANSFER_KAS!$B$5:$B$204,"&lt;"&amp;DATE(DASHBOARD!$B$4,13,1))-SUMIFS(TRANSFER_KAS!$F$5:$F$204,TRANSFER_KAS!$E$5:$E$204,"Bank Dana Klien",TRANSFER_KAS!$D$5:$D$204,"&lt;&gt;Bank Dana Klien",TRANSFER_KAS!$B$5:$B$204,"&gt;="&amp;DATE(DASHBOARD!$B$4,12,1),TRANSFER_KAS!$B$5:$B$204,"&lt;"&amp;DATE(DASHBOARD!$B$4,13,1))))</f>
        <v/>
      </c>
      <c r="N28" s="93">
        <f t="shared" ca="1" si="0"/>
        <v>0</v>
      </c>
    </row>
    <row r="29" spans="1:14">
      <c r="A29" s="61" t="s">
        <v>639</v>
      </c>
      <c r="B29" s="90">
        <f ca="1">IF(1&gt;MASTER!$AF$15,"",SUM(SUMIFS(KAS_BANK!$B$5:$B$10,KAS_BANK!$A$5:$A$10,"&lt;&gt;Bank Dana Klien")+MAX(-KAS_BANK!$B$7,0)+MAX(-KAS_BANK!$B$8,0)+MAX(-KAS_BANK!$B$9,0)))</f>
        <v>0</v>
      </c>
      <c r="C29" s="90">
        <f ca="1">IF(2&gt;MASTER!$AF$15,"",SUM(B30))</f>
        <v>0</v>
      </c>
      <c r="D29" s="90">
        <f ca="1">IF(3&gt;MASTER!$AF$15,"",SUM(C30))</f>
        <v>0</v>
      </c>
      <c r="E29" s="90">
        <f ca="1">IF(4&gt;MASTER!$AF$15,"",SUM(D30))</f>
        <v>0</v>
      </c>
      <c r="F29" s="90">
        <f ca="1">IF(5&gt;MASTER!$AF$15,"",SUM(E30))</f>
        <v>0</v>
      </c>
      <c r="G29" s="90">
        <f ca="1">IF(6&gt;MASTER!$AF$15,"",SUM(F30))</f>
        <v>0</v>
      </c>
      <c r="H29" s="90">
        <f ca="1">IF(7&gt;MASTER!$AF$15,"",SUM(G30))</f>
        <v>0</v>
      </c>
      <c r="I29" s="90">
        <f ca="1">IF(8&gt;MASTER!$AF$15,"",SUM(H30))</f>
        <v>0</v>
      </c>
      <c r="J29" s="90" t="str">
        <f ca="1">IF(9&gt;MASTER!$AF$15,"",SUM(I30))</f>
        <v/>
      </c>
      <c r="K29" s="90" t="str">
        <f ca="1">IF(10&gt;MASTER!$AF$15,"",SUM(J30))</f>
        <v/>
      </c>
      <c r="L29" s="90" t="str">
        <f ca="1">IF(11&gt;MASTER!$AF$15,"",SUM(K30))</f>
        <v/>
      </c>
      <c r="M29" s="90" t="str">
        <f ca="1">IF(12&gt;MASTER!$AF$15,"",SUM(L30))</f>
        <v/>
      </c>
      <c r="N29" s="90">
        <f ca="1">B29</f>
        <v>0</v>
      </c>
    </row>
    <row r="30" spans="1:14">
      <c r="A30" s="62" t="s">
        <v>640</v>
      </c>
      <c r="B30" s="91">
        <f ca="1">IF(1&gt;MASTER!$AF$15,"",SUM(B29+B27))</f>
        <v>0</v>
      </c>
      <c r="C30" s="91">
        <f ca="1">IF(2&gt;MASTER!$AF$15,"",SUM(C29+C27))</f>
        <v>0</v>
      </c>
      <c r="D30" s="91">
        <f ca="1">IF(3&gt;MASTER!$AF$15,"",SUM(D29+D27))</f>
        <v>0</v>
      </c>
      <c r="E30" s="91">
        <f ca="1">IF(4&gt;MASTER!$AF$15,"",SUM(E29+E27))</f>
        <v>0</v>
      </c>
      <c r="F30" s="91">
        <f ca="1">IF(5&gt;MASTER!$AF$15,"",SUM(F29+F27))</f>
        <v>0</v>
      </c>
      <c r="G30" s="91">
        <f ca="1">IF(6&gt;MASTER!$AF$15,"",SUM(G29+G27))</f>
        <v>0</v>
      </c>
      <c r="H30" s="91">
        <f ca="1">IF(7&gt;MASTER!$AF$15,"",SUM(H29+H27))</f>
        <v>0</v>
      </c>
      <c r="I30" s="91">
        <f ca="1">IF(8&gt;MASTER!$AF$15,"",SUM(I29+I27))</f>
        <v>0</v>
      </c>
      <c r="J30" s="91" t="str">
        <f ca="1">IF(9&gt;MASTER!$AF$15,"",SUM(J29+J27))</f>
        <v/>
      </c>
      <c r="K30" s="91" t="str">
        <f ca="1">IF(10&gt;MASTER!$AF$15,"",SUM(K29+K27))</f>
        <v/>
      </c>
      <c r="L30" s="91" t="str">
        <f ca="1">IF(11&gt;MASTER!$AF$15,"",SUM(L29+L27))</f>
        <v/>
      </c>
      <c r="M30" s="91" t="str">
        <f ca="1">IF(12&gt;MASTER!$AF$15,"",SUM(M29+M27))</f>
        <v/>
      </c>
      <c r="N30" s="91">
        <f ca="1">INDEX(B30:M30,1,MASTER!$AF$15)</f>
        <v>0</v>
      </c>
    </row>
  </sheetData>
  <mergeCells count="2">
    <mergeCell ref="A3:N3"/>
    <mergeCell ref="A1: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32"/>
  <sheetViews>
    <sheetView showGridLines="0" workbookViewId="0">
      <selection sqref="A1:J2"/>
    </sheetView>
  </sheetViews>
  <sheetFormatPr defaultRowHeight="13.8"/>
  <cols>
    <col min="1" max="1" width="15" customWidth="1"/>
    <col min="2" max="2" width="25" customWidth="1"/>
    <col min="3" max="3" width="22" customWidth="1"/>
    <col min="4" max="4" width="21" customWidth="1"/>
    <col min="5" max="5" width="22" customWidth="1"/>
    <col min="6" max="6" width="21" customWidth="1"/>
    <col min="7" max="7" width="26" customWidth="1"/>
    <col min="8" max="8" width="21" customWidth="1"/>
    <col min="9" max="9" width="17" customWidth="1"/>
    <col min="10" max="10" width="39" customWidth="1"/>
  </cols>
  <sheetData>
    <row r="1" spans="1:10" ht="25.05" customHeight="1">
      <c r="A1" s="237" t="s">
        <v>267</v>
      </c>
      <c r="B1" s="237" t="s">
        <v>267</v>
      </c>
      <c r="C1" s="237" t="s">
        <v>267</v>
      </c>
      <c r="D1" s="237" t="s">
        <v>267</v>
      </c>
      <c r="E1" s="237" t="s">
        <v>267</v>
      </c>
      <c r="F1" s="237" t="s">
        <v>267</v>
      </c>
      <c r="G1" s="237" t="s">
        <v>267</v>
      </c>
      <c r="H1" s="237" t="s">
        <v>267</v>
      </c>
      <c r="I1" s="237" t="s">
        <v>267</v>
      </c>
      <c r="J1" s="237" t="s">
        <v>267</v>
      </c>
    </row>
    <row r="2" spans="1:10" ht="25.05" customHeight="1">
      <c r="A2" s="237" t="s">
        <v>267</v>
      </c>
      <c r="B2" s="237" t="s">
        <v>267</v>
      </c>
      <c r="C2" s="237" t="s">
        <v>267</v>
      </c>
      <c r="D2" s="237" t="s">
        <v>267</v>
      </c>
      <c r="E2" s="237" t="s">
        <v>267</v>
      </c>
      <c r="F2" s="237" t="s">
        <v>267</v>
      </c>
      <c r="G2" s="237" t="s">
        <v>267</v>
      </c>
      <c r="H2" s="237" t="s">
        <v>267</v>
      </c>
      <c r="I2" s="237" t="s">
        <v>267</v>
      </c>
      <c r="J2" s="237" t="s">
        <v>267</v>
      </c>
    </row>
    <row r="3" spans="1:10" ht="22.95" customHeight="1">
      <c r="A3" s="236" t="s">
        <v>268</v>
      </c>
      <c r="B3" s="236" t="s">
        <v>268</v>
      </c>
      <c r="C3" s="236" t="s">
        <v>268</v>
      </c>
      <c r="D3" s="236" t="s">
        <v>268</v>
      </c>
      <c r="E3" s="236" t="s">
        <v>268</v>
      </c>
      <c r="F3" s="236" t="s">
        <v>268</v>
      </c>
      <c r="G3" s="236" t="s">
        <v>268</v>
      </c>
      <c r="H3" s="236" t="s">
        <v>268</v>
      </c>
      <c r="I3" s="236" t="s">
        <v>268</v>
      </c>
      <c r="J3" s="236" t="s">
        <v>268</v>
      </c>
    </row>
    <row r="4" spans="1:10" ht="37.049999999999997" customHeight="1">
      <c r="A4" s="7" t="s">
        <v>84</v>
      </c>
      <c r="B4" s="7" t="s">
        <v>269</v>
      </c>
      <c r="C4" s="7" t="s">
        <v>270</v>
      </c>
      <c r="D4" s="7" t="s">
        <v>271</v>
      </c>
      <c r="E4" s="7" t="s">
        <v>272</v>
      </c>
      <c r="F4" s="7" t="s">
        <v>273</v>
      </c>
      <c r="G4" s="7" t="s">
        <v>180</v>
      </c>
      <c r="H4" s="7" t="s">
        <v>274</v>
      </c>
      <c r="I4" s="7" t="s">
        <v>275</v>
      </c>
      <c r="J4" s="7" t="s">
        <v>79</v>
      </c>
    </row>
    <row r="5" spans="1:10">
      <c r="A5" t="str">
        <f>TEXT(DATE(DASHBOARD!$B$4,1,1),"yyyy-mm")</f>
        <v>2026-01</v>
      </c>
      <c r="B5" t="s">
        <v>616</v>
      </c>
      <c r="C5" s="72"/>
      <c r="D5" s="73">
        <f>IF(A5="","",IF(B5="Gaji dan Honor",SUMIFS(GAJI!$Q$5:$Q$124,GAJI!$B$5:$B$124,"&gt;="&amp;DATE(LEFT(A5,4),RIGHT(A5,2),1),GAJI!$B$5:$B$124,"&lt;"&amp;DATE(LEFT(A5,4),RIGHT(A5,2)+1,1)),SUMIFS(PENGELUARAN!$K$5:$K$204,PENGELUARAN!$C$5:$C$204,A5,PENGELUARAN!$G$5:$G$204,B5,PENGELUARAN!$L$5:$L$204,"Kantor")))</f>
        <v>0</v>
      </c>
      <c r="E5" s="73">
        <f t="shared" ref="E5:E36" si="0">IF(A5="","",C5-D5)</f>
        <v>0</v>
      </c>
      <c r="F5" s="69">
        <f t="shared" ref="F5:F36" si="1">IF(OR(A5="",C5=0),0,D5/C5)</f>
        <v>0</v>
      </c>
      <c r="G5" s="9" t="str">
        <f t="shared" ref="G5:G36" si="2">IF(A5="","",IF(C5=0,IF(D5&gt;0,"Belum Dianggarkan","Belum Diisi"),IF(E5&lt;0,"Melebihi Anggaran",IF(F5&gt;=0.9,"Hampir Habis","Aman"))))</f>
        <v>Belum Diisi</v>
      </c>
      <c r="H5" s="6"/>
      <c r="I5" s="6"/>
      <c r="J5" s="6"/>
    </row>
    <row r="6" spans="1:10">
      <c r="A6" t="str">
        <f>TEXT(DATE(DASHBOARD!$B$4,1,1),"yyyy-mm")</f>
        <v>2026-01</v>
      </c>
      <c r="B6" t="str">
        <f>MASTER!E5</f>
        <v>Transportasi</v>
      </c>
      <c r="C6" s="72"/>
      <c r="D6" s="73">
        <f>IF(A6="","",IF(B6="Gaji dan Honor",SUMIFS(GAJI!$Q$5:$Q$124,GAJI!$B$5:$B$124,"&gt;="&amp;DATE(LEFT(A6,4),RIGHT(A6,2),1),GAJI!$B$5:$B$124,"&lt;"&amp;DATE(LEFT(A6,4),RIGHT(A6,2)+1,1)),SUMIFS(PENGELUARAN!$K$5:$K$204,PENGELUARAN!$C$5:$C$204,A6,PENGELUARAN!$G$5:$G$204,B6,PENGELUARAN!$L$5:$L$204,"Kantor")))</f>
        <v>0</v>
      </c>
      <c r="E6" s="73">
        <f t="shared" si="0"/>
        <v>0</v>
      </c>
      <c r="F6" s="69">
        <f t="shared" si="1"/>
        <v>0</v>
      </c>
      <c r="G6" s="9" t="str">
        <f t="shared" si="2"/>
        <v>Belum Diisi</v>
      </c>
      <c r="H6" s="6"/>
      <c r="I6" s="6"/>
      <c r="J6" s="6"/>
    </row>
    <row r="7" spans="1:10">
      <c r="A7" t="str">
        <f>TEXT(DATE(DASHBOARD!$B$4,1,1),"yyyy-mm")</f>
        <v>2026-01</v>
      </c>
      <c r="B7" t="str">
        <f>MASTER!E6</f>
        <v>Akomodasi</v>
      </c>
      <c r="C7" s="72"/>
      <c r="D7" s="73">
        <f>IF(A7="","",IF(B7="Gaji dan Honor",SUMIFS(GAJI!$Q$5:$Q$124,GAJI!$B$5:$B$124,"&gt;="&amp;DATE(LEFT(A7,4),RIGHT(A7,2),1),GAJI!$B$5:$B$124,"&lt;"&amp;DATE(LEFT(A7,4),RIGHT(A7,2)+1,1)),SUMIFS(PENGELUARAN!$K$5:$K$204,PENGELUARAN!$C$5:$C$204,A7,PENGELUARAN!$G$5:$G$204,B7,PENGELUARAN!$L$5:$L$204,"Kantor")))</f>
        <v>0</v>
      </c>
      <c r="E7" s="73">
        <f t="shared" si="0"/>
        <v>0</v>
      </c>
      <c r="F7" s="69">
        <f t="shared" si="1"/>
        <v>0</v>
      </c>
      <c r="G7" s="9" t="str">
        <f t="shared" si="2"/>
        <v>Belum Diisi</v>
      </c>
      <c r="H7" s="6"/>
      <c r="I7" s="6"/>
      <c r="J7" s="6"/>
    </row>
    <row r="8" spans="1:10">
      <c r="A8" t="str">
        <f>TEXT(DATE(DASHBOARD!$B$4,1,1),"yyyy-mm")</f>
        <v>2026-01</v>
      </c>
      <c r="B8" t="str">
        <f>MASTER!E7</f>
        <v>Konsumsi</v>
      </c>
      <c r="C8" s="72"/>
      <c r="D8" s="73">
        <f>IF(A8="","",IF(B8="Gaji dan Honor",SUMIFS(GAJI!$Q$5:$Q$124,GAJI!$B$5:$B$124,"&gt;="&amp;DATE(LEFT(A8,4),RIGHT(A8,2),1),GAJI!$B$5:$B$124,"&lt;"&amp;DATE(LEFT(A8,4),RIGHT(A8,2)+1,1)),SUMIFS(PENGELUARAN!$K$5:$K$204,PENGELUARAN!$C$5:$C$204,A8,PENGELUARAN!$G$5:$G$204,B8,PENGELUARAN!$L$5:$L$204,"Kantor")))</f>
        <v>0</v>
      </c>
      <c r="E8" s="73">
        <f t="shared" si="0"/>
        <v>0</v>
      </c>
      <c r="F8" s="69">
        <f t="shared" si="1"/>
        <v>0</v>
      </c>
      <c r="G8" s="9" t="str">
        <f t="shared" si="2"/>
        <v>Belum Diisi</v>
      </c>
      <c r="H8" s="6"/>
      <c r="I8" s="6"/>
      <c r="J8" s="6"/>
    </row>
    <row r="9" spans="1:10">
      <c r="A9" t="str">
        <f>TEXT(DATE(DASHBOARD!$B$4,1,1),"yyyy-mm")</f>
        <v>2026-01</v>
      </c>
      <c r="B9" t="str">
        <f>MASTER!E8</f>
        <v>Persidangan</v>
      </c>
      <c r="C9" s="72"/>
      <c r="D9" s="73">
        <f>IF(A9="","",IF(B9="Gaji dan Honor",SUMIFS(GAJI!$Q$5:$Q$124,GAJI!$B$5:$B$124,"&gt;="&amp;DATE(LEFT(A9,4),RIGHT(A9,2),1),GAJI!$B$5:$B$124,"&lt;"&amp;DATE(LEFT(A9,4),RIGHT(A9,2)+1,1)),SUMIFS(PENGELUARAN!$K$5:$K$204,PENGELUARAN!$C$5:$C$204,A9,PENGELUARAN!$G$5:$G$204,B9,PENGELUARAN!$L$5:$L$204,"Kantor")))</f>
        <v>0</v>
      </c>
      <c r="E9" s="73">
        <f t="shared" si="0"/>
        <v>0</v>
      </c>
      <c r="F9" s="69">
        <f t="shared" si="1"/>
        <v>0</v>
      </c>
      <c r="G9" s="9" t="str">
        <f t="shared" si="2"/>
        <v>Belum Diisi</v>
      </c>
      <c r="H9" s="6"/>
      <c r="I9" s="6"/>
      <c r="J9" s="6"/>
    </row>
    <row r="10" spans="1:10">
      <c r="A10" t="str">
        <f>TEXT(DATE(DASHBOARD!$B$4,1,1),"yyyy-mm")</f>
        <v>2026-01</v>
      </c>
      <c r="B10" t="str">
        <f>MASTER!E9</f>
        <v>Notaris</v>
      </c>
      <c r="C10" s="72"/>
      <c r="D10" s="73">
        <f>IF(A10="","",IF(B10="Gaji dan Honor",SUMIFS(GAJI!$Q$5:$Q$124,GAJI!$B$5:$B$124,"&gt;="&amp;DATE(LEFT(A10,4),RIGHT(A10,2),1),GAJI!$B$5:$B$124,"&lt;"&amp;DATE(LEFT(A10,4),RIGHT(A10,2)+1,1)),SUMIFS(PENGELUARAN!$K$5:$K$204,PENGELUARAN!$C$5:$C$204,A10,PENGELUARAN!$G$5:$G$204,B10,PENGELUARAN!$L$5:$L$204,"Kantor")))</f>
        <v>0</v>
      </c>
      <c r="E10" s="73">
        <f t="shared" si="0"/>
        <v>0</v>
      </c>
      <c r="F10" s="69">
        <f t="shared" si="1"/>
        <v>0</v>
      </c>
      <c r="G10" s="9" t="str">
        <f t="shared" si="2"/>
        <v>Belum Diisi</v>
      </c>
      <c r="H10" s="6"/>
      <c r="I10" s="6"/>
      <c r="J10" s="6"/>
    </row>
    <row r="11" spans="1:10">
      <c r="A11" t="str">
        <f>TEXT(DATE(DASHBOARD!$B$4,1,1),"yyyy-mm")</f>
        <v>2026-01</v>
      </c>
      <c r="B11" t="str">
        <f>MASTER!E10</f>
        <v>KAP/Auditor</v>
      </c>
      <c r="C11" s="72"/>
      <c r="D11" s="73">
        <f>IF(A11="","",IF(B11="Gaji dan Honor",SUMIFS(GAJI!$Q$5:$Q$124,GAJI!$B$5:$B$124,"&gt;="&amp;DATE(LEFT(A11,4),RIGHT(A11,2),1),GAJI!$B$5:$B$124,"&lt;"&amp;DATE(LEFT(A11,4),RIGHT(A11,2)+1,1)),SUMIFS(PENGELUARAN!$K$5:$K$204,PENGELUARAN!$C$5:$C$204,A11,PENGELUARAN!$G$5:$G$204,B11,PENGELUARAN!$L$5:$L$204,"Kantor")))</f>
        <v>0</v>
      </c>
      <c r="E11" s="73">
        <f t="shared" si="0"/>
        <v>0</v>
      </c>
      <c r="F11" s="69">
        <f t="shared" si="1"/>
        <v>0</v>
      </c>
      <c r="G11" s="9" t="str">
        <f t="shared" si="2"/>
        <v>Belum Diisi</v>
      </c>
      <c r="H11" s="6"/>
      <c r="I11" s="6"/>
      <c r="J11" s="6"/>
    </row>
    <row r="12" spans="1:10">
      <c r="A12" t="str">
        <f>TEXT(DATE(DASHBOARD!$B$4,1,1),"yyyy-mm")</f>
        <v>2026-01</v>
      </c>
      <c r="B12" t="str">
        <f>MASTER!E11</f>
        <v>Administrasi Instansi</v>
      </c>
      <c r="C12" s="72"/>
      <c r="D12" s="73">
        <f>IF(A12="","",IF(B12="Gaji dan Honor",SUMIFS(GAJI!$Q$5:$Q$124,GAJI!$B$5:$B$124,"&gt;="&amp;DATE(LEFT(A12,4),RIGHT(A12,2),1),GAJI!$B$5:$B$124,"&lt;"&amp;DATE(LEFT(A12,4),RIGHT(A12,2)+1,1)),SUMIFS(PENGELUARAN!$K$5:$K$204,PENGELUARAN!$C$5:$C$204,A12,PENGELUARAN!$G$5:$G$204,B12,PENGELUARAN!$L$5:$L$204,"Kantor")))</f>
        <v>0</v>
      </c>
      <c r="E12" s="73">
        <f t="shared" si="0"/>
        <v>0</v>
      </c>
      <c r="F12" s="69">
        <f t="shared" si="1"/>
        <v>0</v>
      </c>
      <c r="G12" s="9" t="str">
        <f t="shared" si="2"/>
        <v>Belum Diisi</v>
      </c>
      <c r="H12" s="6"/>
      <c r="I12" s="6"/>
      <c r="J12" s="6"/>
    </row>
    <row r="13" spans="1:10">
      <c r="A13" t="str">
        <f>TEXT(DATE(DASHBOARD!$B$4,1,1),"yyyy-mm")</f>
        <v>2026-01</v>
      </c>
      <c r="B13" t="str">
        <f>MASTER!E12</f>
        <v>Kurir</v>
      </c>
      <c r="C13" s="72"/>
      <c r="D13" s="73">
        <f>IF(A13="","",IF(B13="Gaji dan Honor",SUMIFS(GAJI!$Q$5:$Q$124,GAJI!$B$5:$B$124,"&gt;="&amp;DATE(LEFT(A13,4),RIGHT(A13,2),1),GAJI!$B$5:$B$124,"&lt;"&amp;DATE(LEFT(A13,4),RIGHT(A13,2)+1,1)),SUMIFS(PENGELUARAN!$K$5:$K$204,PENGELUARAN!$C$5:$C$204,A13,PENGELUARAN!$G$5:$G$204,B13,PENGELUARAN!$L$5:$L$204,"Kantor")))</f>
        <v>0</v>
      </c>
      <c r="E13" s="73">
        <f t="shared" si="0"/>
        <v>0</v>
      </c>
      <c r="F13" s="69">
        <f t="shared" si="1"/>
        <v>0</v>
      </c>
      <c r="G13" s="9" t="str">
        <f t="shared" si="2"/>
        <v>Belum Diisi</v>
      </c>
      <c r="H13" s="6"/>
      <c r="I13" s="6"/>
      <c r="J13" s="6"/>
    </row>
    <row r="14" spans="1:10">
      <c r="A14" t="str">
        <f>TEXT(DATE(DASHBOARD!$B$4,1,1),"yyyy-mm")</f>
        <v>2026-01</v>
      </c>
      <c r="B14" t="str">
        <f>MASTER!E13</f>
        <v>ATK</v>
      </c>
      <c r="C14" s="72"/>
      <c r="D14" s="73">
        <f>IF(A14="","",IF(B14="Gaji dan Honor",SUMIFS(GAJI!$Q$5:$Q$124,GAJI!$B$5:$B$124,"&gt;="&amp;DATE(LEFT(A14,4),RIGHT(A14,2),1),GAJI!$B$5:$B$124,"&lt;"&amp;DATE(LEFT(A14,4),RIGHT(A14,2)+1,1)),SUMIFS(PENGELUARAN!$K$5:$K$204,PENGELUARAN!$C$5:$C$204,A14,PENGELUARAN!$G$5:$G$204,B14,PENGELUARAN!$L$5:$L$204,"Kantor")))</f>
        <v>0</v>
      </c>
      <c r="E14" s="73">
        <f t="shared" si="0"/>
        <v>0</v>
      </c>
      <c r="F14" s="69">
        <f t="shared" si="1"/>
        <v>0</v>
      </c>
      <c r="G14" s="9" t="str">
        <f t="shared" si="2"/>
        <v>Belum Diisi</v>
      </c>
      <c r="H14" s="6"/>
      <c r="I14" s="6"/>
      <c r="J14" s="6"/>
    </row>
    <row r="15" spans="1:10">
      <c r="A15" t="str">
        <f>TEXT(DATE(DASHBOARD!$B$4,1,1),"yyyy-mm")</f>
        <v>2026-01</v>
      </c>
      <c r="B15" t="str">
        <f>MASTER!E14</f>
        <v>Parkir/Tol</v>
      </c>
      <c r="C15" s="72"/>
      <c r="D15" s="73">
        <f>IF(A15="","",IF(B15="Gaji dan Honor",SUMIFS(GAJI!$Q$5:$Q$124,GAJI!$B$5:$B$124,"&gt;="&amp;DATE(LEFT(A15,4),RIGHT(A15,2),1),GAJI!$B$5:$B$124,"&lt;"&amp;DATE(LEFT(A15,4),RIGHT(A15,2)+1,1)),SUMIFS(PENGELUARAN!$K$5:$K$204,PENGELUARAN!$C$5:$C$204,A15,PENGELUARAN!$G$5:$G$204,B15,PENGELUARAN!$L$5:$L$204,"Kantor")))</f>
        <v>0</v>
      </c>
      <c r="E15" s="73">
        <f t="shared" si="0"/>
        <v>0</v>
      </c>
      <c r="F15" s="69">
        <f t="shared" si="1"/>
        <v>0</v>
      </c>
      <c r="G15" s="9" t="str">
        <f t="shared" si="2"/>
        <v>Belum Diisi</v>
      </c>
      <c r="H15" s="6"/>
      <c r="I15" s="6"/>
      <c r="J15" s="6"/>
    </row>
    <row r="16" spans="1:10">
      <c r="A16" t="str">
        <f>TEXT(DATE(DASHBOARD!$B$4,1,1),"yyyy-mm")</f>
        <v>2026-01</v>
      </c>
      <c r="B16" t="str">
        <f>MASTER!E15</f>
        <v>Sewa Kantor</v>
      </c>
      <c r="C16" s="72"/>
      <c r="D16" s="73">
        <f>IF(A16="","",IF(B16="Gaji dan Honor",SUMIFS(GAJI!$Q$5:$Q$124,GAJI!$B$5:$B$124,"&gt;="&amp;DATE(LEFT(A16,4),RIGHT(A16,2),1),GAJI!$B$5:$B$124,"&lt;"&amp;DATE(LEFT(A16,4),RIGHT(A16,2)+1,1)),SUMIFS(PENGELUARAN!$K$5:$K$204,PENGELUARAN!$C$5:$C$204,A16,PENGELUARAN!$G$5:$G$204,B16,PENGELUARAN!$L$5:$L$204,"Kantor")))</f>
        <v>0</v>
      </c>
      <c r="E16" s="73">
        <f t="shared" si="0"/>
        <v>0</v>
      </c>
      <c r="F16" s="69">
        <f t="shared" si="1"/>
        <v>0</v>
      </c>
      <c r="G16" s="9" t="str">
        <f t="shared" si="2"/>
        <v>Belum Diisi</v>
      </c>
      <c r="H16" s="6"/>
      <c r="I16" s="6"/>
      <c r="J16" s="6"/>
    </row>
    <row r="17" spans="1:10">
      <c r="A17" t="str">
        <f>TEXT(DATE(DASHBOARD!$B$4,1,1),"yyyy-mm")</f>
        <v>2026-01</v>
      </c>
      <c r="B17" t="str">
        <f>MASTER!E16</f>
        <v>Internet/Telepon</v>
      </c>
      <c r="C17" s="72"/>
      <c r="D17" s="73">
        <f>IF(A17="","",IF(B17="Gaji dan Honor",SUMIFS(GAJI!$Q$5:$Q$124,GAJI!$B$5:$B$124,"&gt;="&amp;DATE(LEFT(A17,4),RIGHT(A17,2),1),GAJI!$B$5:$B$124,"&lt;"&amp;DATE(LEFT(A17,4),RIGHT(A17,2)+1,1)),SUMIFS(PENGELUARAN!$K$5:$K$204,PENGELUARAN!$C$5:$C$204,A17,PENGELUARAN!$G$5:$G$204,B17,PENGELUARAN!$L$5:$L$204,"Kantor")))</f>
        <v>0</v>
      </c>
      <c r="E17" s="73">
        <f t="shared" si="0"/>
        <v>0</v>
      </c>
      <c r="F17" s="69">
        <f t="shared" si="1"/>
        <v>0</v>
      </c>
      <c r="G17" s="9" t="str">
        <f t="shared" si="2"/>
        <v>Belum Diisi</v>
      </c>
      <c r="H17" s="6"/>
      <c r="I17" s="6"/>
      <c r="J17" s="6"/>
    </row>
    <row r="18" spans="1:10">
      <c r="A18" t="str">
        <f>TEXT(DATE(DASHBOARD!$B$4,1,1),"yyyy-mm")</f>
        <v>2026-01</v>
      </c>
      <c r="B18" t="str">
        <f>MASTER!E17</f>
        <v>Software/Langganan</v>
      </c>
      <c r="C18" s="72"/>
      <c r="D18" s="73">
        <f>IF(A18="","",IF(B18="Gaji dan Honor",SUMIFS(GAJI!$Q$5:$Q$124,GAJI!$B$5:$B$124,"&gt;="&amp;DATE(LEFT(A18,4),RIGHT(A18,2),1),GAJI!$B$5:$B$124,"&lt;"&amp;DATE(LEFT(A18,4),RIGHT(A18,2)+1,1)),SUMIFS(PENGELUARAN!$K$5:$K$204,PENGELUARAN!$C$5:$C$204,A18,PENGELUARAN!$G$5:$G$204,B18,PENGELUARAN!$L$5:$L$204,"Kantor")))</f>
        <v>0</v>
      </c>
      <c r="E18" s="73">
        <f t="shared" si="0"/>
        <v>0</v>
      </c>
      <c r="F18" s="69">
        <f t="shared" si="1"/>
        <v>0</v>
      </c>
      <c r="G18" s="9" t="str">
        <f t="shared" si="2"/>
        <v>Belum Diisi</v>
      </c>
      <c r="H18" s="6"/>
      <c r="I18" s="6"/>
      <c r="J18" s="6"/>
    </row>
    <row r="19" spans="1:10">
      <c r="A19" t="str">
        <f>TEXT(DATE(DASHBOARD!$B$4,1,1),"yyyy-mm")</f>
        <v>2026-01</v>
      </c>
      <c r="B19" t="str">
        <f>MASTER!E18</f>
        <v>Pemasaran</v>
      </c>
      <c r="C19" s="72"/>
      <c r="D19" s="73">
        <f>IF(A19="","",IF(B19="Gaji dan Honor",SUMIFS(GAJI!$Q$5:$Q$124,GAJI!$B$5:$B$124,"&gt;="&amp;DATE(LEFT(A19,4),RIGHT(A19,2),1),GAJI!$B$5:$B$124,"&lt;"&amp;DATE(LEFT(A19,4),RIGHT(A19,2)+1,1)),SUMIFS(PENGELUARAN!$K$5:$K$204,PENGELUARAN!$C$5:$C$204,A19,PENGELUARAN!$G$5:$G$204,B19,PENGELUARAN!$L$5:$L$204,"Kantor")))</f>
        <v>0</v>
      </c>
      <c r="E19" s="73">
        <f t="shared" si="0"/>
        <v>0</v>
      </c>
      <c r="F19" s="69">
        <f t="shared" si="1"/>
        <v>0</v>
      </c>
      <c r="G19" s="9" t="str">
        <f t="shared" si="2"/>
        <v>Belum Diisi</v>
      </c>
      <c r="H19" s="6"/>
      <c r="I19" s="6"/>
      <c r="J19" s="6"/>
    </row>
    <row r="20" spans="1:10">
      <c r="A20" t="str">
        <f>TEXT(DATE(DASHBOARD!$B$4,1,1),"yyyy-mm")</f>
        <v>2026-01</v>
      </c>
      <c r="B20" t="str">
        <f>MASTER!E19</f>
        <v>Peralatan Kantor</v>
      </c>
      <c r="C20" s="72"/>
      <c r="D20" s="73">
        <f>IF(A20="","",IF(B20="Gaji dan Honor",SUMIFS(GAJI!$Q$5:$Q$124,GAJI!$B$5:$B$124,"&gt;="&amp;DATE(LEFT(A20,4),RIGHT(A20,2),1),GAJI!$B$5:$B$124,"&lt;"&amp;DATE(LEFT(A20,4),RIGHT(A20,2)+1,1)),SUMIFS(PENGELUARAN!$K$5:$K$204,PENGELUARAN!$C$5:$C$204,A20,PENGELUARAN!$G$5:$G$204,B20,PENGELUARAN!$L$5:$L$204,"Kantor")))</f>
        <v>0</v>
      </c>
      <c r="E20" s="73">
        <f t="shared" si="0"/>
        <v>0</v>
      </c>
      <c r="F20" s="69">
        <f t="shared" si="1"/>
        <v>0</v>
      </c>
      <c r="G20" s="9" t="str">
        <f t="shared" si="2"/>
        <v>Belum Diisi</v>
      </c>
      <c r="H20" s="6"/>
      <c r="I20" s="6"/>
      <c r="J20" s="6"/>
    </row>
    <row r="21" spans="1:10">
      <c r="A21" t="str">
        <f>TEXT(DATE(DASHBOARD!$B$4,1,1),"yyyy-mm")</f>
        <v>2026-01</v>
      </c>
      <c r="B21" t="str">
        <f>MASTER!E20</f>
        <v>Operasional Kantor</v>
      </c>
      <c r="C21" s="72"/>
      <c r="D21" s="73">
        <f>IF(A21="","",IF(B21="Gaji dan Honor",SUMIFS(GAJI!$Q$5:$Q$124,GAJI!$B$5:$B$124,"&gt;="&amp;DATE(LEFT(A21,4),RIGHT(A21,2),1),GAJI!$B$5:$B$124,"&lt;"&amp;DATE(LEFT(A21,4),RIGHT(A21,2)+1,1)),SUMIFS(PENGELUARAN!$K$5:$K$204,PENGELUARAN!$C$5:$C$204,A21,PENGELUARAN!$G$5:$G$204,B21,PENGELUARAN!$L$5:$L$204,"Kantor")))</f>
        <v>0</v>
      </c>
      <c r="E21" s="73">
        <f t="shared" si="0"/>
        <v>0</v>
      </c>
      <c r="F21" s="69">
        <f t="shared" si="1"/>
        <v>0</v>
      </c>
      <c r="G21" s="9" t="str">
        <f t="shared" si="2"/>
        <v>Belum Diisi</v>
      </c>
      <c r="H21" s="6"/>
      <c r="I21" s="6"/>
      <c r="J21" s="6"/>
    </row>
    <row r="22" spans="1:10">
      <c r="A22" t="str">
        <f>TEXT(DATE(DASHBOARD!$B$4,1,1),"yyyy-mm")</f>
        <v>2026-01</v>
      </c>
      <c r="B22" t="str">
        <f>MASTER!E21</f>
        <v>Pajak/BPJS</v>
      </c>
      <c r="C22" s="72"/>
      <c r="D22" s="73">
        <f>IF(A22="","",IF(B22="Gaji dan Honor",SUMIFS(GAJI!$Q$5:$Q$124,GAJI!$B$5:$B$124,"&gt;="&amp;DATE(LEFT(A22,4),RIGHT(A22,2),1),GAJI!$B$5:$B$124,"&lt;"&amp;DATE(LEFT(A22,4),RIGHT(A22,2)+1,1)),SUMIFS(PENGELUARAN!$K$5:$K$204,PENGELUARAN!$C$5:$C$204,A22,PENGELUARAN!$G$5:$G$204,B22,PENGELUARAN!$L$5:$L$204,"Kantor")))</f>
        <v>0</v>
      </c>
      <c r="E22" s="73">
        <f t="shared" si="0"/>
        <v>0</v>
      </c>
      <c r="F22" s="69">
        <f t="shared" si="1"/>
        <v>0</v>
      </c>
      <c r="G22" s="9" t="str">
        <f t="shared" si="2"/>
        <v>Belum Diisi</v>
      </c>
      <c r="H22" s="6"/>
      <c r="I22" s="6"/>
      <c r="J22" s="6"/>
    </row>
    <row r="23" spans="1:10">
      <c r="A23" t="str">
        <f>TEXT(DATE(DASHBOARD!$B$4,1,1),"yyyy-mm")</f>
        <v>2026-01</v>
      </c>
      <c r="B23" t="str">
        <f>MASTER!E22</f>
        <v>Lain-lain</v>
      </c>
      <c r="C23" s="72"/>
      <c r="D23" s="73">
        <f>IF(A23="","",IF(B23="Gaji dan Honor",SUMIFS(GAJI!$Q$5:$Q$124,GAJI!$B$5:$B$124,"&gt;="&amp;DATE(LEFT(A23,4),RIGHT(A23,2),1),GAJI!$B$5:$B$124,"&lt;"&amp;DATE(LEFT(A23,4),RIGHT(A23,2)+1,1)),SUMIFS(PENGELUARAN!$K$5:$K$204,PENGELUARAN!$C$5:$C$204,A23,PENGELUARAN!$G$5:$G$204,B23,PENGELUARAN!$L$5:$L$204,"Kantor")))</f>
        <v>0</v>
      </c>
      <c r="E23" s="73">
        <f t="shared" si="0"/>
        <v>0</v>
      </c>
      <c r="F23" s="69">
        <f t="shared" si="1"/>
        <v>0</v>
      </c>
      <c r="G23" s="9" t="str">
        <f t="shared" si="2"/>
        <v>Belum Diisi</v>
      </c>
      <c r="H23" s="6"/>
      <c r="I23" s="6"/>
      <c r="J23" s="6"/>
    </row>
    <row r="24" spans="1:10">
      <c r="A24" t="str">
        <f>TEXT(DATE(DASHBOARD!$B$4,2,1),"yyyy-mm")</f>
        <v>2026-02</v>
      </c>
      <c r="B24" t="s">
        <v>616</v>
      </c>
      <c r="C24" s="72"/>
      <c r="D24" s="73">
        <f>IF(A24="","",IF(B24="Gaji dan Honor",SUMIFS(GAJI!$Q$5:$Q$124,GAJI!$B$5:$B$124,"&gt;="&amp;DATE(LEFT(A24,4),RIGHT(A24,2),1),GAJI!$B$5:$B$124,"&lt;"&amp;DATE(LEFT(A24,4),RIGHT(A24,2)+1,1)),SUMIFS(PENGELUARAN!$K$5:$K$204,PENGELUARAN!$C$5:$C$204,A24,PENGELUARAN!$G$5:$G$204,B24,PENGELUARAN!$L$5:$L$204,"Kantor")))</f>
        <v>0</v>
      </c>
      <c r="E24" s="73">
        <f t="shared" si="0"/>
        <v>0</v>
      </c>
      <c r="F24" s="69">
        <f t="shared" si="1"/>
        <v>0</v>
      </c>
      <c r="G24" s="9" t="str">
        <f t="shared" si="2"/>
        <v>Belum Diisi</v>
      </c>
      <c r="H24" s="6"/>
      <c r="I24" s="6"/>
      <c r="J24" s="6"/>
    </row>
    <row r="25" spans="1:10">
      <c r="A25" t="str">
        <f>TEXT(DATE(DASHBOARD!$B$4,2,1),"yyyy-mm")</f>
        <v>2026-02</v>
      </c>
      <c r="B25" t="str">
        <f>MASTER!E5</f>
        <v>Transportasi</v>
      </c>
      <c r="C25" s="72"/>
      <c r="D25" s="73">
        <f>IF(A25="","",IF(B25="Gaji dan Honor",SUMIFS(GAJI!$Q$5:$Q$124,GAJI!$B$5:$B$124,"&gt;="&amp;DATE(LEFT(A25,4),RIGHT(A25,2),1),GAJI!$B$5:$B$124,"&lt;"&amp;DATE(LEFT(A25,4),RIGHT(A25,2)+1,1)),SUMIFS(PENGELUARAN!$K$5:$K$204,PENGELUARAN!$C$5:$C$204,A25,PENGELUARAN!$G$5:$G$204,B25,PENGELUARAN!$L$5:$L$204,"Kantor")))</f>
        <v>0</v>
      </c>
      <c r="E25" s="73">
        <f t="shared" si="0"/>
        <v>0</v>
      </c>
      <c r="F25" s="69">
        <f t="shared" si="1"/>
        <v>0</v>
      </c>
      <c r="G25" s="9" t="str">
        <f t="shared" si="2"/>
        <v>Belum Diisi</v>
      </c>
      <c r="H25" s="6"/>
      <c r="I25" s="6"/>
      <c r="J25" s="6"/>
    </row>
    <row r="26" spans="1:10">
      <c r="A26" t="str">
        <f>TEXT(DATE(DASHBOARD!$B$4,2,1),"yyyy-mm")</f>
        <v>2026-02</v>
      </c>
      <c r="B26" t="str">
        <f>MASTER!E6</f>
        <v>Akomodasi</v>
      </c>
      <c r="C26" s="72"/>
      <c r="D26" s="73">
        <f>IF(A26="","",IF(B26="Gaji dan Honor",SUMIFS(GAJI!$Q$5:$Q$124,GAJI!$B$5:$B$124,"&gt;="&amp;DATE(LEFT(A26,4),RIGHT(A26,2),1),GAJI!$B$5:$B$124,"&lt;"&amp;DATE(LEFT(A26,4),RIGHT(A26,2)+1,1)),SUMIFS(PENGELUARAN!$K$5:$K$204,PENGELUARAN!$C$5:$C$204,A26,PENGELUARAN!$G$5:$G$204,B26,PENGELUARAN!$L$5:$L$204,"Kantor")))</f>
        <v>0</v>
      </c>
      <c r="E26" s="73">
        <f t="shared" si="0"/>
        <v>0</v>
      </c>
      <c r="F26" s="69">
        <f t="shared" si="1"/>
        <v>0</v>
      </c>
      <c r="G26" s="9" t="str">
        <f t="shared" si="2"/>
        <v>Belum Diisi</v>
      </c>
      <c r="H26" s="6"/>
      <c r="I26" s="6"/>
      <c r="J26" s="6"/>
    </row>
    <row r="27" spans="1:10">
      <c r="A27" t="str">
        <f>TEXT(DATE(DASHBOARD!$B$4,2,1),"yyyy-mm")</f>
        <v>2026-02</v>
      </c>
      <c r="B27" t="str">
        <f>MASTER!E7</f>
        <v>Konsumsi</v>
      </c>
      <c r="C27" s="72"/>
      <c r="D27" s="73">
        <f>IF(A27="","",IF(B27="Gaji dan Honor",SUMIFS(GAJI!$Q$5:$Q$124,GAJI!$B$5:$B$124,"&gt;="&amp;DATE(LEFT(A27,4),RIGHT(A27,2),1),GAJI!$B$5:$B$124,"&lt;"&amp;DATE(LEFT(A27,4),RIGHT(A27,2)+1,1)),SUMIFS(PENGELUARAN!$K$5:$K$204,PENGELUARAN!$C$5:$C$204,A27,PENGELUARAN!$G$5:$G$204,B27,PENGELUARAN!$L$5:$L$204,"Kantor")))</f>
        <v>0</v>
      </c>
      <c r="E27" s="73">
        <f t="shared" si="0"/>
        <v>0</v>
      </c>
      <c r="F27" s="69">
        <f t="shared" si="1"/>
        <v>0</v>
      </c>
      <c r="G27" s="9" t="str">
        <f t="shared" si="2"/>
        <v>Belum Diisi</v>
      </c>
      <c r="H27" s="6"/>
      <c r="I27" s="6"/>
      <c r="J27" s="6"/>
    </row>
    <row r="28" spans="1:10">
      <c r="A28" t="str">
        <f>TEXT(DATE(DASHBOARD!$B$4,2,1),"yyyy-mm")</f>
        <v>2026-02</v>
      </c>
      <c r="B28" t="str">
        <f>MASTER!E8</f>
        <v>Persidangan</v>
      </c>
      <c r="C28" s="72"/>
      <c r="D28" s="73">
        <f>IF(A28="","",IF(B28="Gaji dan Honor",SUMIFS(GAJI!$Q$5:$Q$124,GAJI!$B$5:$B$124,"&gt;="&amp;DATE(LEFT(A28,4),RIGHT(A28,2),1),GAJI!$B$5:$B$124,"&lt;"&amp;DATE(LEFT(A28,4),RIGHT(A28,2)+1,1)),SUMIFS(PENGELUARAN!$K$5:$K$204,PENGELUARAN!$C$5:$C$204,A28,PENGELUARAN!$G$5:$G$204,B28,PENGELUARAN!$L$5:$L$204,"Kantor")))</f>
        <v>0</v>
      </c>
      <c r="E28" s="73">
        <f t="shared" si="0"/>
        <v>0</v>
      </c>
      <c r="F28" s="69">
        <f t="shared" si="1"/>
        <v>0</v>
      </c>
      <c r="G28" s="9" t="str">
        <f t="shared" si="2"/>
        <v>Belum Diisi</v>
      </c>
      <c r="H28" s="6"/>
      <c r="I28" s="6"/>
      <c r="J28" s="6"/>
    </row>
    <row r="29" spans="1:10">
      <c r="A29" t="str">
        <f>TEXT(DATE(DASHBOARD!$B$4,2,1),"yyyy-mm")</f>
        <v>2026-02</v>
      </c>
      <c r="B29" t="str">
        <f>MASTER!E9</f>
        <v>Notaris</v>
      </c>
      <c r="C29" s="72"/>
      <c r="D29" s="73">
        <f>IF(A29="","",IF(B29="Gaji dan Honor",SUMIFS(GAJI!$Q$5:$Q$124,GAJI!$B$5:$B$124,"&gt;="&amp;DATE(LEFT(A29,4),RIGHT(A29,2),1),GAJI!$B$5:$B$124,"&lt;"&amp;DATE(LEFT(A29,4),RIGHT(A29,2)+1,1)),SUMIFS(PENGELUARAN!$K$5:$K$204,PENGELUARAN!$C$5:$C$204,A29,PENGELUARAN!$G$5:$G$204,B29,PENGELUARAN!$L$5:$L$204,"Kantor")))</f>
        <v>0</v>
      </c>
      <c r="E29" s="73">
        <f t="shared" si="0"/>
        <v>0</v>
      </c>
      <c r="F29" s="69">
        <f t="shared" si="1"/>
        <v>0</v>
      </c>
      <c r="G29" s="9" t="str">
        <f t="shared" si="2"/>
        <v>Belum Diisi</v>
      </c>
      <c r="H29" s="6"/>
      <c r="I29" s="6"/>
      <c r="J29" s="6"/>
    </row>
    <row r="30" spans="1:10">
      <c r="A30" t="str">
        <f>TEXT(DATE(DASHBOARD!$B$4,2,1),"yyyy-mm")</f>
        <v>2026-02</v>
      </c>
      <c r="B30" t="str">
        <f>MASTER!E10</f>
        <v>KAP/Auditor</v>
      </c>
      <c r="C30" s="72"/>
      <c r="D30" s="73">
        <f>IF(A30="","",IF(B30="Gaji dan Honor",SUMIFS(GAJI!$Q$5:$Q$124,GAJI!$B$5:$B$124,"&gt;="&amp;DATE(LEFT(A30,4),RIGHT(A30,2),1),GAJI!$B$5:$B$124,"&lt;"&amp;DATE(LEFT(A30,4),RIGHT(A30,2)+1,1)),SUMIFS(PENGELUARAN!$K$5:$K$204,PENGELUARAN!$C$5:$C$204,A30,PENGELUARAN!$G$5:$G$204,B30,PENGELUARAN!$L$5:$L$204,"Kantor")))</f>
        <v>0</v>
      </c>
      <c r="E30" s="73">
        <f t="shared" si="0"/>
        <v>0</v>
      </c>
      <c r="F30" s="69">
        <f t="shared" si="1"/>
        <v>0</v>
      </c>
      <c r="G30" s="9" t="str">
        <f t="shared" si="2"/>
        <v>Belum Diisi</v>
      </c>
      <c r="H30" s="6"/>
      <c r="I30" s="6"/>
      <c r="J30" s="6"/>
    </row>
    <row r="31" spans="1:10">
      <c r="A31" t="str">
        <f>TEXT(DATE(DASHBOARD!$B$4,2,1),"yyyy-mm")</f>
        <v>2026-02</v>
      </c>
      <c r="B31" t="str">
        <f>MASTER!E11</f>
        <v>Administrasi Instansi</v>
      </c>
      <c r="C31" s="72"/>
      <c r="D31" s="73">
        <f>IF(A31="","",IF(B31="Gaji dan Honor",SUMIFS(GAJI!$Q$5:$Q$124,GAJI!$B$5:$B$124,"&gt;="&amp;DATE(LEFT(A31,4),RIGHT(A31,2),1),GAJI!$B$5:$B$124,"&lt;"&amp;DATE(LEFT(A31,4),RIGHT(A31,2)+1,1)),SUMIFS(PENGELUARAN!$K$5:$K$204,PENGELUARAN!$C$5:$C$204,A31,PENGELUARAN!$G$5:$G$204,B31,PENGELUARAN!$L$5:$L$204,"Kantor")))</f>
        <v>0</v>
      </c>
      <c r="E31" s="73">
        <f t="shared" si="0"/>
        <v>0</v>
      </c>
      <c r="F31" s="69">
        <f t="shared" si="1"/>
        <v>0</v>
      </c>
      <c r="G31" s="9" t="str">
        <f t="shared" si="2"/>
        <v>Belum Diisi</v>
      </c>
      <c r="H31" s="6"/>
      <c r="I31" s="6"/>
      <c r="J31" s="6"/>
    </row>
    <row r="32" spans="1:10">
      <c r="A32" t="str">
        <f>TEXT(DATE(DASHBOARD!$B$4,2,1),"yyyy-mm")</f>
        <v>2026-02</v>
      </c>
      <c r="B32" t="str">
        <f>MASTER!E12</f>
        <v>Kurir</v>
      </c>
      <c r="C32" s="72"/>
      <c r="D32" s="73">
        <f>IF(A32="","",IF(B32="Gaji dan Honor",SUMIFS(GAJI!$Q$5:$Q$124,GAJI!$B$5:$B$124,"&gt;="&amp;DATE(LEFT(A32,4),RIGHT(A32,2),1),GAJI!$B$5:$B$124,"&lt;"&amp;DATE(LEFT(A32,4),RIGHT(A32,2)+1,1)),SUMIFS(PENGELUARAN!$K$5:$K$204,PENGELUARAN!$C$5:$C$204,A32,PENGELUARAN!$G$5:$G$204,B32,PENGELUARAN!$L$5:$L$204,"Kantor")))</f>
        <v>0</v>
      </c>
      <c r="E32" s="73">
        <f t="shared" si="0"/>
        <v>0</v>
      </c>
      <c r="F32" s="69">
        <f t="shared" si="1"/>
        <v>0</v>
      </c>
      <c r="G32" s="9" t="str">
        <f t="shared" si="2"/>
        <v>Belum Diisi</v>
      </c>
      <c r="H32" s="6"/>
      <c r="I32" s="6"/>
      <c r="J32" s="6"/>
    </row>
    <row r="33" spans="1:10">
      <c r="A33" t="str">
        <f>TEXT(DATE(DASHBOARD!$B$4,2,1),"yyyy-mm")</f>
        <v>2026-02</v>
      </c>
      <c r="B33" t="str">
        <f>MASTER!E13</f>
        <v>ATK</v>
      </c>
      <c r="C33" s="72"/>
      <c r="D33" s="73">
        <f>IF(A33="","",IF(B33="Gaji dan Honor",SUMIFS(GAJI!$Q$5:$Q$124,GAJI!$B$5:$B$124,"&gt;="&amp;DATE(LEFT(A33,4),RIGHT(A33,2),1),GAJI!$B$5:$B$124,"&lt;"&amp;DATE(LEFT(A33,4),RIGHT(A33,2)+1,1)),SUMIFS(PENGELUARAN!$K$5:$K$204,PENGELUARAN!$C$5:$C$204,A33,PENGELUARAN!$G$5:$G$204,B33,PENGELUARAN!$L$5:$L$204,"Kantor")))</f>
        <v>0</v>
      </c>
      <c r="E33" s="73">
        <f t="shared" si="0"/>
        <v>0</v>
      </c>
      <c r="F33" s="69">
        <f t="shared" si="1"/>
        <v>0</v>
      </c>
      <c r="G33" s="9" t="str">
        <f t="shared" si="2"/>
        <v>Belum Diisi</v>
      </c>
      <c r="H33" s="6"/>
      <c r="I33" s="6"/>
      <c r="J33" s="6"/>
    </row>
    <row r="34" spans="1:10">
      <c r="A34" t="str">
        <f>TEXT(DATE(DASHBOARD!$B$4,2,1),"yyyy-mm")</f>
        <v>2026-02</v>
      </c>
      <c r="B34" t="str">
        <f>MASTER!E14</f>
        <v>Parkir/Tol</v>
      </c>
      <c r="C34" s="72"/>
      <c r="D34" s="73">
        <f>IF(A34="","",IF(B34="Gaji dan Honor",SUMIFS(GAJI!$Q$5:$Q$124,GAJI!$B$5:$B$124,"&gt;="&amp;DATE(LEFT(A34,4),RIGHT(A34,2),1),GAJI!$B$5:$B$124,"&lt;"&amp;DATE(LEFT(A34,4),RIGHT(A34,2)+1,1)),SUMIFS(PENGELUARAN!$K$5:$K$204,PENGELUARAN!$C$5:$C$204,A34,PENGELUARAN!$G$5:$G$204,B34,PENGELUARAN!$L$5:$L$204,"Kantor")))</f>
        <v>0</v>
      </c>
      <c r="E34" s="73">
        <f t="shared" si="0"/>
        <v>0</v>
      </c>
      <c r="F34" s="69">
        <f t="shared" si="1"/>
        <v>0</v>
      </c>
      <c r="G34" s="9" t="str">
        <f t="shared" si="2"/>
        <v>Belum Diisi</v>
      </c>
      <c r="H34" s="6"/>
      <c r="I34" s="6"/>
      <c r="J34" s="6"/>
    </row>
    <row r="35" spans="1:10">
      <c r="A35" t="str">
        <f>TEXT(DATE(DASHBOARD!$B$4,2,1),"yyyy-mm")</f>
        <v>2026-02</v>
      </c>
      <c r="B35" t="str">
        <f>MASTER!E15</f>
        <v>Sewa Kantor</v>
      </c>
      <c r="C35" s="72"/>
      <c r="D35" s="73">
        <f>IF(A35="","",IF(B35="Gaji dan Honor",SUMIFS(GAJI!$Q$5:$Q$124,GAJI!$B$5:$B$124,"&gt;="&amp;DATE(LEFT(A35,4),RIGHT(A35,2),1),GAJI!$B$5:$B$124,"&lt;"&amp;DATE(LEFT(A35,4),RIGHT(A35,2)+1,1)),SUMIFS(PENGELUARAN!$K$5:$K$204,PENGELUARAN!$C$5:$C$204,A35,PENGELUARAN!$G$5:$G$204,B35,PENGELUARAN!$L$5:$L$204,"Kantor")))</f>
        <v>0</v>
      </c>
      <c r="E35" s="73">
        <f t="shared" si="0"/>
        <v>0</v>
      </c>
      <c r="F35" s="69">
        <f t="shared" si="1"/>
        <v>0</v>
      </c>
      <c r="G35" s="9" t="str">
        <f t="shared" si="2"/>
        <v>Belum Diisi</v>
      </c>
      <c r="H35" s="6"/>
      <c r="I35" s="6"/>
      <c r="J35" s="6"/>
    </row>
    <row r="36" spans="1:10">
      <c r="A36" t="str">
        <f>TEXT(DATE(DASHBOARD!$B$4,2,1),"yyyy-mm")</f>
        <v>2026-02</v>
      </c>
      <c r="B36" t="str">
        <f>MASTER!E16</f>
        <v>Internet/Telepon</v>
      </c>
      <c r="C36" s="72"/>
      <c r="D36" s="73">
        <f>IF(A36="","",IF(B36="Gaji dan Honor",SUMIFS(GAJI!$Q$5:$Q$124,GAJI!$B$5:$B$124,"&gt;="&amp;DATE(LEFT(A36,4),RIGHT(A36,2),1),GAJI!$B$5:$B$124,"&lt;"&amp;DATE(LEFT(A36,4),RIGHT(A36,2)+1,1)),SUMIFS(PENGELUARAN!$K$5:$K$204,PENGELUARAN!$C$5:$C$204,A36,PENGELUARAN!$G$5:$G$204,B36,PENGELUARAN!$L$5:$L$204,"Kantor")))</f>
        <v>0</v>
      </c>
      <c r="E36" s="73">
        <f t="shared" si="0"/>
        <v>0</v>
      </c>
      <c r="F36" s="69">
        <f t="shared" si="1"/>
        <v>0</v>
      </c>
      <c r="G36" s="9" t="str">
        <f t="shared" si="2"/>
        <v>Belum Diisi</v>
      </c>
      <c r="H36" s="6"/>
      <c r="I36" s="6"/>
      <c r="J36" s="6"/>
    </row>
    <row r="37" spans="1:10">
      <c r="A37" t="str">
        <f>TEXT(DATE(DASHBOARD!$B$4,2,1),"yyyy-mm")</f>
        <v>2026-02</v>
      </c>
      <c r="B37" t="str">
        <f>MASTER!E17</f>
        <v>Software/Langganan</v>
      </c>
      <c r="C37" s="72"/>
      <c r="D37" s="73">
        <f>IF(A37="","",IF(B37="Gaji dan Honor",SUMIFS(GAJI!$Q$5:$Q$124,GAJI!$B$5:$B$124,"&gt;="&amp;DATE(LEFT(A37,4),RIGHT(A37,2),1),GAJI!$B$5:$B$124,"&lt;"&amp;DATE(LEFT(A37,4),RIGHT(A37,2)+1,1)),SUMIFS(PENGELUARAN!$K$5:$K$204,PENGELUARAN!$C$5:$C$204,A37,PENGELUARAN!$G$5:$G$204,B37,PENGELUARAN!$L$5:$L$204,"Kantor")))</f>
        <v>0</v>
      </c>
      <c r="E37" s="73">
        <f t="shared" ref="E37:E68" si="3">IF(A37="","",C37-D37)</f>
        <v>0</v>
      </c>
      <c r="F37" s="69">
        <f t="shared" ref="F37:F68" si="4">IF(OR(A37="",C37=0),0,D37/C37)</f>
        <v>0</v>
      </c>
      <c r="G37" s="9" t="str">
        <f t="shared" ref="G37:G68" si="5">IF(A37="","",IF(C37=0,IF(D37&gt;0,"Belum Dianggarkan","Belum Diisi"),IF(E37&lt;0,"Melebihi Anggaran",IF(F37&gt;=0.9,"Hampir Habis","Aman"))))</f>
        <v>Belum Diisi</v>
      </c>
      <c r="H37" s="6"/>
      <c r="I37" s="6"/>
      <c r="J37" s="6"/>
    </row>
    <row r="38" spans="1:10">
      <c r="A38" t="str">
        <f>TEXT(DATE(DASHBOARD!$B$4,2,1),"yyyy-mm")</f>
        <v>2026-02</v>
      </c>
      <c r="B38" t="str">
        <f>MASTER!E18</f>
        <v>Pemasaran</v>
      </c>
      <c r="C38" s="72"/>
      <c r="D38" s="73">
        <f>IF(A38="","",IF(B38="Gaji dan Honor",SUMIFS(GAJI!$Q$5:$Q$124,GAJI!$B$5:$B$124,"&gt;="&amp;DATE(LEFT(A38,4),RIGHT(A38,2),1),GAJI!$B$5:$B$124,"&lt;"&amp;DATE(LEFT(A38,4),RIGHT(A38,2)+1,1)),SUMIFS(PENGELUARAN!$K$5:$K$204,PENGELUARAN!$C$5:$C$204,A38,PENGELUARAN!$G$5:$G$204,B38,PENGELUARAN!$L$5:$L$204,"Kantor")))</f>
        <v>0</v>
      </c>
      <c r="E38" s="73">
        <f t="shared" si="3"/>
        <v>0</v>
      </c>
      <c r="F38" s="69">
        <f t="shared" si="4"/>
        <v>0</v>
      </c>
      <c r="G38" s="9" t="str">
        <f t="shared" si="5"/>
        <v>Belum Diisi</v>
      </c>
      <c r="H38" s="6"/>
      <c r="I38" s="6"/>
      <c r="J38" s="6"/>
    </row>
    <row r="39" spans="1:10">
      <c r="A39" t="str">
        <f>TEXT(DATE(DASHBOARD!$B$4,2,1),"yyyy-mm")</f>
        <v>2026-02</v>
      </c>
      <c r="B39" t="str">
        <f>MASTER!E19</f>
        <v>Peralatan Kantor</v>
      </c>
      <c r="C39" s="72"/>
      <c r="D39" s="73">
        <f>IF(A39="","",IF(B39="Gaji dan Honor",SUMIFS(GAJI!$Q$5:$Q$124,GAJI!$B$5:$B$124,"&gt;="&amp;DATE(LEFT(A39,4),RIGHT(A39,2),1),GAJI!$B$5:$B$124,"&lt;"&amp;DATE(LEFT(A39,4),RIGHT(A39,2)+1,1)),SUMIFS(PENGELUARAN!$K$5:$K$204,PENGELUARAN!$C$5:$C$204,A39,PENGELUARAN!$G$5:$G$204,B39,PENGELUARAN!$L$5:$L$204,"Kantor")))</f>
        <v>0</v>
      </c>
      <c r="E39" s="73">
        <f t="shared" si="3"/>
        <v>0</v>
      </c>
      <c r="F39" s="69">
        <f t="shared" si="4"/>
        <v>0</v>
      </c>
      <c r="G39" s="9" t="str">
        <f t="shared" si="5"/>
        <v>Belum Diisi</v>
      </c>
      <c r="H39" s="6"/>
      <c r="I39" s="6"/>
      <c r="J39" s="6"/>
    </row>
    <row r="40" spans="1:10">
      <c r="A40" t="str">
        <f>TEXT(DATE(DASHBOARD!$B$4,2,1),"yyyy-mm")</f>
        <v>2026-02</v>
      </c>
      <c r="B40" t="str">
        <f>MASTER!E20</f>
        <v>Operasional Kantor</v>
      </c>
      <c r="C40" s="72"/>
      <c r="D40" s="73">
        <f>IF(A40="","",IF(B40="Gaji dan Honor",SUMIFS(GAJI!$Q$5:$Q$124,GAJI!$B$5:$B$124,"&gt;="&amp;DATE(LEFT(A40,4),RIGHT(A40,2),1),GAJI!$B$5:$B$124,"&lt;"&amp;DATE(LEFT(A40,4),RIGHT(A40,2)+1,1)),SUMIFS(PENGELUARAN!$K$5:$K$204,PENGELUARAN!$C$5:$C$204,A40,PENGELUARAN!$G$5:$G$204,B40,PENGELUARAN!$L$5:$L$204,"Kantor")))</f>
        <v>0</v>
      </c>
      <c r="E40" s="73">
        <f t="shared" si="3"/>
        <v>0</v>
      </c>
      <c r="F40" s="69">
        <f t="shared" si="4"/>
        <v>0</v>
      </c>
      <c r="G40" s="9" t="str">
        <f t="shared" si="5"/>
        <v>Belum Diisi</v>
      </c>
      <c r="H40" s="6"/>
      <c r="I40" s="6"/>
      <c r="J40" s="6"/>
    </row>
    <row r="41" spans="1:10">
      <c r="A41" t="str">
        <f>TEXT(DATE(DASHBOARD!$B$4,2,1),"yyyy-mm")</f>
        <v>2026-02</v>
      </c>
      <c r="B41" t="str">
        <f>MASTER!E21</f>
        <v>Pajak/BPJS</v>
      </c>
      <c r="C41" s="72"/>
      <c r="D41" s="73">
        <f>IF(A41="","",IF(B41="Gaji dan Honor",SUMIFS(GAJI!$Q$5:$Q$124,GAJI!$B$5:$B$124,"&gt;="&amp;DATE(LEFT(A41,4),RIGHT(A41,2),1),GAJI!$B$5:$B$124,"&lt;"&amp;DATE(LEFT(A41,4),RIGHT(A41,2)+1,1)),SUMIFS(PENGELUARAN!$K$5:$K$204,PENGELUARAN!$C$5:$C$204,A41,PENGELUARAN!$G$5:$G$204,B41,PENGELUARAN!$L$5:$L$204,"Kantor")))</f>
        <v>0</v>
      </c>
      <c r="E41" s="73">
        <f t="shared" si="3"/>
        <v>0</v>
      </c>
      <c r="F41" s="69">
        <f t="shared" si="4"/>
        <v>0</v>
      </c>
      <c r="G41" s="9" t="str">
        <f t="shared" si="5"/>
        <v>Belum Diisi</v>
      </c>
      <c r="H41" s="6"/>
      <c r="I41" s="6"/>
      <c r="J41" s="6"/>
    </row>
    <row r="42" spans="1:10">
      <c r="A42" t="str">
        <f>TEXT(DATE(DASHBOARD!$B$4,2,1),"yyyy-mm")</f>
        <v>2026-02</v>
      </c>
      <c r="B42" t="str">
        <f>MASTER!E22</f>
        <v>Lain-lain</v>
      </c>
      <c r="C42" s="72"/>
      <c r="D42" s="73">
        <f>IF(A42="","",IF(B42="Gaji dan Honor",SUMIFS(GAJI!$Q$5:$Q$124,GAJI!$B$5:$B$124,"&gt;="&amp;DATE(LEFT(A42,4),RIGHT(A42,2),1),GAJI!$B$5:$B$124,"&lt;"&amp;DATE(LEFT(A42,4),RIGHT(A42,2)+1,1)),SUMIFS(PENGELUARAN!$K$5:$K$204,PENGELUARAN!$C$5:$C$204,A42,PENGELUARAN!$G$5:$G$204,B42,PENGELUARAN!$L$5:$L$204,"Kantor")))</f>
        <v>0</v>
      </c>
      <c r="E42" s="73">
        <f t="shared" si="3"/>
        <v>0</v>
      </c>
      <c r="F42" s="69">
        <f t="shared" si="4"/>
        <v>0</v>
      </c>
      <c r="G42" s="9" t="str">
        <f t="shared" si="5"/>
        <v>Belum Diisi</v>
      </c>
      <c r="H42" s="6"/>
      <c r="I42" s="6"/>
      <c r="J42" s="6"/>
    </row>
    <row r="43" spans="1:10">
      <c r="A43" t="str">
        <f>TEXT(DATE(DASHBOARD!$B$4,3,1),"yyyy-mm")</f>
        <v>2026-03</v>
      </c>
      <c r="B43" t="s">
        <v>616</v>
      </c>
      <c r="C43" s="72"/>
      <c r="D43" s="73">
        <f>IF(A43="","",IF(B43="Gaji dan Honor",SUMIFS(GAJI!$Q$5:$Q$124,GAJI!$B$5:$B$124,"&gt;="&amp;DATE(LEFT(A43,4),RIGHT(A43,2),1),GAJI!$B$5:$B$124,"&lt;"&amp;DATE(LEFT(A43,4),RIGHT(A43,2)+1,1)),SUMIFS(PENGELUARAN!$K$5:$K$204,PENGELUARAN!$C$5:$C$204,A43,PENGELUARAN!$G$5:$G$204,B43,PENGELUARAN!$L$5:$L$204,"Kantor")))</f>
        <v>0</v>
      </c>
      <c r="E43" s="73">
        <f t="shared" si="3"/>
        <v>0</v>
      </c>
      <c r="F43" s="69">
        <f t="shared" si="4"/>
        <v>0</v>
      </c>
      <c r="G43" s="9" t="str">
        <f t="shared" si="5"/>
        <v>Belum Diisi</v>
      </c>
      <c r="H43" s="6"/>
      <c r="I43" s="6"/>
      <c r="J43" s="6"/>
    </row>
    <row r="44" spans="1:10">
      <c r="A44" t="str">
        <f>TEXT(DATE(DASHBOARD!$B$4,3,1),"yyyy-mm")</f>
        <v>2026-03</v>
      </c>
      <c r="B44" t="str">
        <f>MASTER!E5</f>
        <v>Transportasi</v>
      </c>
      <c r="C44" s="72"/>
      <c r="D44" s="73">
        <f>IF(A44="","",IF(B44="Gaji dan Honor",SUMIFS(GAJI!$Q$5:$Q$124,GAJI!$B$5:$B$124,"&gt;="&amp;DATE(LEFT(A44,4),RIGHT(A44,2),1),GAJI!$B$5:$B$124,"&lt;"&amp;DATE(LEFT(A44,4),RIGHT(A44,2)+1,1)),SUMIFS(PENGELUARAN!$K$5:$K$204,PENGELUARAN!$C$5:$C$204,A44,PENGELUARAN!$G$5:$G$204,B44,PENGELUARAN!$L$5:$L$204,"Kantor")))</f>
        <v>0</v>
      </c>
      <c r="E44" s="73">
        <f t="shared" si="3"/>
        <v>0</v>
      </c>
      <c r="F44" s="69">
        <f t="shared" si="4"/>
        <v>0</v>
      </c>
      <c r="G44" s="9" t="str">
        <f t="shared" si="5"/>
        <v>Belum Diisi</v>
      </c>
      <c r="H44" s="6"/>
      <c r="I44" s="6"/>
      <c r="J44" s="6"/>
    </row>
    <row r="45" spans="1:10">
      <c r="A45" t="str">
        <f>TEXT(DATE(DASHBOARD!$B$4,3,1),"yyyy-mm")</f>
        <v>2026-03</v>
      </c>
      <c r="B45" t="str">
        <f>MASTER!E6</f>
        <v>Akomodasi</v>
      </c>
      <c r="C45" s="72"/>
      <c r="D45" s="73">
        <f>IF(A45="","",IF(B45="Gaji dan Honor",SUMIFS(GAJI!$Q$5:$Q$124,GAJI!$B$5:$B$124,"&gt;="&amp;DATE(LEFT(A45,4),RIGHT(A45,2),1),GAJI!$B$5:$B$124,"&lt;"&amp;DATE(LEFT(A45,4),RIGHT(A45,2)+1,1)),SUMIFS(PENGELUARAN!$K$5:$K$204,PENGELUARAN!$C$5:$C$204,A45,PENGELUARAN!$G$5:$G$204,B45,PENGELUARAN!$L$5:$L$204,"Kantor")))</f>
        <v>0</v>
      </c>
      <c r="E45" s="73">
        <f t="shared" si="3"/>
        <v>0</v>
      </c>
      <c r="F45" s="69">
        <f t="shared" si="4"/>
        <v>0</v>
      </c>
      <c r="G45" s="9" t="str">
        <f t="shared" si="5"/>
        <v>Belum Diisi</v>
      </c>
      <c r="H45" s="6"/>
      <c r="I45" s="6"/>
      <c r="J45" s="6"/>
    </row>
    <row r="46" spans="1:10">
      <c r="A46" t="str">
        <f>TEXT(DATE(DASHBOARD!$B$4,3,1),"yyyy-mm")</f>
        <v>2026-03</v>
      </c>
      <c r="B46" t="str">
        <f>MASTER!E7</f>
        <v>Konsumsi</v>
      </c>
      <c r="C46" s="72"/>
      <c r="D46" s="73">
        <f>IF(A46="","",IF(B46="Gaji dan Honor",SUMIFS(GAJI!$Q$5:$Q$124,GAJI!$B$5:$B$124,"&gt;="&amp;DATE(LEFT(A46,4),RIGHT(A46,2),1),GAJI!$B$5:$B$124,"&lt;"&amp;DATE(LEFT(A46,4),RIGHT(A46,2)+1,1)),SUMIFS(PENGELUARAN!$K$5:$K$204,PENGELUARAN!$C$5:$C$204,A46,PENGELUARAN!$G$5:$G$204,B46,PENGELUARAN!$L$5:$L$204,"Kantor")))</f>
        <v>0</v>
      </c>
      <c r="E46" s="73">
        <f t="shared" si="3"/>
        <v>0</v>
      </c>
      <c r="F46" s="69">
        <f t="shared" si="4"/>
        <v>0</v>
      </c>
      <c r="G46" s="9" t="str">
        <f t="shared" si="5"/>
        <v>Belum Diisi</v>
      </c>
      <c r="H46" s="6"/>
      <c r="I46" s="6"/>
      <c r="J46" s="6"/>
    </row>
    <row r="47" spans="1:10">
      <c r="A47" t="str">
        <f>TEXT(DATE(DASHBOARD!$B$4,3,1),"yyyy-mm")</f>
        <v>2026-03</v>
      </c>
      <c r="B47" t="str">
        <f>MASTER!E8</f>
        <v>Persidangan</v>
      </c>
      <c r="C47" s="72"/>
      <c r="D47" s="73">
        <f>IF(A47="","",IF(B47="Gaji dan Honor",SUMIFS(GAJI!$Q$5:$Q$124,GAJI!$B$5:$B$124,"&gt;="&amp;DATE(LEFT(A47,4),RIGHT(A47,2),1),GAJI!$B$5:$B$124,"&lt;"&amp;DATE(LEFT(A47,4),RIGHT(A47,2)+1,1)),SUMIFS(PENGELUARAN!$K$5:$K$204,PENGELUARAN!$C$5:$C$204,A47,PENGELUARAN!$G$5:$G$204,B47,PENGELUARAN!$L$5:$L$204,"Kantor")))</f>
        <v>0</v>
      </c>
      <c r="E47" s="73">
        <f t="shared" si="3"/>
        <v>0</v>
      </c>
      <c r="F47" s="69">
        <f t="shared" si="4"/>
        <v>0</v>
      </c>
      <c r="G47" s="9" t="str">
        <f t="shared" si="5"/>
        <v>Belum Diisi</v>
      </c>
      <c r="H47" s="6"/>
      <c r="I47" s="6"/>
      <c r="J47" s="6"/>
    </row>
    <row r="48" spans="1:10">
      <c r="A48" t="str">
        <f>TEXT(DATE(DASHBOARD!$B$4,3,1),"yyyy-mm")</f>
        <v>2026-03</v>
      </c>
      <c r="B48" t="str">
        <f>MASTER!E9</f>
        <v>Notaris</v>
      </c>
      <c r="C48" s="72"/>
      <c r="D48" s="73">
        <f>IF(A48="","",IF(B48="Gaji dan Honor",SUMIFS(GAJI!$Q$5:$Q$124,GAJI!$B$5:$B$124,"&gt;="&amp;DATE(LEFT(A48,4),RIGHT(A48,2),1),GAJI!$B$5:$B$124,"&lt;"&amp;DATE(LEFT(A48,4),RIGHT(A48,2)+1,1)),SUMIFS(PENGELUARAN!$K$5:$K$204,PENGELUARAN!$C$5:$C$204,A48,PENGELUARAN!$G$5:$G$204,B48,PENGELUARAN!$L$5:$L$204,"Kantor")))</f>
        <v>0</v>
      </c>
      <c r="E48" s="73">
        <f t="shared" si="3"/>
        <v>0</v>
      </c>
      <c r="F48" s="69">
        <f t="shared" si="4"/>
        <v>0</v>
      </c>
      <c r="G48" s="9" t="str">
        <f t="shared" si="5"/>
        <v>Belum Diisi</v>
      </c>
      <c r="H48" s="6"/>
      <c r="I48" s="6"/>
      <c r="J48" s="6"/>
    </row>
    <row r="49" spans="1:10">
      <c r="A49" t="str">
        <f>TEXT(DATE(DASHBOARD!$B$4,3,1),"yyyy-mm")</f>
        <v>2026-03</v>
      </c>
      <c r="B49" t="str">
        <f>MASTER!E10</f>
        <v>KAP/Auditor</v>
      </c>
      <c r="C49" s="72"/>
      <c r="D49" s="73">
        <f>IF(A49="","",IF(B49="Gaji dan Honor",SUMIFS(GAJI!$Q$5:$Q$124,GAJI!$B$5:$B$124,"&gt;="&amp;DATE(LEFT(A49,4),RIGHT(A49,2),1),GAJI!$B$5:$B$124,"&lt;"&amp;DATE(LEFT(A49,4),RIGHT(A49,2)+1,1)),SUMIFS(PENGELUARAN!$K$5:$K$204,PENGELUARAN!$C$5:$C$204,A49,PENGELUARAN!$G$5:$G$204,B49,PENGELUARAN!$L$5:$L$204,"Kantor")))</f>
        <v>0</v>
      </c>
      <c r="E49" s="73">
        <f t="shared" si="3"/>
        <v>0</v>
      </c>
      <c r="F49" s="69">
        <f t="shared" si="4"/>
        <v>0</v>
      </c>
      <c r="G49" s="9" t="str">
        <f t="shared" si="5"/>
        <v>Belum Diisi</v>
      </c>
      <c r="H49" s="6"/>
      <c r="I49" s="6"/>
      <c r="J49" s="6"/>
    </row>
    <row r="50" spans="1:10">
      <c r="A50" t="str">
        <f>TEXT(DATE(DASHBOARD!$B$4,3,1),"yyyy-mm")</f>
        <v>2026-03</v>
      </c>
      <c r="B50" t="str">
        <f>MASTER!E11</f>
        <v>Administrasi Instansi</v>
      </c>
      <c r="C50" s="72"/>
      <c r="D50" s="73">
        <f>IF(A50="","",IF(B50="Gaji dan Honor",SUMIFS(GAJI!$Q$5:$Q$124,GAJI!$B$5:$B$124,"&gt;="&amp;DATE(LEFT(A50,4),RIGHT(A50,2),1),GAJI!$B$5:$B$124,"&lt;"&amp;DATE(LEFT(A50,4),RIGHT(A50,2)+1,1)),SUMIFS(PENGELUARAN!$K$5:$K$204,PENGELUARAN!$C$5:$C$204,A50,PENGELUARAN!$G$5:$G$204,B50,PENGELUARAN!$L$5:$L$204,"Kantor")))</f>
        <v>0</v>
      </c>
      <c r="E50" s="73">
        <f t="shared" si="3"/>
        <v>0</v>
      </c>
      <c r="F50" s="69">
        <f t="shared" si="4"/>
        <v>0</v>
      </c>
      <c r="G50" s="9" t="str">
        <f t="shared" si="5"/>
        <v>Belum Diisi</v>
      </c>
      <c r="H50" s="6"/>
      <c r="I50" s="6"/>
      <c r="J50" s="6"/>
    </row>
    <row r="51" spans="1:10">
      <c r="A51" t="str">
        <f>TEXT(DATE(DASHBOARD!$B$4,3,1),"yyyy-mm")</f>
        <v>2026-03</v>
      </c>
      <c r="B51" t="str">
        <f>MASTER!E12</f>
        <v>Kurir</v>
      </c>
      <c r="C51" s="72"/>
      <c r="D51" s="73">
        <f>IF(A51="","",IF(B51="Gaji dan Honor",SUMIFS(GAJI!$Q$5:$Q$124,GAJI!$B$5:$B$124,"&gt;="&amp;DATE(LEFT(A51,4),RIGHT(A51,2),1),GAJI!$B$5:$B$124,"&lt;"&amp;DATE(LEFT(A51,4),RIGHT(A51,2)+1,1)),SUMIFS(PENGELUARAN!$K$5:$K$204,PENGELUARAN!$C$5:$C$204,A51,PENGELUARAN!$G$5:$G$204,B51,PENGELUARAN!$L$5:$L$204,"Kantor")))</f>
        <v>0</v>
      </c>
      <c r="E51" s="73">
        <f t="shared" si="3"/>
        <v>0</v>
      </c>
      <c r="F51" s="69">
        <f t="shared" si="4"/>
        <v>0</v>
      </c>
      <c r="G51" s="9" t="str">
        <f t="shared" si="5"/>
        <v>Belum Diisi</v>
      </c>
      <c r="H51" s="6"/>
      <c r="I51" s="6"/>
      <c r="J51" s="6"/>
    </row>
    <row r="52" spans="1:10">
      <c r="A52" t="str">
        <f>TEXT(DATE(DASHBOARD!$B$4,3,1),"yyyy-mm")</f>
        <v>2026-03</v>
      </c>
      <c r="B52" t="str">
        <f>MASTER!E13</f>
        <v>ATK</v>
      </c>
      <c r="C52" s="72"/>
      <c r="D52" s="73">
        <f>IF(A52="","",IF(B52="Gaji dan Honor",SUMIFS(GAJI!$Q$5:$Q$124,GAJI!$B$5:$B$124,"&gt;="&amp;DATE(LEFT(A52,4),RIGHT(A52,2),1),GAJI!$B$5:$B$124,"&lt;"&amp;DATE(LEFT(A52,4),RIGHT(A52,2)+1,1)),SUMIFS(PENGELUARAN!$K$5:$K$204,PENGELUARAN!$C$5:$C$204,A52,PENGELUARAN!$G$5:$G$204,B52,PENGELUARAN!$L$5:$L$204,"Kantor")))</f>
        <v>0</v>
      </c>
      <c r="E52" s="73">
        <f t="shared" si="3"/>
        <v>0</v>
      </c>
      <c r="F52" s="69">
        <f t="shared" si="4"/>
        <v>0</v>
      </c>
      <c r="G52" s="9" t="str">
        <f t="shared" si="5"/>
        <v>Belum Diisi</v>
      </c>
      <c r="H52" s="6"/>
      <c r="I52" s="6"/>
      <c r="J52" s="6"/>
    </row>
    <row r="53" spans="1:10">
      <c r="A53" t="str">
        <f>TEXT(DATE(DASHBOARD!$B$4,3,1),"yyyy-mm")</f>
        <v>2026-03</v>
      </c>
      <c r="B53" t="str">
        <f>MASTER!E14</f>
        <v>Parkir/Tol</v>
      </c>
      <c r="C53" s="72"/>
      <c r="D53" s="73">
        <f>IF(A53="","",IF(B53="Gaji dan Honor",SUMIFS(GAJI!$Q$5:$Q$124,GAJI!$B$5:$B$124,"&gt;="&amp;DATE(LEFT(A53,4),RIGHT(A53,2),1),GAJI!$B$5:$B$124,"&lt;"&amp;DATE(LEFT(A53,4),RIGHT(A53,2)+1,1)),SUMIFS(PENGELUARAN!$K$5:$K$204,PENGELUARAN!$C$5:$C$204,A53,PENGELUARAN!$G$5:$G$204,B53,PENGELUARAN!$L$5:$L$204,"Kantor")))</f>
        <v>0</v>
      </c>
      <c r="E53" s="73">
        <f t="shared" si="3"/>
        <v>0</v>
      </c>
      <c r="F53" s="69">
        <f t="shared" si="4"/>
        <v>0</v>
      </c>
      <c r="G53" s="9" t="str">
        <f t="shared" si="5"/>
        <v>Belum Diisi</v>
      </c>
      <c r="H53" s="6"/>
      <c r="I53" s="6"/>
      <c r="J53" s="6"/>
    </row>
    <row r="54" spans="1:10">
      <c r="A54" t="str">
        <f>TEXT(DATE(DASHBOARD!$B$4,3,1),"yyyy-mm")</f>
        <v>2026-03</v>
      </c>
      <c r="B54" t="str">
        <f>MASTER!E15</f>
        <v>Sewa Kantor</v>
      </c>
      <c r="C54" s="72"/>
      <c r="D54" s="73">
        <f>IF(A54="","",IF(B54="Gaji dan Honor",SUMIFS(GAJI!$Q$5:$Q$124,GAJI!$B$5:$B$124,"&gt;="&amp;DATE(LEFT(A54,4),RIGHT(A54,2),1),GAJI!$B$5:$B$124,"&lt;"&amp;DATE(LEFT(A54,4),RIGHT(A54,2)+1,1)),SUMIFS(PENGELUARAN!$K$5:$K$204,PENGELUARAN!$C$5:$C$204,A54,PENGELUARAN!$G$5:$G$204,B54,PENGELUARAN!$L$5:$L$204,"Kantor")))</f>
        <v>0</v>
      </c>
      <c r="E54" s="73">
        <f t="shared" si="3"/>
        <v>0</v>
      </c>
      <c r="F54" s="69">
        <f t="shared" si="4"/>
        <v>0</v>
      </c>
      <c r="G54" s="9" t="str">
        <f t="shared" si="5"/>
        <v>Belum Diisi</v>
      </c>
      <c r="H54" s="6"/>
      <c r="I54" s="6"/>
      <c r="J54" s="6"/>
    </row>
    <row r="55" spans="1:10">
      <c r="A55" t="str">
        <f>TEXT(DATE(DASHBOARD!$B$4,3,1),"yyyy-mm")</f>
        <v>2026-03</v>
      </c>
      <c r="B55" t="str">
        <f>MASTER!E16</f>
        <v>Internet/Telepon</v>
      </c>
      <c r="C55" s="72"/>
      <c r="D55" s="73">
        <f>IF(A55="","",IF(B55="Gaji dan Honor",SUMIFS(GAJI!$Q$5:$Q$124,GAJI!$B$5:$B$124,"&gt;="&amp;DATE(LEFT(A55,4),RIGHT(A55,2),1),GAJI!$B$5:$B$124,"&lt;"&amp;DATE(LEFT(A55,4),RIGHT(A55,2)+1,1)),SUMIFS(PENGELUARAN!$K$5:$K$204,PENGELUARAN!$C$5:$C$204,A55,PENGELUARAN!$G$5:$G$204,B55,PENGELUARAN!$L$5:$L$204,"Kantor")))</f>
        <v>0</v>
      </c>
      <c r="E55" s="73">
        <f t="shared" si="3"/>
        <v>0</v>
      </c>
      <c r="F55" s="69">
        <f t="shared" si="4"/>
        <v>0</v>
      </c>
      <c r="G55" s="9" t="str">
        <f t="shared" si="5"/>
        <v>Belum Diisi</v>
      </c>
      <c r="H55" s="6"/>
      <c r="I55" s="6"/>
      <c r="J55" s="6"/>
    </row>
    <row r="56" spans="1:10">
      <c r="A56" t="str">
        <f>TEXT(DATE(DASHBOARD!$B$4,3,1),"yyyy-mm")</f>
        <v>2026-03</v>
      </c>
      <c r="B56" t="str">
        <f>MASTER!E17</f>
        <v>Software/Langganan</v>
      </c>
      <c r="C56" s="72"/>
      <c r="D56" s="73">
        <f>IF(A56="","",IF(B56="Gaji dan Honor",SUMIFS(GAJI!$Q$5:$Q$124,GAJI!$B$5:$B$124,"&gt;="&amp;DATE(LEFT(A56,4),RIGHT(A56,2),1),GAJI!$B$5:$B$124,"&lt;"&amp;DATE(LEFT(A56,4),RIGHT(A56,2)+1,1)),SUMIFS(PENGELUARAN!$K$5:$K$204,PENGELUARAN!$C$5:$C$204,A56,PENGELUARAN!$G$5:$G$204,B56,PENGELUARAN!$L$5:$L$204,"Kantor")))</f>
        <v>0</v>
      </c>
      <c r="E56" s="73">
        <f t="shared" si="3"/>
        <v>0</v>
      </c>
      <c r="F56" s="69">
        <f t="shared" si="4"/>
        <v>0</v>
      </c>
      <c r="G56" s="9" t="str">
        <f t="shared" si="5"/>
        <v>Belum Diisi</v>
      </c>
      <c r="H56" s="6"/>
      <c r="I56" s="6"/>
      <c r="J56" s="6"/>
    </row>
    <row r="57" spans="1:10">
      <c r="A57" t="str">
        <f>TEXT(DATE(DASHBOARD!$B$4,3,1),"yyyy-mm")</f>
        <v>2026-03</v>
      </c>
      <c r="B57" t="str">
        <f>MASTER!E18</f>
        <v>Pemasaran</v>
      </c>
      <c r="C57" s="72"/>
      <c r="D57" s="73">
        <f>IF(A57="","",IF(B57="Gaji dan Honor",SUMIFS(GAJI!$Q$5:$Q$124,GAJI!$B$5:$B$124,"&gt;="&amp;DATE(LEFT(A57,4),RIGHT(A57,2),1),GAJI!$B$5:$B$124,"&lt;"&amp;DATE(LEFT(A57,4),RIGHT(A57,2)+1,1)),SUMIFS(PENGELUARAN!$K$5:$K$204,PENGELUARAN!$C$5:$C$204,A57,PENGELUARAN!$G$5:$G$204,B57,PENGELUARAN!$L$5:$L$204,"Kantor")))</f>
        <v>0</v>
      </c>
      <c r="E57" s="73">
        <f t="shared" si="3"/>
        <v>0</v>
      </c>
      <c r="F57" s="69">
        <f t="shared" si="4"/>
        <v>0</v>
      </c>
      <c r="G57" s="9" t="str">
        <f t="shared" si="5"/>
        <v>Belum Diisi</v>
      </c>
      <c r="H57" s="6"/>
      <c r="I57" s="6"/>
      <c r="J57" s="6"/>
    </row>
    <row r="58" spans="1:10">
      <c r="A58" t="str">
        <f>TEXT(DATE(DASHBOARD!$B$4,3,1),"yyyy-mm")</f>
        <v>2026-03</v>
      </c>
      <c r="B58" t="str">
        <f>MASTER!E19</f>
        <v>Peralatan Kantor</v>
      </c>
      <c r="C58" s="72"/>
      <c r="D58" s="73">
        <f>IF(A58="","",IF(B58="Gaji dan Honor",SUMIFS(GAJI!$Q$5:$Q$124,GAJI!$B$5:$B$124,"&gt;="&amp;DATE(LEFT(A58,4),RIGHT(A58,2),1),GAJI!$B$5:$B$124,"&lt;"&amp;DATE(LEFT(A58,4),RIGHT(A58,2)+1,1)),SUMIFS(PENGELUARAN!$K$5:$K$204,PENGELUARAN!$C$5:$C$204,A58,PENGELUARAN!$G$5:$G$204,B58,PENGELUARAN!$L$5:$L$204,"Kantor")))</f>
        <v>0</v>
      </c>
      <c r="E58" s="73">
        <f t="shared" si="3"/>
        <v>0</v>
      </c>
      <c r="F58" s="69">
        <f t="shared" si="4"/>
        <v>0</v>
      </c>
      <c r="G58" s="9" t="str">
        <f t="shared" si="5"/>
        <v>Belum Diisi</v>
      </c>
      <c r="H58" s="6"/>
      <c r="I58" s="6"/>
      <c r="J58" s="6"/>
    </row>
    <row r="59" spans="1:10">
      <c r="A59" t="str">
        <f>TEXT(DATE(DASHBOARD!$B$4,3,1),"yyyy-mm")</f>
        <v>2026-03</v>
      </c>
      <c r="B59" t="str">
        <f>MASTER!E20</f>
        <v>Operasional Kantor</v>
      </c>
      <c r="C59" s="72"/>
      <c r="D59" s="73">
        <f>IF(A59="","",IF(B59="Gaji dan Honor",SUMIFS(GAJI!$Q$5:$Q$124,GAJI!$B$5:$B$124,"&gt;="&amp;DATE(LEFT(A59,4),RIGHT(A59,2),1),GAJI!$B$5:$B$124,"&lt;"&amp;DATE(LEFT(A59,4),RIGHT(A59,2)+1,1)),SUMIFS(PENGELUARAN!$K$5:$K$204,PENGELUARAN!$C$5:$C$204,A59,PENGELUARAN!$G$5:$G$204,B59,PENGELUARAN!$L$5:$L$204,"Kantor")))</f>
        <v>0</v>
      </c>
      <c r="E59" s="73">
        <f t="shared" si="3"/>
        <v>0</v>
      </c>
      <c r="F59" s="69">
        <f t="shared" si="4"/>
        <v>0</v>
      </c>
      <c r="G59" s="9" t="str">
        <f t="shared" si="5"/>
        <v>Belum Diisi</v>
      </c>
      <c r="H59" s="6"/>
      <c r="I59" s="6"/>
      <c r="J59" s="6"/>
    </row>
    <row r="60" spans="1:10">
      <c r="A60" t="str">
        <f>TEXT(DATE(DASHBOARD!$B$4,3,1),"yyyy-mm")</f>
        <v>2026-03</v>
      </c>
      <c r="B60" t="str">
        <f>MASTER!E21</f>
        <v>Pajak/BPJS</v>
      </c>
      <c r="C60" s="72"/>
      <c r="D60" s="73">
        <f>IF(A60="","",IF(B60="Gaji dan Honor",SUMIFS(GAJI!$Q$5:$Q$124,GAJI!$B$5:$B$124,"&gt;="&amp;DATE(LEFT(A60,4),RIGHT(A60,2),1),GAJI!$B$5:$B$124,"&lt;"&amp;DATE(LEFT(A60,4),RIGHT(A60,2)+1,1)),SUMIFS(PENGELUARAN!$K$5:$K$204,PENGELUARAN!$C$5:$C$204,A60,PENGELUARAN!$G$5:$G$204,B60,PENGELUARAN!$L$5:$L$204,"Kantor")))</f>
        <v>0</v>
      </c>
      <c r="E60" s="73">
        <f t="shared" si="3"/>
        <v>0</v>
      </c>
      <c r="F60" s="69">
        <f t="shared" si="4"/>
        <v>0</v>
      </c>
      <c r="G60" s="9" t="str">
        <f t="shared" si="5"/>
        <v>Belum Diisi</v>
      </c>
      <c r="H60" s="6"/>
      <c r="I60" s="6"/>
      <c r="J60" s="6"/>
    </row>
    <row r="61" spans="1:10">
      <c r="A61" t="str">
        <f>TEXT(DATE(DASHBOARD!$B$4,3,1),"yyyy-mm")</f>
        <v>2026-03</v>
      </c>
      <c r="B61" t="str">
        <f>MASTER!E22</f>
        <v>Lain-lain</v>
      </c>
      <c r="C61" s="72"/>
      <c r="D61" s="73">
        <f>IF(A61="","",IF(B61="Gaji dan Honor",SUMIFS(GAJI!$Q$5:$Q$124,GAJI!$B$5:$B$124,"&gt;="&amp;DATE(LEFT(A61,4),RIGHT(A61,2),1),GAJI!$B$5:$B$124,"&lt;"&amp;DATE(LEFT(A61,4),RIGHT(A61,2)+1,1)),SUMIFS(PENGELUARAN!$K$5:$K$204,PENGELUARAN!$C$5:$C$204,A61,PENGELUARAN!$G$5:$G$204,B61,PENGELUARAN!$L$5:$L$204,"Kantor")))</f>
        <v>0</v>
      </c>
      <c r="E61" s="73">
        <f t="shared" si="3"/>
        <v>0</v>
      </c>
      <c r="F61" s="69">
        <f t="shared" si="4"/>
        <v>0</v>
      </c>
      <c r="G61" s="9" t="str">
        <f t="shared" si="5"/>
        <v>Belum Diisi</v>
      </c>
      <c r="H61" s="6"/>
      <c r="I61" s="6"/>
      <c r="J61" s="6"/>
    </row>
    <row r="62" spans="1:10">
      <c r="A62" t="str">
        <f>TEXT(DATE(DASHBOARD!$B$4,4,1),"yyyy-mm")</f>
        <v>2026-04</v>
      </c>
      <c r="B62" t="s">
        <v>616</v>
      </c>
      <c r="C62" s="72"/>
      <c r="D62" s="73">
        <f>IF(A62="","",IF(B62="Gaji dan Honor",SUMIFS(GAJI!$Q$5:$Q$124,GAJI!$B$5:$B$124,"&gt;="&amp;DATE(LEFT(A62,4),RIGHT(A62,2),1),GAJI!$B$5:$B$124,"&lt;"&amp;DATE(LEFT(A62,4),RIGHT(A62,2)+1,1)),SUMIFS(PENGELUARAN!$K$5:$K$204,PENGELUARAN!$C$5:$C$204,A62,PENGELUARAN!$G$5:$G$204,B62,PENGELUARAN!$L$5:$L$204,"Kantor")))</f>
        <v>0</v>
      </c>
      <c r="E62" s="73">
        <f t="shared" si="3"/>
        <v>0</v>
      </c>
      <c r="F62" s="69">
        <f t="shared" si="4"/>
        <v>0</v>
      </c>
      <c r="G62" s="9" t="str">
        <f t="shared" si="5"/>
        <v>Belum Diisi</v>
      </c>
      <c r="H62" s="6"/>
      <c r="I62" s="6"/>
      <c r="J62" s="6"/>
    </row>
    <row r="63" spans="1:10">
      <c r="A63" t="str">
        <f>TEXT(DATE(DASHBOARD!$B$4,4,1),"yyyy-mm")</f>
        <v>2026-04</v>
      </c>
      <c r="B63" t="str">
        <f>MASTER!E5</f>
        <v>Transportasi</v>
      </c>
      <c r="C63" s="72"/>
      <c r="D63" s="73">
        <f>IF(A63="","",IF(B63="Gaji dan Honor",SUMIFS(GAJI!$Q$5:$Q$124,GAJI!$B$5:$B$124,"&gt;="&amp;DATE(LEFT(A63,4),RIGHT(A63,2),1),GAJI!$B$5:$B$124,"&lt;"&amp;DATE(LEFT(A63,4),RIGHT(A63,2)+1,1)),SUMIFS(PENGELUARAN!$K$5:$K$204,PENGELUARAN!$C$5:$C$204,A63,PENGELUARAN!$G$5:$G$204,B63,PENGELUARAN!$L$5:$L$204,"Kantor")))</f>
        <v>0</v>
      </c>
      <c r="E63" s="73">
        <f t="shared" si="3"/>
        <v>0</v>
      </c>
      <c r="F63" s="69">
        <f t="shared" si="4"/>
        <v>0</v>
      </c>
      <c r="G63" s="9" t="str">
        <f t="shared" si="5"/>
        <v>Belum Diisi</v>
      </c>
      <c r="H63" s="6"/>
      <c r="I63" s="6"/>
      <c r="J63" s="6"/>
    </row>
    <row r="64" spans="1:10">
      <c r="A64" t="str">
        <f>TEXT(DATE(DASHBOARD!$B$4,4,1),"yyyy-mm")</f>
        <v>2026-04</v>
      </c>
      <c r="B64" t="str">
        <f>MASTER!E6</f>
        <v>Akomodasi</v>
      </c>
      <c r="C64" s="72"/>
      <c r="D64" s="73">
        <f>IF(A64="","",IF(B64="Gaji dan Honor",SUMIFS(GAJI!$Q$5:$Q$124,GAJI!$B$5:$B$124,"&gt;="&amp;DATE(LEFT(A64,4),RIGHT(A64,2),1),GAJI!$B$5:$B$124,"&lt;"&amp;DATE(LEFT(A64,4),RIGHT(A64,2)+1,1)),SUMIFS(PENGELUARAN!$K$5:$K$204,PENGELUARAN!$C$5:$C$204,A64,PENGELUARAN!$G$5:$G$204,B64,PENGELUARAN!$L$5:$L$204,"Kantor")))</f>
        <v>0</v>
      </c>
      <c r="E64" s="73">
        <f t="shared" si="3"/>
        <v>0</v>
      </c>
      <c r="F64" s="69">
        <f t="shared" si="4"/>
        <v>0</v>
      </c>
      <c r="G64" s="9" t="str">
        <f t="shared" si="5"/>
        <v>Belum Diisi</v>
      </c>
      <c r="H64" s="6"/>
      <c r="I64" s="6"/>
      <c r="J64" s="6"/>
    </row>
    <row r="65" spans="1:10">
      <c r="A65" t="str">
        <f>TEXT(DATE(DASHBOARD!$B$4,4,1),"yyyy-mm")</f>
        <v>2026-04</v>
      </c>
      <c r="B65" t="str">
        <f>MASTER!E7</f>
        <v>Konsumsi</v>
      </c>
      <c r="C65" s="72"/>
      <c r="D65" s="73">
        <f>IF(A65="","",IF(B65="Gaji dan Honor",SUMIFS(GAJI!$Q$5:$Q$124,GAJI!$B$5:$B$124,"&gt;="&amp;DATE(LEFT(A65,4),RIGHT(A65,2),1),GAJI!$B$5:$B$124,"&lt;"&amp;DATE(LEFT(A65,4),RIGHT(A65,2)+1,1)),SUMIFS(PENGELUARAN!$K$5:$K$204,PENGELUARAN!$C$5:$C$204,A65,PENGELUARAN!$G$5:$G$204,B65,PENGELUARAN!$L$5:$L$204,"Kantor")))</f>
        <v>0</v>
      </c>
      <c r="E65" s="73">
        <f t="shared" si="3"/>
        <v>0</v>
      </c>
      <c r="F65" s="69">
        <f t="shared" si="4"/>
        <v>0</v>
      </c>
      <c r="G65" s="9" t="str">
        <f t="shared" si="5"/>
        <v>Belum Diisi</v>
      </c>
      <c r="H65" s="6"/>
      <c r="I65" s="6"/>
      <c r="J65" s="6"/>
    </row>
    <row r="66" spans="1:10">
      <c r="A66" t="str">
        <f>TEXT(DATE(DASHBOARD!$B$4,4,1),"yyyy-mm")</f>
        <v>2026-04</v>
      </c>
      <c r="B66" t="str">
        <f>MASTER!E8</f>
        <v>Persidangan</v>
      </c>
      <c r="C66" s="72"/>
      <c r="D66" s="73">
        <f>IF(A66="","",IF(B66="Gaji dan Honor",SUMIFS(GAJI!$Q$5:$Q$124,GAJI!$B$5:$B$124,"&gt;="&amp;DATE(LEFT(A66,4),RIGHT(A66,2),1),GAJI!$B$5:$B$124,"&lt;"&amp;DATE(LEFT(A66,4),RIGHT(A66,2)+1,1)),SUMIFS(PENGELUARAN!$K$5:$K$204,PENGELUARAN!$C$5:$C$204,A66,PENGELUARAN!$G$5:$G$204,B66,PENGELUARAN!$L$5:$L$204,"Kantor")))</f>
        <v>0</v>
      </c>
      <c r="E66" s="73">
        <f t="shared" si="3"/>
        <v>0</v>
      </c>
      <c r="F66" s="69">
        <f t="shared" si="4"/>
        <v>0</v>
      </c>
      <c r="G66" s="9" t="str">
        <f t="shared" si="5"/>
        <v>Belum Diisi</v>
      </c>
      <c r="H66" s="6"/>
      <c r="I66" s="6"/>
      <c r="J66" s="6"/>
    </row>
    <row r="67" spans="1:10">
      <c r="A67" t="str">
        <f>TEXT(DATE(DASHBOARD!$B$4,4,1),"yyyy-mm")</f>
        <v>2026-04</v>
      </c>
      <c r="B67" t="str">
        <f>MASTER!E9</f>
        <v>Notaris</v>
      </c>
      <c r="C67" s="72"/>
      <c r="D67" s="73">
        <f>IF(A67="","",IF(B67="Gaji dan Honor",SUMIFS(GAJI!$Q$5:$Q$124,GAJI!$B$5:$B$124,"&gt;="&amp;DATE(LEFT(A67,4),RIGHT(A67,2),1),GAJI!$B$5:$B$124,"&lt;"&amp;DATE(LEFT(A67,4),RIGHT(A67,2)+1,1)),SUMIFS(PENGELUARAN!$K$5:$K$204,PENGELUARAN!$C$5:$C$204,A67,PENGELUARAN!$G$5:$G$204,B67,PENGELUARAN!$L$5:$L$204,"Kantor")))</f>
        <v>0</v>
      </c>
      <c r="E67" s="73">
        <f t="shared" si="3"/>
        <v>0</v>
      </c>
      <c r="F67" s="69">
        <f t="shared" si="4"/>
        <v>0</v>
      </c>
      <c r="G67" s="9" t="str">
        <f t="shared" si="5"/>
        <v>Belum Diisi</v>
      </c>
      <c r="H67" s="6"/>
      <c r="I67" s="6"/>
      <c r="J67" s="6"/>
    </row>
    <row r="68" spans="1:10">
      <c r="A68" t="str">
        <f>TEXT(DATE(DASHBOARD!$B$4,4,1),"yyyy-mm")</f>
        <v>2026-04</v>
      </c>
      <c r="B68" t="str">
        <f>MASTER!E10</f>
        <v>KAP/Auditor</v>
      </c>
      <c r="C68" s="72"/>
      <c r="D68" s="73">
        <f>IF(A68="","",IF(B68="Gaji dan Honor",SUMIFS(GAJI!$Q$5:$Q$124,GAJI!$B$5:$B$124,"&gt;="&amp;DATE(LEFT(A68,4),RIGHT(A68,2),1),GAJI!$B$5:$B$124,"&lt;"&amp;DATE(LEFT(A68,4),RIGHT(A68,2)+1,1)),SUMIFS(PENGELUARAN!$K$5:$K$204,PENGELUARAN!$C$5:$C$204,A68,PENGELUARAN!$G$5:$G$204,B68,PENGELUARAN!$L$5:$L$204,"Kantor")))</f>
        <v>0</v>
      </c>
      <c r="E68" s="73">
        <f t="shared" si="3"/>
        <v>0</v>
      </c>
      <c r="F68" s="69">
        <f t="shared" si="4"/>
        <v>0</v>
      </c>
      <c r="G68" s="9" t="str">
        <f t="shared" si="5"/>
        <v>Belum Diisi</v>
      </c>
      <c r="H68" s="6"/>
      <c r="I68" s="6"/>
      <c r="J68" s="6"/>
    </row>
    <row r="69" spans="1:10">
      <c r="A69" t="str">
        <f>TEXT(DATE(DASHBOARD!$B$4,4,1),"yyyy-mm")</f>
        <v>2026-04</v>
      </c>
      <c r="B69" t="str">
        <f>MASTER!E11</f>
        <v>Administrasi Instansi</v>
      </c>
      <c r="C69" s="72"/>
      <c r="D69" s="73">
        <f>IF(A69="","",IF(B69="Gaji dan Honor",SUMIFS(GAJI!$Q$5:$Q$124,GAJI!$B$5:$B$124,"&gt;="&amp;DATE(LEFT(A69,4),RIGHT(A69,2),1),GAJI!$B$5:$B$124,"&lt;"&amp;DATE(LEFT(A69,4),RIGHT(A69,2)+1,1)),SUMIFS(PENGELUARAN!$K$5:$K$204,PENGELUARAN!$C$5:$C$204,A69,PENGELUARAN!$G$5:$G$204,B69,PENGELUARAN!$L$5:$L$204,"Kantor")))</f>
        <v>0</v>
      </c>
      <c r="E69" s="73">
        <f t="shared" ref="E69:E100" si="6">IF(A69="","",C69-D69)</f>
        <v>0</v>
      </c>
      <c r="F69" s="69">
        <f t="shared" ref="F69:F100" si="7">IF(OR(A69="",C69=0),0,D69/C69)</f>
        <v>0</v>
      </c>
      <c r="G69" s="9" t="str">
        <f t="shared" ref="G69:G100" si="8">IF(A69="","",IF(C69=0,IF(D69&gt;0,"Belum Dianggarkan","Belum Diisi"),IF(E69&lt;0,"Melebihi Anggaran",IF(F69&gt;=0.9,"Hampir Habis","Aman"))))</f>
        <v>Belum Diisi</v>
      </c>
      <c r="H69" s="6"/>
      <c r="I69" s="6"/>
      <c r="J69" s="6"/>
    </row>
    <row r="70" spans="1:10">
      <c r="A70" t="str">
        <f>TEXT(DATE(DASHBOARD!$B$4,4,1),"yyyy-mm")</f>
        <v>2026-04</v>
      </c>
      <c r="B70" t="str">
        <f>MASTER!E12</f>
        <v>Kurir</v>
      </c>
      <c r="C70" s="72"/>
      <c r="D70" s="73">
        <f>IF(A70="","",IF(B70="Gaji dan Honor",SUMIFS(GAJI!$Q$5:$Q$124,GAJI!$B$5:$B$124,"&gt;="&amp;DATE(LEFT(A70,4),RIGHT(A70,2),1),GAJI!$B$5:$B$124,"&lt;"&amp;DATE(LEFT(A70,4),RIGHT(A70,2)+1,1)),SUMIFS(PENGELUARAN!$K$5:$K$204,PENGELUARAN!$C$5:$C$204,A70,PENGELUARAN!$G$5:$G$204,B70,PENGELUARAN!$L$5:$L$204,"Kantor")))</f>
        <v>0</v>
      </c>
      <c r="E70" s="73">
        <f t="shared" si="6"/>
        <v>0</v>
      </c>
      <c r="F70" s="69">
        <f t="shared" si="7"/>
        <v>0</v>
      </c>
      <c r="G70" s="9" t="str">
        <f t="shared" si="8"/>
        <v>Belum Diisi</v>
      </c>
      <c r="H70" s="6"/>
      <c r="I70" s="6"/>
      <c r="J70" s="6"/>
    </row>
    <row r="71" spans="1:10">
      <c r="A71" t="str">
        <f>TEXT(DATE(DASHBOARD!$B$4,4,1),"yyyy-mm")</f>
        <v>2026-04</v>
      </c>
      <c r="B71" t="str">
        <f>MASTER!E13</f>
        <v>ATK</v>
      </c>
      <c r="C71" s="72"/>
      <c r="D71" s="73">
        <f>IF(A71="","",IF(B71="Gaji dan Honor",SUMIFS(GAJI!$Q$5:$Q$124,GAJI!$B$5:$B$124,"&gt;="&amp;DATE(LEFT(A71,4),RIGHT(A71,2),1),GAJI!$B$5:$B$124,"&lt;"&amp;DATE(LEFT(A71,4),RIGHT(A71,2)+1,1)),SUMIFS(PENGELUARAN!$K$5:$K$204,PENGELUARAN!$C$5:$C$204,A71,PENGELUARAN!$G$5:$G$204,B71,PENGELUARAN!$L$5:$L$204,"Kantor")))</f>
        <v>0</v>
      </c>
      <c r="E71" s="73">
        <f t="shared" si="6"/>
        <v>0</v>
      </c>
      <c r="F71" s="69">
        <f t="shared" si="7"/>
        <v>0</v>
      </c>
      <c r="G71" s="9" t="str">
        <f t="shared" si="8"/>
        <v>Belum Diisi</v>
      </c>
      <c r="H71" s="6"/>
      <c r="I71" s="6"/>
      <c r="J71" s="6"/>
    </row>
    <row r="72" spans="1:10">
      <c r="A72" t="str">
        <f>TEXT(DATE(DASHBOARD!$B$4,4,1),"yyyy-mm")</f>
        <v>2026-04</v>
      </c>
      <c r="B72" t="str">
        <f>MASTER!E14</f>
        <v>Parkir/Tol</v>
      </c>
      <c r="C72" s="72"/>
      <c r="D72" s="73">
        <f>IF(A72="","",IF(B72="Gaji dan Honor",SUMIFS(GAJI!$Q$5:$Q$124,GAJI!$B$5:$B$124,"&gt;="&amp;DATE(LEFT(A72,4),RIGHT(A72,2),1),GAJI!$B$5:$B$124,"&lt;"&amp;DATE(LEFT(A72,4),RIGHT(A72,2)+1,1)),SUMIFS(PENGELUARAN!$K$5:$K$204,PENGELUARAN!$C$5:$C$204,A72,PENGELUARAN!$G$5:$G$204,B72,PENGELUARAN!$L$5:$L$204,"Kantor")))</f>
        <v>0</v>
      </c>
      <c r="E72" s="73">
        <f t="shared" si="6"/>
        <v>0</v>
      </c>
      <c r="F72" s="69">
        <f t="shared" si="7"/>
        <v>0</v>
      </c>
      <c r="G72" s="9" t="str">
        <f t="shared" si="8"/>
        <v>Belum Diisi</v>
      </c>
      <c r="H72" s="6"/>
      <c r="I72" s="6"/>
      <c r="J72" s="6"/>
    </row>
    <row r="73" spans="1:10">
      <c r="A73" t="str">
        <f>TEXT(DATE(DASHBOARD!$B$4,4,1),"yyyy-mm")</f>
        <v>2026-04</v>
      </c>
      <c r="B73" t="str">
        <f>MASTER!E15</f>
        <v>Sewa Kantor</v>
      </c>
      <c r="C73" s="72"/>
      <c r="D73" s="73">
        <f>IF(A73="","",IF(B73="Gaji dan Honor",SUMIFS(GAJI!$Q$5:$Q$124,GAJI!$B$5:$B$124,"&gt;="&amp;DATE(LEFT(A73,4),RIGHT(A73,2),1),GAJI!$B$5:$B$124,"&lt;"&amp;DATE(LEFT(A73,4),RIGHT(A73,2)+1,1)),SUMIFS(PENGELUARAN!$K$5:$K$204,PENGELUARAN!$C$5:$C$204,A73,PENGELUARAN!$G$5:$G$204,B73,PENGELUARAN!$L$5:$L$204,"Kantor")))</f>
        <v>0</v>
      </c>
      <c r="E73" s="73">
        <f t="shared" si="6"/>
        <v>0</v>
      </c>
      <c r="F73" s="69">
        <f t="shared" si="7"/>
        <v>0</v>
      </c>
      <c r="G73" s="9" t="str">
        <f t="shared" si="8"/>
        <v>Belum Diisi</v>
      </c>
      <c r="H73" s="6"/>
      <c r="I73" s="6"/>
      <c r="J73" s="6"/>
    </row>
    <row r="74" spans="1:10">
      <c r="A74" t="str">
        <f>TEXT(DATE(DASHBOARD!$B$4,4,1),"yyyy-mm")</f>
        <v>2026-04</v>
      </c>
      <c r="B74" t="str">
        <f>MASTER!E16</f>
        <v>Internet/Telepon</v>
      </c>
      <c r="C74" s="72"/>
      <c r="D74" s="73">
        <f>IF(A74="","",IF(B74="Gaji dan Honor",SUMIFS(GAJI!$Q$5:$Q$124,GAJI!$B$5:$B$124,"&gt;="&amp;DATE(LEFT(A74,4),RIGHT(A74,2),1),GAJI!$B$5:$B$124,"&lt;"&amp;DATE(LEFT(A74,4),RIGHT(A74,2)+1,1)),SUMIFS(PENGELUARAN!$K$5:$K$204,PENGELUARAN!$C$5:$C$204,A74,PENGELUARAN!$G$5:$G$204,B74,PENGELUARAN!$L$5:$L$204,"Kantor")))</f>
        <v>0</v>
      </c>
      <c r="E74" s="73">
        <f t="shared" si="6"/>
        <v>0</v>
      </c>
      <c r="F74" s="69">
        <f t="shared" si="7"/>
        <v>0</v>
      </c>
      <c r="G74" s="9" t="str">
        <f t="shared" si="8"/>
        <v>Belum Diisi</v>
      </c>
      <c r="H74" s="6"/>
      <c r="I74" s="6"/>
      <c r="J74" s="6"/>
    </row>
    <row r="75" spans="1:10">
      <c r="A75" t="str">
        <f>TEXT(DATE(DASHBOARD!$B$4,4,1),"yyyy-mm")</f>
        <v>2026-04</v>
      </c>
      <c r="B75" t="str">
        <f>MASTER!E17</f>
        <v>Software/Langganan</v>
      </c>
      <c r="C75" s="72"/>
      <c r="D75" s="73">
        <f>IF(A75="","",IF(B75="Gaji dan Honor",SUMIFS(GAJI!$Q$5:$Q$124,GAJI!$B$5:$B$124,"&gt;="&amp;DATE(LEFT(A75,4),RIGHT(A75,2),1),GAJI!$B$5:$B$124,"&lt;"&amp;DATE(LEFT(A75,4),RIGHT(A75,2)+1,1)),SUMIFS(PENGELUARAN!$K$5:$K$204,PENGELUARAN!$C$5:$C$204,A75,PENGELUARAN!$G$5:$G$204,B75,PENGELUARAN!$L$5:$L$204,"Kantor")))</f>
        <v>0</v>
      </c>
      <c r="E75" s="73">
        <f t="shared" si="6"/>
        <v>0</v>
      </c>
      <c r="F75" s="69">
        <f t="shared" si="7"/>
        <v>0</v>
      </c>
      <c r="G75" s="9" t="str">
        <f t="shared" si="8"/>
        <v>Belum Diisi</v>
      </c>
      <c r="H75" s="6"/>
      <c r="I75" s="6"/>
      <c r="J75" s="6"/>
    </row>
    <row r="76" spans="1:10">
      <c r="A76" t="str">
        <f>TEXT(DATE(DASHBOARD!$B$4,4,1),"yyyy-mm")</f>
        <v>2026-04</v>
      </c>
      <c r="B76" t="str">
        <f>MASTER!E18</f>
        <v>Pemasaran</v>
      </c>
      <c r="C76" s="72"/>
      <c r="D76" s="73">
        <f>IF(A76="","",IF(B76="Gaji dan Honor",SUMIFS(GAJI!$Q$5:$Q$124,GAJI!$B$5:$B$124,"&gt;="&amp;DATE(LEFT(A76,4),RIGHT(A76,2),1),GAJI!$B$5:$B$124,"&lt;"&amp;DATE(LEFT(A76,4),RIGHT(A76,2)+1,1)),SUMIFS(PENGELUARAN!$K$5:$K$204,PENGELUARAN!$C$5:$C$204,A76,PENGELUARAN!$G$5:$G$204,B76,PENGELUARAN!$L$5:$L$204,"Kantor")))</f>
        <v>0</v>
      </c>
      <c r="E76" s="73">
        <f t="shared" si="6"/>
        <v>0</v>
      </c>
      <c r="F76" s="69">
        <f t="shared" si="7"/>
        <v>0</v>
      </c>
      <c r="G76" s="9" t="str">
        <f t="shared" si="8"/>
        <v>Belum Diisi</v>
      </c>
      <c r="H76" s="6"/>
      <c r="I76" s="6"/>
      <c r="J76" s="6"/>
    </row>
    <row r="77" spans="1:10">
      <c r="A77" t="str">
        <f>TEXT(DATE(DASHBOARD!$B$4,4,1),"yyyy-mm")</f>
        <v>2026-04</v>
      </c>
      <c r="B77" t="str">
        <f>MASTER!E19</f>
        <v>Peralatan Kantor</v>
      </c>
      <c r="C77" s="72"/>
      <c r="D77" s="73">
        <f>IF(A77="","",IF(B77="Gaji dan Honor",SUMIFS(GAJI!$Q$5:$Q$124,GAJI!$B$5:$B$124,"&gt;="&amp;DATE(LEFT(A77,4),RIGHT(A77,2),1),GAJI!$B$5:$B$124,"&lt;"&amp;DATE(LEFT(A77,4),RIGHT(A77,2)+1,1)),SUMIFS(PENGELUARAN!$K$5:$K$204,PENGELUARAN!$C$5:$C$204,A77,PENGELUARAN!$G$5:$G$204,B77,PENGELUARAN!$L$5:$L$204,"Kantor")))</f>
        <v>0</v>
      </c>
      <c r="E77" s="73">
        <f t="shared" si="6"/>
        <v>0</v>
      </c>
      <c r="F77" s="69">
        <f t="shared" si="7"/>
        <v>0</v>
      </c>
      <c r="G77" s="9" t="str">
        <f t="shared" si="8"/>
        <v>Belum Diisi</v>
      </c>
      <c r="H77" s="6"/>
      <c r="I77" s="6"/>
      <c r="J77" s="6"/>
    </row>
    <row r="78" spans="1:10">
      <c r="A78" t="str">
        <f>TEXT(DATE(DASHBOARD!$B$4,4,1),"yyyy-mm")</f>
        <v>2026-04</v>
      </c>
      <c r="B78" t="str">
        <f>MASTER!E20</f>
        <v>Operasional Kantor</v>
      </c>
      <c r="C78" s="72"/>
      <c r="D78" s="73">
        <f>IF(A78="","",IF(B78="Gaji dan Honor",SUMIFS(GAJI!$Q$5:$Q$124,GAJI!$B$5:$B$124,"&gt;="&amp;DATE(LEFT(A78,4),RIGHT(A78,2),1),GAJI!$B$5:$B$124,"&lt;"&amp;DATE(LEFT(A78,4),RIGHT(A78,2)+1,1)),SUMIFS(PENGELUARAN!$K$5:$K$204,PENGELUARAN!$C$5:$C$204,A78,PENGELUARAN!$G$5:$G$204,B78,PENGELUARAN!$L$5:$L$204,"Kantor")))</f>
        <v>0</v>
      </c>
      <c r="E78" s="73">
        <f t="shared" si="6"/>
        <v>0</v>
      </c>
      <c r="F78" s="69">
        <f t="shared" si="7"/>
        <v>0</v>
      </c>
      <c r="G78" s="9" t="str">
        <f t="shared" si="8"/>
        <v>Belum Diisi</v>
      </c>
      <c r="H78" s="6"/>
      <c r="I78" s="6"/>
      <c r="J78" s="6"/>
    </row>
    <row r="79" spans="1:10">
      <c r="A79" t="str">
        <f>TEXT(DATE(DASHBOARD!$B$4,4,1),"yyyy-mm")</f>
        <v>2026-04</v>
      </c>
      <c r="B79" t="str">
        <f>MASTER!E21</f>
        <v>Pajak/BPJS</v>
      </c>
      <c r="C79" s="72"/>
      <c r="D79" s="73">
        <f>IF(A79="","",IF(B79="Gaji dan Honor",SUMIFS(GAJI!$Q$5:$Q$124,GAJI!$B$5:$B$124,"&gt;="&amp;DATE(LEFT(A79,4),RIGHT(A79,2),1),GAJI!$B$5:$B$124,"&lt;"&amp;DATE(LEFT(A79,4),RIGHT(A79,2)+1,1)),SUMIFS(PENGELUARAN!$K$5:$K$204,PENGELUARAN!$C$5:$C$204,A79,PENGELUARAN!$G$5:$G$204,B79,PENGELUARAN!$L$5:$L$204,"Kantor")))</f>
        <v>0</v>
      </c>
      <c r="E79" s="73">
        <f t="shared" si="6"/>
        <v>0</v>
      </c>
      <c r="F79" s="69">
        <f t="shared" si="7"/>
        <v>0</v>
      </c>
      <c r="G79" s="9" t="str">
        <f t="shared" si="8"/>
        <v>Belum Diisi</v>
      </c>
      <c r="H79" s="6"/>
      <c r="I79" s="6"/>
      <c r="J79" s="6"/>
    </row>
    <row r="80" spans="1:10">
      <c r="A80" t="str">
        <f>TEXT(DATE(DASHBOARD!$B$4,4,1),"yyyy-mm")</f>
        <v>2026-04</v>
      </c>
      <c r="B80" t="str">
        <f>MASTER!E22</f>
        <v>Lain-lain</v>
      </c>
      <c r="C80" s="72"/>
      <c r="D80" s="73">
        <f>IF(A80="","",IF(B80="Gaji dan Honor",SUMIFS(GAJI!$Q$5:$Q$124,GAJI!$B$5:$B$124,"&gt;="&amp;DATE(LEFT(A80,4),RIGHT(A80,2),1),GAJI!$B$5:$B$124,"&lt;"&amp;DATE(LEFT(A80,4),RIGHT(A80,2)+1,1)),SUMIFS(PENGELUARAN!$K$5:$K$204,PENGELUARAN!$C$5:$C$204,A80,PENGELUARAN!$G$5:$G$204,B80,PENGELUARAN!$L$5:$L$204,"Kantor")))</f>
        <v>0</v>
      </c>
      <c r="E80" s="73">
        <f t="shared" si="6"/>
        <v>0</v>
      </c>
      <c r="F80" s="69">
        <f t="shared" si="7"/>
        <v>0</v>
      </c>
      <c r="G80" s="9" t="str">
        <f t="shared" si="8"/>
        <v>Belum Diisi</v>
      </c>
      <c r="H80" s="6"/>
      <c r="I80" s="6"/>
      <c r="J80" s="6"/>
    </row>
    <row r="81" spans="1:10">
      <c r="A81" t="str">
        <f>TEXT(DATE(DASHBOARD!$B$4,5,1),"yyyy-mm")</f>
        <v>2026-05</v>
      </c>
      <c r="B81" t="s">
        <v>616</v>
      </c>
      <c r="C81" s="72"/>
      <c r="D81" s="73">
        <f>IF(A81="","",IF(B81="Gaji dan Honor",SUMIFS(GAJI!$Q$5:$Q$124,GAJI!$B$5:$B$124,"&gt;="&amp;DATE(LEFT(A81,4),RIGHT(A81,2),1),GAJI!$B$5:$B$124,"&lt;"&amp;DATE(LEFT(A81,4),RIGHT(A81,2)+1,1)),SUMIFS(PENGELUARAN!$K$5:$K$204,PENGELUARAN!$C$5:$C$204,A81,PENGELUARAN!$G$5:$G$204,B81,PENGELUARAN!$L$5:$L$204,"Kantor")))</f>
        <v>0</v>
      </c>
      <c r="E81" s="73">
        <f t="shared" si="6"/>
        <v>0</v>
      </c>
      <c r="F81" s="69">
        <f t="shared" si="7"/>
        <v>0</v>
      </c>
      <c r="G81" s="9" t="str">
        <f t="shared" si="8"/>
        <v>Belum Diisi</v>
      </c>
      <c r="H81" s="6"/>
      <c r="I81" s="6"/>
      <c r="J81" s="6"/>
    </row>
    <row r="82" spans="1:10">
      <c r="A82" t="str">
        <f>TEXT(DATE(DASHBOARD!$B$4,5,1),"yyyy-mm")</f>
        <v>2026-05</v>
      </c>
      <c r="B82" t="str">
        <f>MASTER!E5</f>
        <v>Transportasi</v>
      </c>
      <c r="C82" s="72"/>
      <c r="D82" s="73">
        <f>IF(A82="","",IF(B82="Gaji dan Honor",SUMIFS(GAJI!$Q$5:$Q$124,GAJI!$B$5:$B$124,"&gt;="&amp;DATE(LEFT(A82,4),RIGHT(A82,2),1),GAJI!$B$5:$B$124,"&lt;"&amp;DATE(LEFT(A82,4),RIGHT(A82,2)+1,1)),SUMIFS(PENGELUARAN!$K$5:$K$204,PENGELUARAN!$C$5:$C$204,A82,PENGELUARAN!$G$5:$G$204,B82,PENGELUARAN!$L$5:$L$204,"Kantor")))</f>
        <v>0</v>
      </c>
      <c r="E82" s="73">
        <f t="shared" si="6"/>
        <v>0</v>
      </c>
      <c r="F82" s="69">
        <f t="shared" si="7"/>
        <v>0</v>
      </c>
      <c r="G82" s="9" t="str">
        <f t="shared" si="8"/>
        <v>Belum Diisi</v>
      </c>
      <c r="H82" s="6"/>
      <c r="I82" s="6"/>
      <c r="J82" s="6"/>
    </row>
    <row r="83" spans="1:10">
      <c r="A83" t="str">
        <f>TEXT(DATE(DASHBOARD!$B$4,5,1),"yyyy-mm")</f>
        <v>2026-05</v>
      </c>
      <c r="B83" t="str">
        <f>MASTER!E6</f>
        <v>Akomodasi</v>
      </c>
      <c r="C83" s="72"/>
      <c r="D83" s="73">
        <f>IF(A83="","",IF(B83="Gaji dan Honor",SUMIFS(GAJI!$Q$5:$Q$124,GAJI!$B$5:$B$124,"&gt;="&amp;DATE(LEFT(A83,4),RIGHT(A83,2),1),GAJI!$B$5:$B$124,"&lt;"&amp;DATE(LEFT(A83,4),RIGHT(A83,2)+1,1)),SUMIFS(PENGELUARAN!$K$5:$K$204,PENGELUARAN!$C$5:$C$204,A83,PENGELUARAN!$G$5:$G$204,B83,PENGELUARAN!$L$5:$L$204,"Kantor")))</f>
        <v>0</v>
      </c>
      <c r="E83" s="73">
        <f t="shared" si="6"/>
        <v>0</v>
      </c>
      <c r="F83" s="69">
        <f t="shared" si="7"/>
        <v>0</v>
      </c>
      <c r="G83" s="9" t="str">
        <f t="shared" si="8"/>
        <v>Belum Diisi</v>
      </c>
      <c r="H83" s="6"/>
      <c r="I83" s="6"/>
      <c r="J83" s="6"/>
    </row>
    <row r="84" spans="1:10">
      <c r="A84" t="str">
        <f>TEXT(DATE(DASHBOARD!$B$4,5,1),"yyyy-mm")</f>
        <v>2026-05</v>
      </c>
      <c r="B84" t="str">
        <f>MASTER!E7</f>
        <v>Konsumsi</v>
      </c>
      <c r="C84" s="72"/>
      <c r="D84" s="73">
        <f>IF(A84="","",IF(B84="Gaji dan Honor",SUMIFS(GAJI!$Q$5:$Q$124,GAJI!$B$5:$B$124,"&gt;="&amp;DATE(LEFT(A84,4),RIGHT(A84,2),1),GAJI!$B$5:$B$124,"&lt;"&amp;DATE(LEFT(A84,4),RIGHT(A84,2)+1,1)),SUMIFS(PENGELUARAN!$K$5:$K$204,PENGELUARAN!$C$5:$C$204,A84,PENGELUARAN!$G$5:$G$204,B84,PENGELUARAN!$L$5:$L$204,"Kantor")))</f>
        <v>0</v>
      </c>
      <c r="E84" s="73">
        <f t="shared" si="6"/>
        <v>0</v>
      </c>
      <c r="F84" s="69">
        <f t="shared" si="7"/>
        <v>0</v>
      </c>
      <c r="G84" s="9" t="str">
        <f t="shared" si="8"/>
        <v>Belum Diisi</v>
      </c>
      <c r="H84" s="6"/>
      <c r="I84" s="6"/>
      <c r="J84" s="6"/>
    </row>
    <row r="85" spans="1:10">
      <c r="A85" t="str">
        <f>TEXT(DATE(DASHBOARD!$B$4,5,1),"yyyy-mm")</f>
        <v>2026-05</v>
      </c>
      <c r="B85" t="str">
        <f>MASTER!E8</f>
        <v>Persidangan</v>
      </c>
      <c r="C85" s="72"/>
      <c r="D85" s="73">
        <f>IF(A85="","",IF(B85="Gaji dan Honor",SUMIFS(GAJI!$Q$5:$Q$124,GAJI!$B$5:$B$124,"&gt;="&amp;DATE(LEFT(A85,4),RIGHT(A85,2),1),GAJI!$B$5:$B$124,"&lt;"&amp;DATE(LEFT(A85,4),RIGHT(A85,2)+1,1)),SUMIFS(PENGELUARAN!$K$5:$K$204,PENGELUARAN!$C$5:$C$204,A85,PENGELUARAN!$G$5:$G$204,B85,PENGELUARAN!$L$5:$L$204,"Kantor")))</f>
        <v>0</v>
      </c>
      <c r="E85" s="73">
        <f t="shared" si="6"/>
        <v>0</v>
      </c>
      <c r="F85" s="69">
        <f t="shared" si="7"/>
        <v>0</v>
      </c>
      <c r="G85" s="9" t="str">
        <f t="shared" si="8"/>
        <v>Belum Diisi</v>
      </c>
      <c r="H85" s="6"/>
      <c r="I85" s="6"/>
      <c r="J85" s="6"/>
    </row>
    <row r="86" spans="1:10">
      <c r="A86" t="str">
        <f>TEXT(DATE(DASHBOARD!$B$4,5,1),"yyyy-mm")</f>
        <v>2026-05</v>
      </c>
      <c r="B86" t="str">
        <f>MASTER!E9</f>
        <v>Notaris</v>
      </c>
      <c r="C86" s="72"/>
      <c r="D86" s="73">
        <f>IF(A86="","",IF(B86="Gaji dan Honor",SUMIFS(GAJI!$Q$5:$Q$124,GAJI!$B$5:$B$124,"&gt;="&amp;DATE(LEFT(A86,4),RIGHT(A86,2),1),GAJI!$B$5:$B$124,"&lt;"&amp;DATE(LEFT(A86,4),RIGHT(A86,2)+1,1)),SUMIFS(PENGELUARAN!$K$5:$K$204,PENGELUARAN!$C$5:$C$204,A86,PENGELUARAN!$G$5:$G$204,B86,PENGELUARAN!$L$5:$L$204,"Kantor")))</f>
        <v>0</v>
      </c>
      <c r="E86" s="73">
        <f t="shared" si="6"/>
        <v>0</v>
      </c>
      <c r="F86" s="69">
        <f t="shared" si="7"/>
        <v>0</v>
      </c>
      <c r="G86" s="9" t="str">
        <f t="shared" si="8"/>
        <v>Belum Diisi</v>
      </c>
      <c r="H86" s="6"/>
      <c r="I86" s="6"/>
      <c r="J86" s="6"/>
    </row>
    <row r="87" spans="1:10">
      <c r="A87" t="str">
        <f>TEXT(DATE(DASHBOARD!$B$4,5,1),"yyyy-mm")</f>
        <v>2026-05</v>
      </c>
      <c r="B87" t="str">
        <f>MASTER!E10</f>
        <v>KAP/Auditor</v>
      </c>
      <c r="C87" s="72"/>
      <c r="D87" s="73">
        <f>IF(A87="","",IF(B87="Gaji dan Honor",SUMIFS(GAJI!$Q$5:$Q$124,GAJI!$B$5:$B$124,"&gt;="&amp;DATE(LEFT(A87,4),RIGHT(A87,2),1),GAJI!$B$5:$B$124,"&lt;"&amp;DATE(LEFT(A87,4),RIGHT(A87,2)+1,1)),SUMIFS(PENGELUARAN!$K$5:$K$204,PENGELUARAN!$C$5:$C$204,A87,PENGELUARAN!$G$5:$G$204,B87,PENGELUARAN!$L$5:$L$204,"Kantor")))</f>
        <v>0</v>
      </c>
      <c r="E87" s="73">
        <f t="shared" si="6"/>
        <v>0</v>
      </c>
      <c r="F87" s="69">
        <f t="shared" si="7"/>
        <v>0</v>
      </c>
      <c r="G87" s="9" t="str">
        <f t="shared" si="8"/>
        <v>Belum Diisi</v>
      </c>
      <c r="H87" s="6"/>
      <c r="I87" s="6"/>
      <c r="J87" s="6"/>
    </row>
    <row r="88" spans="1:10">
      <c r="A88" t="str">
        <f>TEXT(DATE(DASHBOARD!$B$4,5,1),"yyyy-mm")</f>
        <v>2026-05</v>
      </c>
      <c r="B88" t="str">
        <f>MASTER!E11</f>
        <v>Administrasi Instansi</v>
      </c>
      <c r="C88" s="72"/>
      <c r="D88" s="73">
        <f>IF(A88="","",IF(B88="Gaji dan Honor",SUMIFS(GAJI!$Q$5:$Q$124,GAJI!$B$5:$B$124,"&gt;="&amp;DATE(LEFT(A88,4),RIGHT(A88,2),1),GAJI!$B$5:$B$124,"&lt;"&amp;DATE(LEFT(A88,4),RIGHT(A88,2)+1,1)),SUMIFS(PENGELUARAN!$K$5:$K$204,PENGELUARAN!$C$5:$C$204,A88,PENGELUARAN!$G$5:$G$204,B88,PENGELUARAN!$L$5:$L$204,"Kantor")))</f>
        <v>0</v>
      </c>
      <c r="E88" s="73">
        <f t="shared" si="6"/>
        <v>0</v>
      </c>
      <c r="F88" s="69">
        <f t="shared" si="7"/>
        <v>0</v>
      </c>
      <c r="G88" s="9" t="str">
        <f t="shared" si="8"/>
        <v>Belum Diisi</v>
      </c>
      <c r="H88" s="6"/>
      <c r="I88" s="6"/>
      <c r="J88" s="6"/>
    </row>
    <row r="89" spans="1:10">
      <c r="A89" t="str">
        <f>TEXT(DATE(DASHBOARD!$B$4,5,1),"yyyy-mm")</f>
        <v>2026-05</v>
      </c>
      <c r="B89" t="str">
        <f>MASTER!E12</f>
        <v>Kurir</v>
      </c>
      <c r="C89" s="72"/>
      <c r="D89" s="73">
        <f>IF(A89="","",IF(B89="Gaji dan Honor",SUMIFS(GAJI!$Q$5:$Q$124,GAJI!$B$5:$B$124,"&gt;="&amp;DATE(LEFT(A89,4),RIGHT(A89,2),1),GAJI!$B$5:$B$124,"&lt;"&amp;DATE(LEFT(A89,4),RIGHT(A89,2)+1,1)),SUMIFS(PENGELUARAN!$K$5:$K$204,PENGELUARAN!$C$5:$C$204,A89,PENGELUARAN!$G$5:$G$204,B89,PENGELUARAN!$L$5:$L$204,"Kantor")))</f>
        <v>0</v>
      </c>
      <c r="E89" s="73">
        <f t="shared" si="6"/>
        <v>0</v>
      </c>
      <c r="F89" s="69">
        <f t="shared" si="7"/>
        <v>0</v>
      </c>
      <c r="G89" s="9" t="str">
        <f t="shared" si="8"/>
        <v>Belum Diisi</v>
      </c>
      <c r="H89" s="6"/>
      <c r="I89" s="6"/>
      <c r="J89" s="6"/>
    </row>
    <row r="90" spans="1:10">
      <c r="A90" t="str">
        <f>TEXT(DATE(DASHBOARD!$B$4,5,1),"yyyy-mm")</f>
        <v>2026-05</v>
      </c>
      <c r="B90" t="str">
        <f>MASTER!E13</f>
        <v>ATK</v>
      </c>
      <c r="C90" s="72"/>
      <c r="D90" s="73">
        <f>IF(A90="","",IF(B90="Gaji dan Honor",SUMIFS(GAJI!$Q$5:$Q$124,GAJI!$B$5:$B$124,"&gt;="&amp;DATE(LEFT(A90,4),RIGHT(A90,2),1),GAJI!$B$5:$B$124,"&lt;"&amp;DATE(LEFT(A90,4),RIGHT(A90,2)+1,1)),SUMIFS(PENGELUARAN!$K$5:$K$204,PENGELUARAN!$C$5:$C$204,A90,PENGELUARAN!$G$5:$G$204,B90,PENGELUARAN!$L$5:$L$204,"Kantor")))</f>
        <v>0</v>
      </c>
      <c r="E90" s="73">
        <f t="shared" si="6"/>
        <v>0</v>
      </c>
      <c r="F90" s="69">
        <f t="shared" si="7"/>
        <v>0</v>
      </c>
      <c r="G90" s="9" t="str">
        <f t="shared" si="8"/>
        <v>Belum Diisi</v>
      </c>
      <c r="H90" s="6"/>
      <c r="I90" s="6"/>
      <c r="J90" s="6"/>
    </row>
    <row r="91" spans="1:10">
      <c r="A91" t="str">
        <f>TEXT(DATE(DASHBOARD!$B$4,5,1),"yyyy-mm")</f>
        <v>2026-05</v>
      </c>
      <c r="B91" t="str">
        <f>MASTER!E14</f>
        <v>Parkir/Tol</v>
      </c>
      <c r="C91" s="72"/>
      <c r="D91" s="73">
        <f>IF(A91="","",IF(B91="Gaji dan Honor",SUMIFS(GAJI!$Q$5:$Q$124,GAJI!$B$5:$B$124,"&gt;="&amp;DATE(LEFT(A91,4),RIGHT(A91,2),1),GAJI!$B$5:$B$124,"&lt;"&amp;DATE(LEFT(A91,4),RIGHT(A91,2)+1,1)),SUMIFS(PENGELUARAN!$K$5:$K$204,PENGELUARAN!$C$5:$C$204,A91,PENGELUARAN!$G$5:$G$204,B91,PENGELUARAN!$L$5:$L$204,"Kantor")))</f>
        <v>0</v>
      </c>
      <c r="E91" s="73">
        <f t="shared" si="6"/>
        <v>0</v>
      </c>
      <c r="F91" s="69">
        <f t="shared" si="7"/>
        <v>0</v>
      </c>
      <c r="G91" s="9" t="str">
        <f t="shared" si="8"/>
        <v>Belum Diisi</v>
      </c>
      <c r="H91" s="6"/>
      <c r="I91" s="6"/>
      <c r="J91" s="6"/>
    </row>
    <row r="92" spans="1:10">
      <c r="A92" t="str">
        <f>TEXT(DATE(DASHBOARD!$B$4,5,1),"yyyy-mm")</f>
        <v>2026-05</v>
      </c>
      <c r="B92" t="str">
        <f>MASTER!E15</f>
        <v>Sewa Kantor</v>
      </c>
      <c r="C92" s="72"/>
      <c r="D92" s="73">
        <f>IF(A92="","",IF(B92="Gaji dan Honor",SUMIFS(GAJI!$Q$5:$Q$124,GAJI!$B$5:$B$124,"&gt;="&amp;DATE(LEFT(A92,4),RIGHT(A92,2),1),GAJI!$B$5:$B$124,"&lt;"&amp;DATE(LEFT(A92,4),RIGHT(A92,2)+1,1)),SUMIFS(PENGELUARAN!$K$5:$K$204,PENGELUARAN!$C$5:$C$204,A92,PENGELUARAN!$G$5:$G$204,B92,PENGELUARAN!$L$5:$L$204,"Kantor")))</f>
        <v>0</v>
      </c>
      <c r="E92" s="73">
        <f t="shared" si="6"/>
        <v>0</v>
      </c>
      <c r="F92" s="69">
        <f t="shared" si="7"/>
        <v>0</v>
      </c>
      <c r="G92" s="9" t="str">
        <f t="shared" si="8"/>
        <v>Belum Diisi</v>
      </c>
      <c r="H92" s="6"/>
      <c r="I92" s="6"/>
      <c r="J92" s="6"/>
    </row>
    <row r="93" spans="1:10">
      <c r="A93" t="str">
        <f>TEXT(DATE(DASHBOARD!$B$4,5,1),"yyyy-mm")</f>
        <v>2026-05</v>
      </c>
      <c r="B93" t="str">
        <f>MASTER!E16</f>
        <v>Internet/Telepon</v>
      </c>
      <c r="C93" s="72"/>
      <c r="D93" s="73">
        <f>IF(A93="","",IF(B93="Gaji dan Honor",SUMIFS(GAJI!$Q$5:$Q$124,GAJI!$B$5:$B$124,"&gt;="&amp;DATE(LEFT(A93,4),RIGHT(A93,2),1),GAJI!$B$5:$B$124,"&lt;"&amp;DATE(LEFT(A93,4),RIGHT(A93,2)+1,1)),SUMIFS(PENGELUARAN!$K$5:$K$204,PENGELUARAN!$C$5:$C$204,A93,PENGELUARAN!$G$5:$G$204,B93,PENGELUARAN!$L$5:$L$204,"Kantor")))</f>
        <v>0</v>
      </c>
      <c r="E93" s="73">
        <f t="shared" si="6"/>
        <v>0</v>
      </c>
      <c r="F93" s="69">
        <f t="shared" si="7"/>
        <v>0</v>
      </c>
      <c r="G93" s="9" t="str">
        <f t="shared" si="8"/>
        <v>Belum Diisi</v>
      </c>
      <c r="H93" s="6"/>
      <c r="I93" s="6"/>
      <c r="J93" s="6"/>
    </row>
    <row r="94" spans="1:10">
      <c r="A94" t="str">
        <f>TEXT(DATE(DASHBOARD!$B$4,5,1),"yyyy-mm")</f>
        <v>2026-05</v>
      </c>
      <c r="B94" t="str">
        <f>MASTER!E17</f>
        <v>Software/Langganan</v>
      </c>
      <c r="C94" s="72"/>
      <c r="D94" s="73">
        <f>IF(A94="","",IF(B94="Gaji dan Honor",SUMIFS(GAJI!$Q$5:$Q$124,GAJI!$B$5:$B$124,"&gt;="&amp;DATE(LEFT(A94,4),RIGHT(A94,2),1),GAJI!$B$5:$B$124,"&lt;"&amp;DATE(LEFT(A94,4),RIGHT(A94,2)+1,1)),SUMIFS(PENGELUARAN!$K$5:$K$204,PENGELUARAN!$C$5:$C$204,A94,PENGELUARAN!$G$5:$G$204,B94,PENGELUARAN!$L$5:$L$204,"Kantor")))</f>
        <v>0</v>
      </c>
      <c r="E94" s="73">
        <f t="shared" si="6"/>
        <v>0</v>
      </c>
      <c r="F94" s="69">
        <f t="shared" si="7"/>
        <v>0</v>
      </c>
      <c r="G94" s="9" t="str">
        <f t="shared" si="8"/>
        <v>Belum Diisi</v>
      </c>
      <c r="H94" s="6"/>
      <c r="I94" s="6"/>
      <c r="J94" s="6"/>
    </row>
    <row r="95" spans="1:10">
      <c r="A95" t="str">
        <f>TEXT(DATE(DASHBOARD!$B$4,5,1),"yyyy-mm")</f>
        <v>2026-05</v>
      </c>
      <c r="B95" t="str">
        <f>MASTER!E18</f>
        <v>Pemasaran</v>
      </c>
      <c r="C95" s="72"/>
      <c r="D95" s="73">
        <f>IF(A95="","",IF(B95="Gaji dan Honor",SUMIFS(GAJI!$Q$5:$Q$124,GAJI!$B$5:$B$124,"&gt;="&amp;DATE(LEFT(A95,4),RIGHT(A95,2),1),GAJI!$B$5:$B$124,"&lt;"&amp;DATE(LEFT(A95,4),RIGHT(A95,2)+1,1)),SUMIFS(PENGELUARAN!$K$5:$K$204,PENGELUARAN!$C$5:$C$204,A95,PENGELUARAN!$G$5:$G$204,B95,PENGELUARAN!$L$5:$L$204,"Kantor")))</f>
        <v>0</v>
      </c>
      <c r="E95" s="73">
        <f t="shared" si="6"/>
        <v>0</v>
      </c>
      <c r="F95" s="69">
        <f t="shared" si="7"/>
        <v>0</v>
      </c>
      <c r="G95" s="9" t="str">
        <f t="shared" si="8"/>
        <v>Belum Diisi</v>
      </c>
      <c r="H95" s="6"/>
      <c r="I95" s="6"/>
      <c r="J95" s="6"/>
    </row>
    <row r="96" spans="1:10">
      <c r="A96" t="str">
        <f>TEXT(DATE(DASHBOARD!$B$4,5,1),"yyyy-mm")</f>
        <v>2026-05</v>
      </c>
      <c r="B96" t="str">
        <f>MASTER!E19</f>
        <v>Peralatan Kantor</v>
      </c>
      <c r="C96" s="72"/>
      <c r="D96" s="73">
        <f>IF(A96="","",IF(B96="Gaji dan Honor",SUMIFS(GAJI!$Q$5:$Q$124,GAJI!$B$5:$B$124,"&gt;="&amp;DATE(LEFT(A96,4),RIGHT(A96,2),1),GAJI!$B$5:$B$124,"&lt;"&amp;DATE(LEFT(A96,4),RIGHT(A96,2)+1,1)),SUMIFS(PENGELUARAN!$K$5:$K$204,PENGELUARAN!$C$5:$C$204,A96,PENGELUARAN!$G$5:$G$204,B96,PENGELUARAN!$L$5:$L$204,"Kantor")))</f>
        <v>0</v>
      </c>
      <c r="E96" s="73">
        <f t="shared" si="6"/>
        <v>0</v>
      </c>
      <c r="F96" s="69">
        <f t="shared" si="7"/>
        <v>0</v>
      </c>
      <c r="G96" s="9" t="str">
        <f t="shared" si="8"/>
        <v>Belum Diisi</v>
      </c>
      <c r="H96" s="6"/>
      <c r="I96" s="6"/>
      <c r="J96" s="6"/>
    </row>
    <row r="97" spans="1:10">
      <c r="A97" t="str">
        <f>TEXT(DATE(DASHBOARD!$B$4,5,1),"yyyy-mm")</f>
        <v>2026-05</v>
      </c>
      <c r="B97" t="str">
        <f>MASTER!E20</f>
        <v>Operasional Kantor</v>
      </c>
      <c r="C97" s="72"/>
      <c r="D97" s="73">
        <f>IF(A97="","",IF(B97="Gaji dan Honor",SUMIFS(GAJI!$Q$5:$Q$124,GAJI!$B$5:$B$124,"&gt;="&amp;DATE(LEFT(A97,4),RIGHT(A97,2),1),GAJI!$B$5:$B$124,"&lt;"&amp;DATE(LEFT(A97,4),RIGHT(A97,2)+1,1)),SUMIFS(PENGELUARAN!$K$5:$K$204,PENGELUARAN!$C$5:$C$204,A97,PENGELUARAN!$G$5:$G$204,B97,PENGELUARAN!$L$5:$L$204,"Kantor")))</f>
        <v>0</v>
      </c>
      <c r="E97" s="73">
        <f t="shared" si="6"/>
        <v>0</v>
      </c>
      <c r="F97" s="69">
        <f t="shared" si="7"/>
        <v>0</v>
      </c>
      <c r="G97" s="9" t="str">
        <f t="shared" si="8"/>
        <v>Belum Diisi</v>
      </c>
      <c r="H97" s="6"/>
      <c r="I97" s="6"/>
      <c r="J97" s="6"/>
    </row>
    <row r="98" spans="1:10">
      <c r="A98" t="str">
        <f>TEXT(DATE(DASHBOARD!$B$4,5,1),"yyyy-mm")</f>
        <v>2026-05</v>
      </c>
      <c r="B98" t="str">
        <f>MASTER!E21</f>
        <v>Pajak/BPJS</v>
      </c>
      <c r="C98" s="72"/>
      <c r="D98" s="73">
        <f>IF(A98="","",IF(B98="Gaji dan Honor",SUMIFS(GAJI!$Q$5:$Q$124,GAJI!$B$5:$B$124,"&gt;="&amp;DATE(LEFT(A98,4),RIGHT(A98,2),1),GAJI!$B$5:$B$124,"&lt;"&amp;DATE(LEFT(A98,4),RIGHT(A98,2)+1,1)),SUMIFS(PENGELUARAN!$K$5:$K$204,PENGELUARAN!$C$5:$C$204,A98,PENGELUARAN!$G$5:$G$204,B98,PENGELUARAN!$L$5:$L$204,"Kantor")))</f>
        <v>0</v>
      </c>
      <c r="E98" s="73">
        <f t="shared" si="6"/>
        <v>0</v>
      </c>
      <c r="F98" s="69">
        <f t="shared" si="7"/>
        <v>0</v>
      </c>
      <c r="G98" s="9" t="str">
        <f t="shared" si="8"/>
        <v>Belum Diisi</v>
      </c>
      <c r="H98" s="6"/>
      <c r="I98" s="6"/>
      <c r="J98" s="6"/>
    </row>
    <row r="99" spans="1:10">
      <c r="A99" t="str">
        <f>TEXT(DATE(DASHBOARD!$B$4,5,1),"yyyy-mm")</f>
        <v>2026-05</v>
      </c>
      <c r="B99" t="str">
        <f>MASTER!E22</f>
        <v>Lain-lain</v>
      </c>
      <c r="C99" s="72"/>
      <c r="D99" s="73">
        <f>IF(A99="","",IF(B99="Gaji dan Honor",SUMIFS(GAJI!$Q$5:$Q$124,GAJI!$B$5:$B$124,"&gt;="&amp;DATE(LEFT(A99,4),RIGHT(A99,2),1),GAJI!$B$5:$B$124,"&lt;"&amp;DATE(LEFT(A99,4),RIGHT(A99,2)+1,1)),SUMIFS(PENGELUARAN!$K$5:$K$204,PENGELUARAN!$C$5:$C$204,A99,PENGELUARAN!$G$5:$G$204,B99,PENGELUARAN!$L$5:$L$204,"Kantor")))</f>
        <v>0</v>
      </c>
      <c r="E99" s="73">
        <f t="shared" si="6"/>
        <v>0</v>
      </c>
      <c r="F99" s="69">
        <f t="shared" si="7"/>
        <v>0</v>
      </c>
      <c r="G99" s="9" t="str">
        <f t="shared" si="8"/>
        <v>Belum Diisi</v>
      </c>
      <c r="H99" s="6"/>
      <c r="I99" s="6"/>
      <c r="J99" s="6"/>
    </row>
    <row r="100" spans="1:10">
      <c r="A100" t="str">
        <f>TEXT(DATE(DASHBOARD!$B$4,6,1),"yyyy-mm")</f>
        <v>2026-06</v>
      </c>
      <c r="B100" t="s">
        <v>616</v>
      </c>
      <c r="C100" s="72"/>
      <c r="D100" s="73">
        <f>IF(A100="","",IF(B100="Gaji dan Honor",SUMIFS(GAJI!$Q$5:$Q$124,GAJI!$B$5:$B$124,"&gt;="&amp;DATE(LEFT(A100,4),RIGHT(A100,2),1),GAJI!$B$5:$B$124,"&lt;"&amp;DATE(LEFT(A100,4),RIGHT(A100,2)+1,1)),SUMIFS(PENGELUARAN!$K$5:$K$204,PENGELUARAN!$C$5:$C$204,A100,PENGELUARAN!$G$5:$G$204,B100,PENGELUARAN!$L$5:$L$204,"Kantor")))</f>
        <v>0</v>
      </c>
      <c r="E100" s="73">
        <f t="shared" si="6"/>
        <v>0</v>
      </c>
      <c r="F100" s="69">
        <f t="shared" si="7"/>
        <v>0</v>
      </c>
      <c r="G100" s="9" t="str">
        <f t="shared" si="8"/>
        <v>Belum Diisi</v>
      </c>
      <c r="H100" s="6"/>
      <c r="I100" s="6"/>
      <c r="J100" s="6"/>
    </row>
    <row r="101" spans="1:10">
      <c r="A101" t="str">
        <f>TEXT(DATE(DASHBOARD!$B$4,6,1),"yyyy-mm")</f>
        <v>2026-06</v>
      </c>
      <c r="B101" t="str">
        <f>MASTER!E5</f>
        <v>Transportasi</v>
      </c>
      <c r="C101" s="72"/>
      <c r="D101" s="73">
        <f>IF(A101="","",IF(B101="Gaji dan Honor",SUMIFS(GAJI!$Q$5:$Q$124,GAJI!$B$5:$B$124,"&gt;="&amp;DATE(LEFT(A101,4),RIGHT(A101,2),1),GAJI!$B$5:$B$124,"&lt;"&amp;DATE(LEFT(A101,4),RIGHT(A101,2)+1,1)),SUMIFS(PENGELUARAN!$K$5:$K$204,PENGELUARAN!$C$5:$C$204,A101,PENGELUARAN!$G$5:$G$204,B101,PENGELUARAN!$L$5:$L$204,"Kantor")))</f>
        <v>0</v>
      </c>
      <c r="E101" s="73">
        <f t="shared" ref="E101:E124" si="9">IF(A101="","",C101-D101)</f>
        <v>0</v>
      </c>
      <c r="F101" s="69">
        <f t="shared" ref="F101:F124" si="10">IF(OR(A101="",C101=0),0,D101/C101)</f>
        <v>0</v>
      </c>
      <c r="G101" s="9" t="str">
        <f t="shared" ref="G101:G124" si="11">IF(A101="","",IF(C101=0,IF(D101&gt;0,"Belum Dianggarkan","Belum Diisi"),IF(E101&lt;0,"Melebihi Anggaran",IF(F101&gt;=0.9,"Hampir Habis","Aman"))))</f>
        <v>Belum Diisi</v>
      </c>
      <c r="H101" s="6"/>
      <c r="I101" s="6"/>
      <c r="J101" s="6"/>
    </row>
    <row r="102" spans="1:10">
      <c r="A102" t="str">
        <f>TEXT(DATE(DASHBOARD!$B$4,6,1),"yyyy-mm")</f>
        <v>2026-06</v>
      </c>
      <c r="B102" t="str">
        <f>MASTER!E6</f>
        <v>Akomodasi</v>
      </c>
      <c r="C102" s="72"/>
      <c r="D102" s="73">
        <f>IF(A102="","",IF(B102="Gaji dan Honor",SUMIFS(GAJI!$Q$5:$Q$124,GAJI!$B$5:$B$124,"&gt;="&amp;DATE(LEFT(A102,4),RIGHT(A102,2),1),GAJI!$B$5:$B$124,"&lt;"&amp;DATE(LEFT(A102,4),RIGHT(A102,2)+1,1)),SUMIFS(PENGELUARAN!$K$5:$K$204,PENGELUARAN!$C$5:$C$204,A102,PENGELUARAN!$G$5:$G$204,B102,PENGELUARAN!$L$5:$L$204,"Kantor")))</f>
        <v>0</v>
      </c>
      <c r="E102" s="73">
        <f t="shared" si="9"/>
        <v>0</v>
      </c>
      <c r="F102" s="69">
        <f t="shared" si="10"/>
        <v>0</v>
      </c>
      <c r="G102" s="9" t="str">
        <f t="shared" si="11"/>
        <v>Belum Diisi</v>
      </c>
      <c r="H102" s="6"/>
      <c r="I102" s="6"/>
      <c r="J102" s="6"/>
    </row>
    <row r="103" spans="1:10">
      <c r="A103" t="str">
        <f>TEXT(DATE(DASHBOARD!$B$4,6,1),"yyyy-mm")</f>
        <v>2026-06</v>
      </c>
      <c r="B103" t="str">
        <f>MASTER!E7</f>
        <v>Konsumsi</v>
      </c>
      <c r="C103" s="72"/>
      <c r="D103" s="73">
        <f>IF(A103="","",IF(B103="Gaji dan Honor",SUMIFS(GAJI!$Q$5:$Q$124,GAJI!$B$5:$B$124,"&gt;="&amp;DATE(LEFT(A103,4),RIGHT(A103,2),1),GAJI!$B$5:$B$124,"&lt;"&amp;DATE(LEFT(A103,4),RIGHT(A103,2)+1,1)),SUMIFS(PENGELUARAN!$K$5:$K$204,PENGELUARAN!$C$5:$C$204,A103,PENGELUARAN!$G$5:$G$204,B103,PENGELUARAN!$L$5:$L$204,"Kantor")))</f>
        <v>0</v>
      </c>
      <c r="E103" s="73">
        <f t="shared" si="9"/>
        <v>0</v>
      </c>
      <c r="F103" s="69">
        <f t="shared" si="10"/>
        <v>0</v>
      </c>
      <c r="G103" s="9" t="str">
        <f t="shared" si="11"/>
        <v>Belum Diisi</v>
      </c>
      <c r="H103" s="6"/>
      <c r="I103" s="6"/>
      <c r="J103" s="6"/>
    </row>
    <row r="104" spans="1:10">
      <c r="A104" t="str">
        <f>TEXT(DATE(DASHBOARD!$B$4,6,1),"yyyy-mm")</f>
        <v>2026-06</v>
      </c>
      <c r="B104" t="str">
        <f>MASTER!E8</f>
        <v>Persidangan</v>
      </c>
      <c r="C104" s="72"/>
      <c r="D104" s="73">
        <f>IF(A104="","",IF(B104="Gaji dan Honor",SUMIFS(GAJI!$Q$5:$Q$124,GAJI!$B$5:$B$124,"&gt;="&amp;DATE(LEFT(A104,4),RIGHT(A104,2),1),GAJI!$B$5:$B$124,"&lt;"&amp;DATE(LEFT(A104,4),RIGHT(A104,2)+1,1)),SUMIFS(PENGELUARAN!$K$5:$K$204,PENGELUARAN!$C$5:$C$204,A104,PENGELUARAN!$G$5:$G$204,B104,PENGELUARAN!$L$5:$L$204,"Kantor")))</f>
        <v>0</v>
      </c>
      <c r="E104" s="73">
        <f t="shared" si="9"/>
        <v>0</v>
      </c>
      <c r="F104" s="69">
        <f t="shared" si="10"/>
        <v>0</v>
      </c>
      <c r="G104" s="9" t="str">
        <f t="shared" si="11"/>
        <v>Belum Diisi</v>
      </c>
      <c r="H104" s="6"/>
      <c r="I104" s="6"/>
      <c r="J104" s="6"/>
    </row>
    <row r="105" spans="1:10">
      <c r="A105" t="str">
        <f>TEXT(DATE(DASHBOARD!$B$4,6,1),"yyyy-mm")</f>
        <v>2026-06</v>
      </c>
      <c r="B105" t="str">
        <f>MASTER!E9</f>
        <v>Notaris</v>
      </c>
      <c r="C105" s="72"/>
      <c r="D105" s="73">
        <f>IF(A105="","",IF(B105="Gaji dan Honor",SUMIFS(GAJI!$Q$5:$Q$124,GAJI!$B$5:$B$124,"&gt;="&amp;DATE(LEFT(A105,4),RIGHT(A105,2),1),GAJI!$B$5:$B$124,"&lt;"&amp;DATE(LEFT(A105,4),RIGHT(A105,2)+1,1)),SUMIFS(PENGELUARAN!$K$5:$K$204,PENGELUARAN!$C$5:$C$204,A105,PENGELUARAN!$G$5:$G$204,B105,PENGELUARAN!$L$5:$L$204,"Kantor")))</f>
        <v>0</v>
      </c>
      <c r="E105" s="73">
        <f t="shared" si="9"/>
        <v>0</v>
      </c>
      <c r="F105" s="69">
        <f t="shared" si="10"/>
        <v>0</v>
      </c>
      <c r="G105" s="9" t="str">
        <f t="shared" si="11"/>
        <v>Belum Diisi</v>
      </c>
      <c r="H105" s="6"/>
      <c r="I105" s="6"/>
      <c r="J105" s="6"/>
    </row>
    <row r="106" spans="1:10">
      <c r="A106" t="str">
        <f>TEXT(DATE(DASHBOARD!$B$4,6,1),"yyyy-mm")</f>
        <v>2026-06</v>
      </c>
      <c r="B106" t="str">
        <f>MASTER!E10</f>
        <v>KAP/Auditor</v>
      </c>
      <c r="C106" s="72"/>
      <c r="D106" s="73">
        <f>IF(A106="","",IF(B106="Gaji dan Honor",SUMIFS(GAJI!$Q$5:$Q$124,GAJI!$B$5:$B$124,"&gt;="&amp;DATE(LEFT(A106,4),RIGHT(A106,2),1),GAJI!$B$5:$B$124,"&lt;"&amp;DATE(LEFT(A106,4),RIGHT(A106,2)+1,1)),SUMIFS(PENGELUARAN!$K$5:$K$204,PENGELUARAN!$C$5:$C$204,A106,PENGELUARAN!$G$5:$G$204,B106,PENGELUARAN!$L$5:$L$204,"Kantor")))</f>
        <v>0</v>
      </c>
      <c r="E106" s="73">
        <f t="shared" si="9"/>
        <v>0</v>
      </c>
      <c r="F106" s="69">
        <f t="shared" si="10"/>
        <v>0</v>
      </c>
      <c r="G106" s="9" t="str">
        <f t="shared" si="11"/>
        <v>Belum Diisi</v>
      </c>
      <c r="H106" s="6"/>
      <c r="I106" s="6"/>
      <c r="J106" s="6"/>
    </row>
    <row r="107" spans="1:10">
      <c r="A107" t="str">
        <f>TEXT(DATE(DASHBOARD!$B$4,6,1),"yyyy-mm")</f>
        <v>2026-06</v>
      </c>
      <c r="B107" t="str">
        <f>MASTER!E11</f>
        <v>Administrasi Instansi</v>
      </c>
      <c r="C107" s="72"/>
      <c r="D107" s="73">
        <f>IF(A107="","",IF(B107="Gaji dan Honor",SUMIFS(GAJI!$Q$5:$Q$124,GAJI!$B$5:$B$124,"&gt;="&amp;DATE(LEFT(A107,4),RIGHT(A107,2),1),GAJI!$B$5:$B$124,"&lt;"&amp;DATE(LEFT(A107,4),RIGHT(A107,2)+1,1)),SUMIFS(PENGELUARAN!$K$5:$K$204,PENGELUARAN!$C$5:$C$204,A107,PENGELUARAN!$G$5:$G$204,B107,PENGELUARAN!$L$5:$L$204,"Kantor")))</f>
        <v>0</v>
      </c>
      <c r="E107" s="73">
        <f t="shared" si="9"/>
        <v>0</v>
      </c>
      <c r="F107" s="69">
        <f t="shared" si="10"/>
        <v>0</v>
      </c>
      <c r="G107" s="9" t="str">
        <f t="shared" si="11"/>
        <v>Belum Diisi</v>
      </c>
      <c r="H107" s="6"/>
      <c r="I107" s="6"/>
      <c r="J107" s="6"/>
    </row>
    <row r="108" spans="1:10">
      <c r="A108" t="str">
        <f>TEXT(DATE(DASHBOARD!$B$4,6,1),"yyyy-mm")</f>
        <v>2026-06</v>
      </c>
      <c r="B108" t="str">
        <f>MASTER!E12</f>
        <v>Kurir</v>
      </c>
      <c r="C108" s="72"/>
      <c r="D108" s="73">
        <f>IF(A108="","",IF(B108="Gaji dan Honor",SUMIFS(GAJI!$Q$5:$Q$124,GAJI!$B$5:$B$124,"&gt;="&amp;DATE(LEFT(A108,4),RIGHT(A108,2),1),GAJI!$B$5:$B$124,"&lt;"&amp;DATE(LEFT(A108,4),RIGHT(A108,2)+1,1)),SUMIFS(PENGELUARAN!$K$5:$K$204,PENGELUARAN!$C$5:$C$204,A108,PENGELUARAN!$G$5:$G$204,B108,PENGELUARAN!$L$5:$L$204,"Kantor")))</f>
        <v>0</v>
      </c>
      <c r="E108" s="73">
        <f t="shared" si="9"/>
        <v>0</v>
      </c>
      <c r="F108" s="69">
        <f t="shared" si="10"/>
        <v>0</v>
      </c>
      <c r="G108" s="9" t="str">
        <f t="shared" si="11"/>
        <v>Belum Diisi</v>
      </c>
      <c r="H108" s="6"/>
      <c r="I108" s="6"/>
      <c r="J108" s="6"/>
    </row>
    <row r="109" spans="1:10">
      <c r="A109" t="str">
        <f>TEXT(DATE(DASHBOARD!$B$4,6,1),"yyyy-mm")</f>
        <v>2026-06</v>
      </c>
      <c r="B109" t="str">
        <f>MASTER!E13</f>
        <v>ATK</v>
      </c>
      <c r="C109" s="72"/>
      <c r="D109" s="73">
        <f>IF(A109="","",IF(B109="Gaji dan Honor",SUMIFS(GAJI!$Q$5:$Q$124,GAJI!$B$5:$B$124,"&gt;="&amp;DATE(LEFT(A109,4),RIGHT(A109,2),1),GAJI!$B$5:$B$124,"&lt;"&amp;DATE(LEFT(A109,4),RIGHT(A109,2)+1,1)),SUMIFS(PENGELUARAN!$K$5:$K$204,PENGELUARAN!$C$5:$C$204,A109,PENGELUARAN!$G$5:$G$204,B109,PENGELUARAN!$L$5:$L$204,"Kantor")))</f>
        <v>0</v>
      </c>
      <c r="E109" s="73">
        <f t="shared" si="9"/>
        <v>0</v>
      </c>
      <c r="F109" s="69">
        <f t="shared" si="10"/>
        <v>0</v>
      </c>
      <c r="G109" s="9" t="str">
        <f t="shared" si="11"/>
        <v>Belum Diisi</v>
      </c>
      <c r="H109" s="6"/>
      <c r="I109" s="6"/>
      <c r="J109" s="6"/>
    </row>
    <row r="110" spans="1:10">
      <c r="A110" t="str">
        <f>TEXT(DATE(DASHBOARD!$B$4,6,1),"yyyy-mm")</f>
        <v>2026-06</v>
      </c>
      <c r="B110" t="str">
        <f>MASTER!E14</f>
        <v>Parkir/Tol</v>
      </c>
      <c r="C110" s="72"/>
      <c r="D110" s="73">
        <f>IF(A110="","",IF(B110="Gaji dan Honor",SUMIFS(GAJI!$Q$5:$Q$124,GAJI!$B$5:$B$124,"&gt;="&amp;DATE(LEFT(A110,4),RIGHT(A110,2),1),GAJI!$B$5:$B$124,"&lt;"&amp;DATE(LEFT(A110,4),RIGHT(A110,2)+1,1)),SUMIFS(PENGELUARAN!$K$5:$K$204,PENGELUARAN!$C$5:$C$204,A110,PENGELUARAN!$G$5:$G$204,B110,PENGELUARAN!$L$5:$L$204,"Kantor")))</f>
        <v>0</v>
      </c>
      <c r="E110" s="73">
        <f t="shared" si="9"/>
        <v>0</v>
      </c>
      <c r="F110" s="69">
        <f t="shared" si="10"/>
        <v>0</v>
      </c>
      <c r="G110" s="9" t="str">
        <f t="shared" si="11"/>
        <v>Belum Diisi</v>
      </c>
      <c r="H110" s="6"/>
      <c r="I110" s="6"/>
      <c r="J110" s="6"/>
    </row>
    <row r="111" spans="1:10">
      <c r="A111" t="str">
        <f>TEXT(DATE(DASHBOARD!$B$4,6,1),"yyyy-mm")</f>
        <v>2026-06</v>
      </c>
      <c r="B111" t="str">
        <f>MASTER!E15</f>
        <v>Sewa Kantor</v>
      </c>
      <c r="C111" s="72"/>
      <c r="D111" s="73">
        <f>IF(A111="","",IF(B111="Gaji dan Honor",SUMIFS(GAJI!$Q$5:$Q$124,GAJI!$B$5:$B$124,"&gt;="&amp;DATE(LEFT(A111,4),RIGHT(A111,2),1),GAJI!$B$5:$B$124,"&lt;"&amp;DATE(LEFT(A111,4),RIGHT(A111,2)+1,1)),SUMIFS(PENGELUARAN!$K$5:$K$204,PENGELUARAN!$C$5:$C$204,A111,PENGELUARAN!$G$5:$G$204,B111,PENGELUARAN!$L$5:$L$204,"Kantor")))</f>
        <v>0</v>
      </c>
      <c r="E111" s="73">
        <f t="shared" si="9"/>
        <v>0</v>
      </c>
      <c r="F111" s="69">
        <f t="shared" si="10"/>
        <v>0</v>
      </c>
      <c r="G111" s="9" t="str">
        <f t="shared" si="11"/>
        <v>Belum Diisi</v>
      </c>
      <c r="H111" s="6"/>
      <c r="I111" s="6"/>
      <c r="J111" s="6"/>
    </row>
    <row r="112" spans="1:10">
      <c r="A112" t="str">
        <f>TEXT(DATE(DASHBOARD!$B$4,6,1),"yyyy-mm")</f>
        <v>2026-06</v>
      </c>
      <c r="B112" t="str">
        <f>MASTER!E16</f>
        <v>Internet/Telepon</v>
      </c>
      <c r="C112" s="72"/>
      <c r="D112" s="73">
        <f>IF(A112="","",IF(B112="Gaji dan Honor",SUMIFS(GAJI!$Q$5:$Q$124,GAJI!$B$5:$B$124,"&gt;="&amp;DATE(LEFT(A112,4),RIGHT(A112,2),1),GAJI!$B$5:$B$124,"&lt;"&amp;DATE(LEFT(A112,4),RIGHT(A112,2)+1,1)),SUMIFS(PENGELUARAN!$K$5:$K$204,PENGELUARAN!$C$5:$C$204,A112,PENGELUARAN!$G$5:$G$204,B112,PENGELUARAN!$L$5:$L$204,"Kantor")))</f>
        <v>0</v>
      </c>
      <c r="E112" s="73">
        <f t="shared" si="9"/>
        <v>0</v>
      </c>
      <c r="F112" s="69">
        <f t="shared" si="10"/>
        <v>0</v>
      </c>
      <c r="G112" s="9" t="str">
        <f t="shared" si="11"/>
        <v>Belum Diisi</v>
      </c>
      <c r="H112" s="6"/>
      <c r="I112" s="6"/>
      <c r="J112" s="6"/>
    </row>
    <row r="113" spans="1:10">
      <c r="A113" t="str">
        <f>TEXT(DATE(DASHBOARD!$B$4,6,1),"yyyy-mm")</f>
        <v>2026-06</v>
      </c>
      <c r="B113" t="str">
        <f>MASTER!E17</f>
        <v>Software/Langganan</v>
      </c>
      <c r="C113" s="72"/>
      <c r="D113" s="73">
        <f>IF(A113="","",IF(B113="Gaji dan Honor",SUMIFS(GAJI!$Q$5:$Q$124,GAJI!$B$5:$B$124,"&gt;="&amp;DATE(LEFT(A113,4),RIGHT(A113,2),1),GAJI!$B$5:$B$124,"&lt;"&amp;DATE(LEFT(A113,4),RIGHT(A113,2)+1,1)),SUMIFS(PENGELUARAN!$K$5:$K$204,PENGELUARAN!$C$5:$C$204,A113,PENGELUARAN!$G$5:$G$204,B113,PENGELUARAN!$L$5:$L$204,"Kantor")))</f>
        <v>0</v>
      </c>
      <c r="E113" s="73">
        <f t="shared" si="9"/>
        <v>0</v>
      </c>
      <c r="F113" s="69">
        <f t="shared" si="10"/>
        <v>0</v>
      </c>
      <c r="G113" s="9" t="str">
        <f t="shared" si="11"/>
        <v>Belum Diisi</v>
      </c>
      <c r="H113" s="6"/>
      <c r="I113" s="6"/>
      <c r="J113" s="6"/>
    </row>
    <row r="114" spans="1:10">
      <c r="A114" t="str">
        <f>TEXT(DATE(DASHBOARD!$B$4,6,1),"yyyy-mm")</f>
        <v>2026-06</v>
      </c>
      <c r="B114" t="str">
        <f>MASTER!E18</f>
        <v>Pemasaran</v>
      </c>
      <c r="C114" s="72"/>
      <c r="D114" s="73">
        <f>IF(A114="","",IF(B114="Gaji dan Honor",SUMIFS(GAJI!$Q$5:$Q$124,GAJI!$B$5:$B$124,"&gt;="&amp;DATE(LEFT(A114,4),RIGHT(A114,2),1),GAJI!$B$5:$B$124,"&lt;"&amp;DATE(LEFT(A114,4),RIGHT(A114,2)+1,1)),SUMIFS(PENGELUARAN!$K$5:$K$204,PENGELUARAN!$C$5:$C$204,A114,PENGELUARAN!$G$5:$G$204,B114,PENGELUARAN!$L$5:$L$204,"Kantor")))</f>
        <v>0</v>
      </c>
      <c r="E114" s="73">
        <f t="shared" si="9"/>
        <v>0</v>
      </c>
      <c r="F114" s="69">
        <f t="shared" si="10"/>
        <v>0</v>
      </c>
      <c r="G114" s="9" t="str">
        <f t="shared" si="11"/>
        <v>Belum Diisi</v>
      </c>
      <c r="H114" s="6"/>
      <c r="I114" s="6"/>
      <c r="J114" s="6"/>
    </row>
    <row r="115" spans="1:10">
      <c r="A115" t="str">
        <f>TEXT(DATE(DASHBOARD!$B$4,6,1),"yyyy-mm")</f>
        <v>2026-06</v>
      </c>
      <c r="B115" t="str">
        <f>MASTER!E19</f>
        <v>Peralatan Kantor</v>
      </c>
      <c r="C115" s="72"/>
      <c r="D115" s="73">
        <f>IF(A115="","",IF(B115="Gaji dan Honor",SUMIFS(GAJI!$Q$5:$Q$124,GAJI!$B$5:$B$124,"&gt;="&amp;DATE(LEFT(A115,4),RIGHT(A115,2),1),GAJI!$B$5:$B$124,"&lt;"&amp;DATE(LEFT(A115,4),RIGHT(A115,2)+1,1)),SUMIFS(PENGELUARAN!$K$5:$K$204,PENGELUARAN!$C$5:$C$204,A115,PENGELUARAN!$G$5:$G$204,B115,PENGELUARAN!$L$5:$L$204,"Kantor")))</f>
        <v>0</v>
      </c>
      <c r="E115" s="73">
        <f t="shared" si="9"/>
        <v>0</v>
      </c>
      <c r="F115" s="69">
        <f t="shared" si="10"/>
        <v>0</v>
      </c>
      <c r="G115" s="9" t="str">
        <f t="shared" si="11"/>
        <v>Belum Diisi</v>
      </c>
      <c r="H115" s="6"/>
      <c r="I115" s="6"/>
      <c r="J115" s="6"/>
    </row>
    <row r="116" spans="1:10">
      <c r="A116" t="str">
        <f>TEXT(DATE(DASHBOARD!$B$4,6,1),"yyyy-mm")</f>
        <v>2026-06</v>
      </c>
      <c r="B116" t="str">
        <f>MASTER!E20</f>
        <v>Operasional Kantor</v>
      </c>
      <c r="C116" s="72"/>
      <c r="D116" s="73">
        <f>IF(A116="","",IF(B116="Gaji dan Honor",SUMIFS(GAJI!$Q$5:$Q$124,GAJI!$B$5:$B$124,"&gt;="&amp;DATE(LEFT(A116,4),RIGHT(A116,2),1),GAJI!$B$5:$B$124,"&lt;"&amp;DATE(LEFT(A116,4),RIGHT(A116,2)+1,1)),SUMIFS(PENGELUARAN!$K$5:$K$204,PENGELUARAN!$C$5:$C$204,A116,PENGELUARAN!$G$5:$G$204,B116,PENGELUARAN!$L$5:$L$204,"Kantor")))</f>
        <v>0</v>
      </c>
      <c r="E116" s="73">
        <f t="shared" si="9"/>
        <v>0</v>
      </c>
      <c r="F116" s="69">
        <f t="shared" si="10"/>
        <v>0</v>
      </c>
      <c r="G116" s="9" t="str">
        <f t="shared" si="11"/>
        <v>Belum Diisi</v>
      </c>
      <c r="H116" s="6"/>
      <c r="I116" s="6"/>
      <c r="J116" s="6"/>
    </row>
    <row r="117" spans="1:10">
      <c r="A117" t="str">
        <f>TEXT(DATE(DASHBOARD!$B$4,6,1),"yyyy-mm")</f>
        <v>2026-06</v>
      </c>
      <c r="B117" t="str">
        <f>MASTER!E21</f>
        <v>Pajak/BPJS</v>
      </c>
      <c r="C117" s="72"/>
      <c r="D117" s="73">
        <f>IF(A117="","",IF(B117="Gaji dan Honor",SUMIFS(GAJI!$Q$5:$Q$124,GAJI!$B$5:$B$124,"&gt;="&amp;DATE(LEFT(A117,4),RIGHT(A117,2),1),GAJI!$B$5:$B$124,"&lt;"&amp;DATE(LEFT(A117,4),RIGHT(A117,2)+1,1)),SUMIFS(PENGELUARAN!$K$5:$K$204,PENGELUARAN!$C$5:$C$204,A117,PENGELUARAN!$G$5:$G$204,B117,PENGELUARAN!$L$5:$L$204,"Kantor")))</f>
        <v>0</v>
      </c>
      <c r="E117" s="73">
        <f t="shared" si="9"/>
        <v>0</v>
      </c>
      <c r="F117" s="69">
        <f t="shared" si="10"/>
        <v>0</v>
      </c>
      <c r="G117" s="9" t="str">
        <f t="shared" si="11"/>
        <v>Belum Diisi</v>
      </c>
      <c r="H117" s="6"/>
      <c r="I117" s="6"/>
      <c r="J117" s="6"/>
    </row>
    <row r="118" spans="1:10">
      <c r="A118" t="str">
        <f>TEXT(DATE(DASHBOARD!$B$4,6,1),"yyyy-mm")</f>
        <v>2026-06</v>
      </c>
      <c r="B118" t="str">
        <f>MASTER!E22</f>
        <v>Lain-lain</v>
      </c>
      <c r="C118" s="72"/>
      <c r="D118" s="73">
        <f>IF(A118="","",IF(B118="Gaji dan Honor",SUMIFS(GAJI!$Q$5:$Q$124,GAJI!$B$5:$B$124,"&gt;="&amp;DATE(LEFT(A118,4),RIGHT(A118,2),1),GAJI!$B$5:$B$124,"&lt;"&amp;DATE(LEFT(A118,4),RIGHT(A118,2)+1,1)),SUMIFS(PENGELUARAN!$K$5:$K$204,PENGELUARAN!$C$5:$C$204,A118,PENGELUARAN!$G$5:$G$204,B118,PENGELUARAN!$L$5:$L$204,"Kantor")))</f>
        <v>0</v>
      </c>
      <c r="E118" s="73">
        <f t="shared" si="9"/>
        <v>0</v>
      </c>
      <c r="F118" s="69">
        <f t="shared" si="10"/>
        <v>0</v>
      </c>
      <c r="G118" s="9" t="str">
        <f t="shared" si="11"/>
        <v>Belum Diisi</v>
      </c>
      <c r="H118" s="6"/>
      <c r="I118" s="6"/>
      <c r="J118" s="6"/>
    </row>
    <row r="119" spans="1:10">
      <c r="A119" t="str">
        <f>TEXT(DATE(DASHBOARD!$B$4,7,1),"yyyy-mm")</f>
        <v>2026-07</v>
      </c>
      <c r="B119" t="s">
        <v>616</v>
      </c>
      <c r="C119" s="72"/>
      <c r="D119" s="73">
        <f>IF(A119="","",IF(B119="Gaji dan Honor",SUMIFS(GAJI!$Q$5:$Q$124,GAJI!$B$5:$B$124,"&gt;="&amp;DATE(LEFT(A119,4),RIGHT(A119,2),1),GAJI!$B$5:$B$124,"&lt;"&amp;DATE(LEFT(A119,4),RIGHT(A119,2)+1,1)),SUMIFS(PENGELUARAN!$K$5:$K$204,PENGELUARAN!$C$5:$C$204,A119,PENGELUARAN!$G$5:$G$204,B119,PENGELUARAN!$L$5:$L$204,"Kantor")))</f>
        <v>1000000</v>
      </c>
      <c r="E119" s="73">
        <f t="shared" si="9"/>
        <v>-1000000</v>
      </c>
      <c r="F119" s="69">
        <f t="shared" si="10"/>
        <v>0</v>
      </c>
      <c r="G119" s="9" t="str">
        <f t="shared" si="11"/>
        <v>Belum Dianggarkan</v>
      </c>
      <c r="H119" s="6"/>
      <c r="I119" s="6"/>
      <c r="J119" s="6"/>
    </row>
    <row r="120" spans="1:10">
      <c r="A120" t="str">
        <f>TEXT(DATE(DASHBOARD!$B$4,7,1),"yyyy-mm")</f>
        <v>2026-07</v>
      </c>
      <c r="B120" t="str">
        <f>MASTER!E5</f>
        <v>Transportasi</v>
      </c>
      <c r="C120" s="72"/>
      <c r="D120" s="73">
        <f>IF(A120="","",IF(B120="Gaji dan Honor",SUMIFS(GAJI!$Q$5:$Q$124,GAJI!$B$5:$B$124,"&gt;="&amp;DATE(LEFT(A120,4),RIGHT(A120,2),1),GAJI!$B$5:$B$124,"&lt;"&amp;DATE(LEFT(A120,4),RIGHT(A120,2)+1,1)),SUMIFS(PENGELUARAN!$K$5:$K$204,PENGELUARAN!$C$5:$C$204,A120,PENGELUARAN!$G$5:$G$204,B120,PENGELUARAN!$L$5:$L$204,"Kantor")))</f>
        <v>0</v>
      </c>
      <c r="E120" s="73">
        <f t="shared" si="9"/>
        <v>0</v>
      </c>
      <c r="F120" s="69">
        <f t="shared" si="10"/>
        <v>0</v>
      </c>
      <c r="G120" s="9" t="str">
        <f t="shared" si="11"/>
        <v>Belum Diisi</v>
      </c>
      <c r="H120" s="6"/>
      <c r="I120" s="6"/>
      <c r="J120" s="6"/>
    </row>
    <row r="121" spans="1:10">
      <c r="A121" t="str">
        <f>TEXT(DATE(DASHBOARD!$B$4,7,1),"yyyy-mm")</f>
        <v>2026-07</v>
      </c>
      <c r="B121" t="str">
        <f>MASTER!E6</f>
        <v>Akomodasi</v>
      </c>
      <c r="C121" s="72"/>
      <c r="D121" s="73">
        <f>IF(A121="","",IF(B121="Gaji dan Honor",SUMIFS(GAJI!$Q$5:$Q$124,GAJI!$B$5:$B$124,"&gt;="&amp;DATE(LEFT(A121,4),RIGHT(A121,2),1),GAJI!$B$5:$B$124,"&lt;"&amp;DATE(LEFT(A121,4),RIGHT(A121,2)+1,1)),SUMIFS(PENGELUARAN!$K$5:$K$204,PENGELUARAN!$C$5:$C$204,A121,PENGELUARAN!$G$5:$G$204,B121,PENGELUARAN!$L$5:$L$204,"Kantor")))</f>
        <v>0</v>
      </c>
      <c r="E121" s="73">
        <f t="shared" si="9"/>
        <v>0</v>
      </c>
      <c r="F121" s="69">
        <f t="shared" si="10"/>
        <v>0</v>
      </c>
      <c r="G121" s="9" t="str">
        <f t="shared" si="11"/>
        <v>Belum Diisi</v>
      </c>
      <c r="H121" s="6"/>
      <c r="I121" s="6"/>
      <c r="J121" s="6"/>
    </row>
    <row r="122" spans="1:10">
      <c r="A122" t="str">
        <f>TEXT(DATE(DASHBOARD!$B$4,7,1),"yyyy-mm")</f>
        <v>2026-07</v>
      </c>
      <c r="B122" t="str">
        <f>MASTER!E7</f>
        <v>Konsumsi</v>
      </c>
      <c r="C122" s="72"/>
      <c r="D122" s="73">
        <f>IF(A122="","",IF(B122="Gaji dan Honor",SUMIFS(GAJI!$Q$5:$Q$124,GAJI!$B$5:$B$124,"&gt;="&amp;DATE(LEFT(A122,4),RIGHT(A122,2),1),GAJI!$B$5:$B$124,"&lt;"&amp;DATE(LEFT(A122,4),RIGHT(A122,2)+1,1)),SUMIFS(PENGELUARAN!$K$5:$K$204,PENGELUARAN!$C$5:$C$204,A122,PENGELUARAN!$G$5:$G$204,B122,PENGELUARAN!$L$5:$L$204,"Kantor")))</f>
        <v>0</v>
      </c>
      <c r="E122" s="73">
        <f t="shared" si="9"/>
        <v>0</v>
      </c>
      <c r="F122" s="69">
        <f t="shared" si="10"/>
        <v>0</v>
      </c>
      <c r="G122" s="9" t="str">
        <f t="shared" si="11"/>
        <v>Belum Diisi</v>
      </c>
      <c r="H122" s="6"/>
      <c r="I122" s="6"/>
      <c r="J122" s="6"/>
    </row>
    <row r="123" spans="1:10">
      <c r="A123" t="str">
        <f>TEXT(DATE(DASHBOARD!$B$4,7,1),"yyyy-mm")</f>
        <v>2026-07</v>
      </c>
      <c r="B123" t="str">
        <f>MASTER!E8</f>
        <v>Persidangan</v>
      </c>
      <c r="C123" s="72"/>
      <c r="D123" s="73">
        <f>IF(A123="","",IF(B123="Gaji dan Honor",SUMIFS(GAJI!$Q$5:$Q$124,GAJI!$B$5:$B$124,"&gt;="&amp;DATE(LEFT(A123,4),RIGHT(A123,2),1),GAJI!$B$5:$B$124,"&lt;"&amp;DATE(LEFT(A123,4),RIGHT(A123,2)+1,1)),SUMIFS(PENGELUARAN!$K$5:$K$204,PENGELUARAN!$C$5:$C$204,A123,PENGELUARAN!$G$5:$G$204,B123,PENGELUARAN!$L$5:$L$204,"Kantor")))</f>
        <v>0</v>
      </c>
      <c r="E123" s="73">
        <f t="shared" si="9"/>
        <v>0</v>
      </c>
      <c r="F123" s="69">
        <f t="shared" si="10"/>
        <v>0</v>
      </c>
      <c r="G123" s="9" t="str">
        <f t="shared" si="11"/>
        <v>Belum Diisi</v>
      </c>
      <c r="H123" s="6"/>
      <c r="I123" s="6"/>
      <c r="J123" s="6"/>
    </row>
    <row r="124" spans="1:10">
      <c r="A124" t="str">
        <f>TEXT(DATE(DASHBOARD!$B$4,7,1),"yyyy-mm")</f>
        <v>2026-07</v>
      </c>
      <c r="B124" t="str">
        <f>MASTER!E9</f>
        <v>Notaris</v>
      </c>
      <c r="C124" s="72"/>
      <c r="D124" s="73">
        <f>IF(A124="","",IF(B124="Gaji dan Honor",SUMIFS(GAJI!$Q$5:$Q$124,GAJI!$B$5:$B$124,"&gt;="&amp;DATE(LEFT(A124,4),RIGHT(A124,2),1),GAJI!$B$5:$B$124,"&lt;"&amp;DATE(LEFT(A124,4),RIGHT(A124,2)+1,1)),SUMIFS(PENGELUARAN!$K$5:$K$204,PENGELUARAN!$C$5:$C$204,A124,PENGELUARAN!$G$5:$G$204,B124,PENGELUARAN!$L$5:$L$204,"Kantor")))</f>
        <v>0</v>
      </c>
      <c r="E124" s="73">
        <f t="shared" si="9"/>
        <v>0</v>
      </c>
      <c r="F124" s="69">
        <f t="shared" si="10"/>
        <v>0</v>
      </c>
      <c r="G124" s="9" t="str">
        <f t="shared" si="11"/>
        <v>Belum Diisi</v>
      </c>
      <c r="H124" s="6"/>
      <c r="I124" s="6"/>
      <c r="J124" s="6"/>
    </row>
    <row r="125" spans="1:10">
      <c r="A125" t="str">
        <f>TEXT(DATE(DASHBOARD!$B$4,7,1),"yyyy-mm")</f>
        <v>2026-07</v>
      </c>
      <c r="B125" t="str">
        <f>MASTER!E10</f>
        <v>KAP/Auditor</v>
      </c>
      <c r="C125" s="84"/>
      <c r="D125" s="84">
        <f>IF(A125="","",IF(B125="Gaji dan Honor",SUMIFS(GAJI!$Q$5:$Q$124,GAJI!$B$5:$B$124,"&gt;="&amp;DATE(LEFT(A125,4),RIGHT(A125,2),1),GAJI!$B$5:$B$124,"&lt;"&amp;DATE(LEFT(A125,4),RIGHT(A125,2)+1,1)),SUMIFS(PENGELUARAN!$K$5:$K$204,PENGELUARAN!$C$5:$C$204,A125,PENGELUARAN!$G$5:$G$204,B125,PENGELUARAN!$L$5:$L$204,"Kantor")))</f>
        <v>0</v>
      </c>
      <c r="E125" s="84">
        <f t="shared" ref="E125:E156" si="12">IF(A125="","",C125-D125)</f>
        <v>0</v>
      </c>
      <c r="F125" s="87">
        <f t="shared" ref="F125:F156" si="13">IF(OR(A125="",C125=0),0,D125/C125)</f>
        <v>0</v>
      </c>
      <c r="G125" t="str">
        <f t="shared" ref="G125:G156" si="14">IF(A125="","",IF(C125=0,IF(D125&gt;0,"Belum Dianggarkan","Belum Diisi"),IF(E125&lt;0,"Melebihi Anggaran",IF(F125&gt;=0.9,"Hampir Habis","Aman"))))</f>
        <v>Belum Diisi</v>
      </c>
    </row>
    <row r="126" spans="1:10">
      <c r="A126" t="str">
        <f>TEXT(DATE(DASHBOARD!$B$4,7,1),"yyyy-mm")</f>
        <v>2026-07</v>
      </c>
      <c r="B126" t="str">
        <f>MASTER!E11</f>
        <v>Administrasi Instansi</v>
      </c>
      <c r="C126" s="84"/>
      <c r="D126" s="84">
        <f>IF(A126="","",IF(B126="Gaji dan Honor",SUMIFS(GAJI!$Q$5:$Q$124,GAJI!$B$5:$B$124,"&gt;="&amp;DATE(LEFT(A126,4),RIGHT(A126,2),1),GAJI!$B$5:$B$124,"&lt;"&amp;DATE(LEFT(A126,4),RIGHT(A126,2)+1,1)),SUMIFS(PENGELUARAN!$K$5:$K$204,PENGELUARAN!$C$5:$C$204,A126,PENGELUARAN!$G$5:$G$204,B126,PENGELUARAN!$L$5:$L$204,"Kantor")))</f>
        <v>0</v>
      </c>
      <c r="E126" s="84">
        <f t="shared" si="12"/>
        <v>0</v>
      </c>
      <c r="F126" s="87">
        <f t="shared" si="13"/>
        <v>0</v>
      </c>
      <c r="G126" t="str">
        <f t="shared" si="14"/>
        <v>Belum Diisi</v>
      </c>
    </row>
    <row r="127" spans="1:10">
      <c r="A127" t="str">
        <f>TEXT(DATE(DASHBOARD!$B$4,7,1),"yyyy-mm")</f>
        <v>2026-07</v>
      </c>
      <c r="B127" t="str">
        <f>MASTER!E12</f>
        <v>Kurir</v>
      </c>
      <c r="C127" s="84"/>
      <c r="D127" s="84">
        <f>IF(A127="","",IF(B127="Gaji dan Honor",SUMIFS(GAJI!$Q$5:$Q$124,GAJI!$B$5:$B$124,"&gt;="&amp;DATE(LEFT(A127,4),RIGHT(A127,2),1),GAJI!$B$5:$B$124,"&lt;"&amp;DATE(LEFT(A127,4),RIGHT(A127,2)+1,1)),SUMIFS(PENGELUARAN!$K$5:$K$204,PENGELUARAN!$C$5:$C$204,A127,PENGELUARAN!$G$5:$G$204,B127,PENGELUARAN!$L$5:$L$204,"Kantor")))</f>
        <v>0</v>
      </c>
      <c r="E127" s="84">
        <f t="shared" si="12"/>
        <v>0</v>
      </c>
      <c r="F127" s="87">
        <f t="shared" si="13"/>
        <v>0</v>
      </c>
      <c r="G127" t="str">
        <f t="shared" si="14"/>
        <v>Belum Diisi</v>
      </c>
    </row>
    <row r="128" spans="1:10">
      <c r="A128" t="str">
        <f>TEXT(DATE(DASHBOARD!$B$4,7,1),"yyyy-mm")</f>
        <v>2026-07</v>
      </c>
      <c r="B128" t="str">
        <f>MASTER!E13</f>
        <v>ATK</v>
      </c>
      <c r="C128" s="84"/>
      <c r="D128" s="84">
        <f>IF(A128="","",IF(B128="Gaji dan Honor",SUMIFS(GAJI!$Q$5:$Q$124,GAJI!$B$5:$B$124,"&gt;="&amp;DATE(LEFT(A128,4),RIGHT(A128,2),1),GAJI!$B$5:$B$124,"&lt;"&amp;DATE(LEFT(A128,4),RIGHT(A128,2)+1,1)),SUMIFS(PENGELUARAN!$K$5:$K$204,PENGELUARAN!$C$5:$C$204,A128,PENGELUARAN!$G$5:$G$204,B128,PENGELUARAN!$L$5:$L$204,"Kantor")))</f>
        <v>0</v>
      </c>
      <c r="E128" s="84">
        <f t="shared" si="12"/>
        <v>0</v>
      </c>
      <c r="F128" s="87">
        <f t="shared" si="13"/>
        <v>0</v>
      </c>
      <c r="G128" t="str">
        <f t="shared" si="14"/>
        <v>Belum Diisi</v>
      </c>
    </row>
    <row r="129" spans="1:7">
      <c r="A129" t="str">
        <f>TEXT(DATE(DASHBOARD!$B$4,7,1),"yyyy-mm")</f>
        <v>2026-07</v>
      </c>
      <c r="B129" t="str">
        <f>MASTER!E14</f>
        <v>Parkir/Tol</v>
      </c>
      <c r="C129" s="84"/>
      <c r="D129" s="84">
        <f>IF(A129="","",IF(B129="Gaji dan Honor",SUMIFS(GAJI!$Q$5:$Q$124,GAJI!$B$5:$B$124,"&gt;="&amp;DATE(LEFT(A129,4),RIGHT(A129,2),1),GAJI!$B$5:$B$124,"&lt;"&amp;DATE(LEFT(A129,4),RIGHT(A129,2)+1,1)),SUMIFS(PENGELUARAN!$K$5:$K$204,PENGELUARAN!$C$5:$C$204,A129,PENGELUARAN!$G$5:$G$204,B129,PENGELUARAN!$L$5:$L$204,"Kantor")))</f>
        <v>0</v>
      </c>
      <c r="E129" s="84">
        <f t="shared" si="12"/>
        <v>0</v>
      </c>
      <c r="F129" s="87">
        <f t="shared" si="13"/>
        <v>0</v>
      </c>
      <c r="G129" t="str">
        <f t="shared" si="14"/>
        <v>Belum Diisi</v>
      </c>
    </row>
    <row r="130" spans="1:7">
      <c r="A130" t="str">
        <f>TEXT(DATE(DASHBOARD!$B$4,7,1),"yyyy-mm")</f>
        <v>2026-07</v>
      </c>
      <c r="B130" t="str">
        <f>MASTER!E15</f>
        <v>Sewa Kantor</v>
      </c>
      <c r="C130" s="84"/>
      <c r="D130" s="84">
        <f>IF(A130="","",IF(B130="Gaji dan Honor",SUMIFS(GAJI!$Q$5:$Q$124,GAJI!$B$5:$B$124,"&gt;="&amp;DATE(LEFT(A130,4),RIGHT(A130,2),1),GAJI!$B$5:$B$124,"&lt;"&amp;DATE(LEFT(A130,4),RIGHT(A130,2)+1,1)),SUMIFS(PENGELUARAN!$K$5:$K$204,PENGELUARAN!$C$5:$C$204,A130,PENGELUARAN!$G$5:$G$204,B130,PENGELUARAN!$L$5:$L$204,"Kantor")))</f>
        <v>0</v>
      </c>
      <c r="E130" s="84">
        <f t="shared" si="12"/>
        <v>0</v>
      </c>
      <c r="F130" s="87">
        <f t="shared" si="13"/>
        <v>0</v>
      </c>
      <c r="G130" t="str">
        <f t="shared" si="14"/>
        <v>Belum Diisi</v>
      </c>
    </row>
    <row r="131" spans="1:7">
      <c r="A131" t="str">
        <f>TEXT(DATE(DASHBOARD!$B$4,7,1),"yyyy-mm")</f>
        <v>2026-07</v>
      </c>
      <c r="B131" t="str">
        <f>MASTER!E16</f>
        <v>Internet/Telepon</v>
      </c>
      <c r="C131" s="84"/>
      <c r="D131" s="84">
        <f>IF(A131="","",IF(B131="Gaji dan Honor",SUMIFS(GAJI!$Q$5:$Q$124,GAJI!$B$5:$B$124,"&gt;="&amp;DATE(LEFT(A131,4),RIGHT(A131,2),1),GAJI!$B$5:$B$124,"&lt;"&amp;DATE(LEFT(A131,4),RIGHT(A131,2)+1,1)),SUMIFS(PENGELUARAN!$K$5:$K$204,PENGELUARAN!$C$5:$C$204,A131,PENGELUARAN!$G$5:$G$204,B131,PENGELUARAN!$L$5:$L$204,"Kantor")))</f>
        <v>0</v>
      </c>
      <c r="E131" s="84">
        <f t="shared" si="12"/>
        <v>0</v>
      </c>
      <c r="F131" s="87">
        <f t="shared" si="13"/>
        <v>0</v>
      </c>
      <c r="G131" t="str">
        <f t="shared" si="14"/>
        <v>Belum Diisi</v>
      </c>
    </row>
    <row r="132" spans="1:7">
      <c r="A132" t="str">
        <f>TEXT(DATE(DASHBOARD!$B$4,7,1),"yyyy-mm")</f>
        <v>2026-07</v>
      </c>
      <c r="B132" t="str">
        <f>MASTER!E17</f>
        <v>Software/Langganan</v>
      </c>
      <c r="C132" s="84"/>
      <c r="D132" s="84">
        <f>IF(A132="","",IF(B132="Gaji dan Honor",SUMIFS(GAJI!$Q$5:$Q$124,GAJI!$B$5:$B$124,"&gt;="&amp;DATE(LEFT(A132,4),RIGHT(A132,2),1),GAJI!$B$5:$B$124,"&lt;"&amp;DATE(LEFT(A132,4),RIGHT(A132,2)+1,1)),SUMIFS(PENGELUARAN!$K$5:$K$204,PENGELUARAN!$C$5:$C$204,A132,PENGELUARAN!$G$5:$G$204,B132,PENGELUARAN!$L$5:$L$204,"Kantor")))</f>
        <v>0</v>
      </c>
      <c r="E132" s="84">
        <f t="shared" si="12"/>
        <v>0</v>
      </c>
      <c r="F132" s="87">
        <f t="shared" si="13"/>
        <v>0</v>
      </c>
      <c r="G132" t="str">
        <f t="shared" si="14"/>
        <v>Belum Diisi</v>
      </c>
    </row>
    <row r="133" spans="1:7">
      <c r="A133" t="str">
        <f>TEXT(DATE(DASHBOARD!$B$4,7,1),"yyyy-mm")</f>
        <v>2026-07</v>
      </c>
      <c r="B133" t="str">
        <f>MASTER!E18</f>
        <v>Pemasaran</v>
      </c>
      <c r="C133" s="84"/>
      <c r="D133" s="84">
        <f>IF(A133="","",IF(B133="Gaji dan Honor",SUMIFS(GAJI!$Q$5:$Q$124,GAJI!$B$5:$B$124,"&gt;="&amp;DATE(LEFT(A133,4),RIGHT(A133,2),1),GAJI!$B$5:$B$124,"&lt;"&amp;DATE(LEFT(A133,4),RIGHT(A133,2)+1,1)),SUMIFS(PENGELUARAN!$K$5:$K$204,PENGELUARAN!$C$5:$C$204,A133,PENGELUARAN!$G$5:$G$204,B133,PENGELUARAN!$L$5:$L$204,"Kantor")))</f>
        <v>0</v>
      </c>
      <c r="E133" s="84">
        <f t="shared" si="12"/>
        <v>0</v>
      </c>
      <c r="F133" s="87">
        <f t="shared" si="13"/>
        <v>0</v>
      </c>
      <c r="G133" t="str">
        <f t="shared" si="14"/>
        <v>Belum Diisi</v>
      </c>
    </row>
    <row r="134" spans="1:7">
      <c r="A134" t="str">
        <f>TEXT(DATE(DASHBOARD!$B$4,7,1),"yyyy-mm")</f>
        <v>2026-07</v>
      </c>
      <c r="B134" t="str">
        <f>MASTER!E19</f>
        <v>Peralatan Kantor</v>
      </c>
      <c r="C134" s="84"/>
      <c r="D134" s="84">
        <f>IF(A134="","",IF(B134="Gaji dan Honor",SUMIFS(GAJI!$Q$5:$Q$124,GAJI!$B$5:$B$124,"&gt;="&amp;DATE(LEFT(A134,4),RIGHT(A134,2),1),GAJI!$B$5:$B$124,"&lt;"&amp;DATE(LEFT(A134,4),RIGHT(A134,2)+1,1)),SUMIFS(PENGELUARAN!$K$5:$K$204,PENGELUARAN!$C$5:$C$204,A134,PENGELUARAN!$G$5:$G$204,B134,PENGELUARAN!$L$5:$L$204,"Kantor")))</f>
        <v>2390600</v>
      </c>
      <c r="E134" s="84">
        <f t="shared" si="12"/>
        <v>-2390600</v>
      </c>
      <c r="F134" s="87">
        <f t="shared" si="13"/>
        <v>0</v>
      </c>
      <c r="G134" t="str">
        <f t="shared" si="14"/>
        <v>Belum Dianggarkan</v>
      </c>
    </row>
    <row r="135" spans="1:7">
      <c r="A135" t="str">
        <f>TEXT(DATE(DASHBOARD!$B$4,7,1),"yyyy-mm")</f>
        <v>2026-07</v>
      </c>
      <c r="B135" t="str">
        <f>MASTER!E20</f>
        <v>Operasional Kantor</v>
      </c>
      <c r="C135" s="84"/>
      <c r="D135" s="84">
        <f>IF(A135="","",IF(B135="Gaji dan Honor",SUMIFS(GAJI!$Q$5:$Q$124,GAJI!$B$5:$B$124,"&gt;="&amp;DATE(LEFT(A135,4),RIGHT(A135,2),1),GAJI!$B$5:$B$124,"&lt;"&amp;DATE(LEFT(A135,4),RIGHT(A135,2)+1,1)),SUMIFS(PENGELUARAN!$K$5:$K$204,PENGELUARAN!$C$5:$C$204,A135,PENGELUARAN!$G$5:$G$204,B135,PENGELUARAN!$L$5:$L$204,"Kantor")))</f>
        <v>0</v>
      </c>
      <c r="E135" s="84">
        <f t="shared" si="12"/>
        <v>0</v>
      </c>
      <c r="F135" s="87">
        <f t="shared" si="13"/>
        <v>0</v>
      </c>
      <c r="G135" t="str">
        <f t="shared" si="14"/>
        <v>Belum Diisi</v>
      </c>
    </row>
    <row r="136" spans="1:7">
      <c r="A136" t="str">
        <f>TEXT(DATE(DASHBOARD!$B$4,7,1),"yyyy-mm")</f>
        <v>2026-07</v>
      </c>
      <c r="B136" t="str">
        <f>MASTER!E21</f>
        <v>Pajak/BPJS</v>
      </c>
      <c r="C136" s="84"/>
      <c r="D136" s="84">
        <f>IF(A136="","",IF(B136="Gaji dan Honor",SUMIFS(GAJI!$Q$5:$Q$124,GAJI!$B$5:$B$124,"&gt;="&amp;DATE(LEFT(A136,4),RIGHT(A136,2),1),GAJI!$B$5:$B$124,"&lt;"&amp;DATE(LEFT(A136,4),RIGHT(A136,2)+1,1)),SUMIFS(PENGELUARAN!$K$5:$K$204,PENGELUARAN!$C$5:$C$204,A136,PENGELUARAN!$G$5:$G$204,B136,PENGELUARAN!$L$5:$L$204,"Kantor")))</f>
        <v>0</v>
      </c>
      <c r="E136" s="84">
        <f t="shared" si="12"/>
        <v>0</v>
      </c>
      <c r="F136" s="87">
        <f t="shared" si="13"/>
        <v>0</v>
      </c>
      <c r="G136" t="str">
        <f t="shared" si="14"/>
        <v>Belum Diisi</v>
      </c>
    </row>
    <row r="137" spans="1:7">
      <c r="A137" t="str">
        <f>TEXT(DATE(DASHBOARD!$B$4,7,1),"yyyy-mm")</f>
        <v>2026-07</v>
      </c>
      <c r="B137" t="str">
        <f>MASTER!E22</f>
        <v>Lain-lain</v>
      </c>
      <c r="C137" s="84"/>
      <c r="D137" s="84">
        <f>IF(A137="","",IF(B137="Gaji dan Honor",SUMIFS(GAJI!$Q$5:$Q$124,GAJI!$B$5:$B$124,"&gt;="&amp;DATE(LEFT(A137,4),RIGHT(A137,2),1),GAJI!$B$5:$B$124,"&lt;"&amp;DATE(LEFT(A137,4),RIGHT(A137,2)+1,1)),SUMIFS(PENGELUARAN!$K$5:$K$204,PENGELUARAN!$C$5:$C$204,A137,PENGELUARAN!$G$5:$G$204,B137,PENGELUARAN!$L$5:$L$204,"Kantor")))</f>
        <v>0</v>
      </c>
      <c r="E137" s="84">
        <f t="shared" si="12"/>
        <v>0</v>
      </c>
      <c r="F137" s="87">
        <f t="shared" si="13"/>
        <v>0</v>
      </c>
      <c r="G137" t="str">
        <f t="shared" si="14"/>
        <v>Belum Diisi</v>
      </c>
    </row>
    <row r="138" spans="1:7">
      <c r="A138" t="str">
        <f>TEXT(DATE(DASHBOARD!$B$4,8,1),"yyyy-mm")</f>
        <v>2026-08</v>
      </c>
      <c r="B138" t="s">
        <v>616</v>
      </c>
      <c r="C138" s="84"/>
      <c r="D138" s="84">
        <f>IF(A138="","",IF(B138="Gaji dan Honor",SUMIFS(GAJI!$Q$5:$Q$124,GAJI!$B$5:$B$124,"&gt;="&amp;DATE(LEFT(A138,4),RIGHT(A138,2),1),GAJI!$B$5:$B$124,"&lt;"&amp;DATE(LEFT(A138,4),RIGHT(A138,2)+1,1)),SUMIFS(PENGELUARAN!$K$5:$K$204,PENGELUARAN!$C$5:$C$204,A138,PENGELUARAN!$G$5:$G$204,B138,PENGELUARAN!$L$5:$L$204,"Kantor")))</f>
        <v>3000000</v>
      </c>
      <c r="E138" s="84">
        <f t="shared" si="12"/>
        <v>-3000000</v>
      </c>
      <c r="F138" s="87">
        <f t="shared" si="13"/>
        <v>0</v>
      </c>
      <c r="G138" t="str">
        <f t="shared" si="14"/>
        <v>Belum Dianggarkan</v>
      </c>
    </row>
    <row r="139" spans="1:7">
      <c r="A139" t="str">
        <f>TEXT(DATE(DASHBOARD!$B$4,8,1),"yyyy-mm")</f>
        <v>2026-08</v>
      </c>
      <c r="B139" t="str">
        <f>MASTER!E5</f>
        <v>Transportasi</v>
      </c>
      <c r="C139" s="84"/>
      <c r="D139" s="84">
        <f>IF(A139="","",IF(B139="Gaji dan Honor",SUMIFS(GAJI!$Q$5:$Q$124,GAJI!$B$5:$B$124,"&gt;="&amp;DATE(LEFT(A139,4),RIGHT(A139,2),1),GAJI!$B$5:$B$124,"&lt;"&amp;DATE(LEFT(A139,4),RIGHT(A139,2)+1,1)),SUMIFS(PENGELUARAN!$K$5:$K$204,PENGELUARAN!$C$5:$C$204,A139,PENGELUARAN!$G$5:$G$204,B139,PENGELUARAN!$L$5:$L$204,"Kantor")))</f>
        <v>650000</v>
      </c>
      <c r="E139" s="84">
        <f t="shared" si="12"/>
        <v>-650000</v>
      </c>
      <c r="F139" s="87">
        <f t="shared" si="13"/>
        <v>0</v>
      </c>
      <c r="G139" t="str">
        <f t="shared" si="14"/>
        <v>Belum Dianggarkan</v>
      </c>
    </row>
    <row r="140" spans="1:7">
      <c r="A140" t="str">
        <f>TEXT(DATE(DASHBOARD!$B$4,8,1),"yyyy-mm")</f>
        <v>2026-08</v>
      </c>
      <c r="B140" t="str">
        <f>MASTER!E6</f>
        <v>Akomodasi</v>
      </c>
      <c r="C140" s="84"/>
      <c r="D140" s="84">
        <f>IF(A140="","",IF(B140="Gaji dan Honor",SUMIFS(GAJI!$Q$5:$Q$124,GAJI!$B$5:$B$124,"&gt;="&amp;DATE(LEFT(A140,4),RIGHT(A140,2),1),GAJI!$B$5:$B$124,"&lt;"&amp;DATE(LEFT(A140,4),RIGHT(A140,2)+1,1)),SUMIFS(PENGELUARAN!$K$5:$K$204,PENGELUARAN!$C$5:$C$204,A140,PENGELUARAN!$G$5:$G$204,B140,PENGELUARAN!$L$5:$L$204,"Kantor")))</f>
        <v>0</v>
      </c>
      <c r="E140" s="84">
        <f t="shared" si="12"/>
        <v>0</v>
      </c>
      <c r="F140" s="87">
        <f t="shared" si="13"/>
        <v>0</v>
      </c>
      <c r="G140" t="str">
        <f t="shared" si="14"/>
        <v>Belum Diisi</v>
      </c>
    </row>
    <row r="141" spans="1:7">
      <c r="A141" t="str">
        <f>TEXT(DATE(DASHBOARD!$B$4,8,1),"yyyy-mm")</f>
        <v>2026-08</v>
      </c>
      <c r="B141" t="str">
        <f>MASTER!E7</f>
        <v>Konsumsi</v>
      </c>
      <c r="C141" s="84"/>
      <c r="D141" s="84">
        <f>IF(A141="","",IF(B141="Gaji dan Honor",SUMIFS(GAJI!$Q$5:$Q$124,GAJI!$B$5:$B$124,"&gt;="&amp;DATE(LEFT(A141,4),RIGHT(A141,2),1),GAJI!$B$5:$B$124,"&lt;"&amp;DATE(LEFT(A141,4),RIGHT(A141,2)+1,1)),SUMIFS(PENGELUARAN!$K$5:$K$204,PENGELUARAN!$C$5:$C$204,A141,PENGELUARAN!$G$5:$G$204,B141,PENGELUARAN!$L$5:$L$204,"Kantor")))</f>
        <v>859120</v>
      </c>
      <c r="E141" s="84">
        <f t="shared" si="12"/>
        <v>-859120</v>
      </c>
      <c r="F141" s="87">
        <f t="shared" si="13"/>
        <v>0</v>
      </c>
      <c r="G141" t="str">
        <f t="shared" si="14"/>
        <v>Belum Dianggarkan</v>
      </c>
    </row>
    <row r="142" spans="1:7">
      <c r="A142" t="str">
        <f>TEXT(DATE(DASHBOARD!$B$4,8,1),"yyyy-mm")</f>
        <v>2026-08</v>
      </c>
      <c r="B142" t="str">
        <f>MASTER!E8</f>
        <v>Persidangan</v>
      </c>
      <c r="C142" s="84"/>
      <c r="D142" s="84">
        <f>IF(A142="","",IF(B142="Gaji dan Honor",SUMIFS(GAJI!$Q$5:$Q$124,GAJI!$B$5:$B$124,"&gt;="&amp;DATE(LEFT(A142,4),RIGHT(A142,2),1),GAJI!$B$5:$B$124,"&lt;"&amp;DATE(LEFT(A142,4),RIGHT(A142,2)+1,1)),SUMIFS(PENGELUARAN!$K$5:$K$204,PENGELUARAN!$C$5:$C$204,A142,PENGELUARAN!$G$5:$G$204,B142,PENGELUARAN!$L$5:$L$204,"Kantor")))</f>
        <v>0</v>
      </c>
      <c r="E142" s="84">
        <f t="shared" si="12"/>
        <v>0</v>
      </c>
      <c r="F142" s="87">
        <f t="shared" si="13"/>
        <v>0</v>
      </c>
      <c r="G142" t="str">
        <f t="shared" si="14"/>
        <v>Belum Diisi</v>
      </c>
    </row>
    <row r="143" spans="1:7">
      <c r="A143" t="str">
        <f>TEXT(DATE(DASHBOARD!$B$4,8,1),"yyyy-mm")</f>
        <v>2026-08</v>
      </c>
      <c r="B143" t="str">
        <f>MASTER!E9</f>
        <v>Notaris</v>
      </c>
      <c r="C143" s="84"/>
      <c r="D143" s="84">
        <f>IF(A143="","",IF(B143="Gaji dan Honor",SUMIFS(GAJI!$Q$5:$Q$124,GAJI!$B$5:$B$124,"&gt;="&amp;DATE(LEFT(A143,4),RIGHT(A143,2),1),GAJI!$B$5:$B$124,"&lt;"&amp;DATE(LEFT(A143,4),RIGHT(A143,2)+1,1)),SUMIFS(PENGELUARAN!$K$5:$K$204,PENGELUARAN!$C$5:$C$204,A143,PENGELUARAN!$G$5:$G$204,B143,PENGELUARAN!$L$5:$L$204,"Kantor")))</f>
        <v>0</v>
      </c>
      <c r="E143" s="84">
        <f t="shared" si="12"/>
        <v>0</v>
      </c>
      <c r="F143" s="87">
        <f t="shared" si="13"/>
        <v>0</v>
      </c>
      <c r="G143" t="str">
        <f t="shared" si="14"/>
        <v>Belum Diisi</v>
      </c>
    </row>
    <row r="144" spans="1:7">
      <c r="A144" t="str">
        <f>TEXT(DATE(DASHBOARD!$B$4,8,1),"yyyy-mm")</f>
        <v>2026-08</v>
      </c>
      <c r="B144" t="str">
        <f>MASTER!E10</f>
        <v>KAP/Auditor</v>
      </c>
      <c r="C144" s="84"/>
      <c r="D144" s="84">
        <f>IF(A144="","",IF(B144="Gaji dan Honor",SUMIFS(GAJI!$Q$5:$Q$124,GAJI!$B$5:$B$124,"&gt;="&amp;DATE(LEFT(A144,4),RIGHT(A144,2),1),GAJI!$B$5:$B$124,"&lt;"&amp;DATE(LEFT(A144,4),RIGHT(A144,2)+1,1)),SUMIFS(PENGELUARAN!$K$5:$K$204,PENGELUARAN!$C$5:$C$204,A144,PENGELUARAN!$G$5:$G$204,B144,PENGELUARAN!$L$5:$L$204,"Kantor")))</f>
        <v>0</v>
      </c>
      <c r="E144" s="84">
        <f t="shared" si="12"/>
        <v>0</v>
      </c>
      <c r="F144" s="87">
        <f t="shared" si="13"/>
        <v>0</v>
      </c>
      <c r="G144" t="str">
        <f t="shared" si="14"/>
        <v>Belum Diisi</v>
      </c>
    </row>
    <row r="145" spans="1:7">
      <c r="A145" t="str">
        <f>TEXT(DATE(DASHBOARD!$B$4,8,1),"yyyy-mm")</f>
        <v>2026-08</v>
      </c>
      <c r="B145" t="str">
        <f>MASTER!E11</f>
        <v>Administrasi Instansi</v>
      </c>
      <c r="C145" s="84"/>
      <c r="D145" s="84">
        <f>IF(A145="","",IF(B145="Gaji dan Honor",SUMIFS(GAJI!$Q$5:$Q$124,GAJI!$B$5:$B$124,"&gt;="&amp;DATE(LEFT(A145,4),RIGHT(A145,2),1),GAJI!$B$5:$B$124,"&lt;"&amp;DATE(LEFT(A145,4),RIGHT(A145,2)+1,1)),SUMIFS(PENGELUARAN!$K$5:$K$204,PENGELUARAN!$C$5:$C$204,A145,PENGELUARAN!$G$5:$G$204,B145,PENGELUARAN!$L$5:$L$204,"Kantor")))</f>
        <v>0</v>
      </c>
      <c r="E145" s="84">
        <f t="shared" si="12"/>
        <v>0</v>
      </c>
      <c r="F145" s="87">
        <f t="shared" si="13"/>
        <v>0</v>
      </c>
      <c r="G145" t="str">
        <f t="shared" si="14"/>
        <v>Belum Diisi</v>
      </c>
    </row>
    <row r="146" spans="1:7">
      <c r="A146" t="str">
        <f>TEXT(DATE(DASHBOARD!$B$4,8,1),"yyyy-mm")</f>
        <v>2026-08</v>
      </c>
      <c r="B146" t="str">
        <f>MASTER!E12</f>
        <v>Kurir</v>
      </c>
      <c r="C146" s="84"/>
      <c r="D146" s="84">
        <f>IF(A146="","",IF(B146="Gaji dan Honor",SUMIFS(GAJI!$Q$5:$Q$124,GAJI!$B$5:$B$124,"&gt;="&amp;DATE(LEFT(A146,4),RIGHT(A146,2),1),GAJI!$B$5:$B$124,"&lt;"&amp;DATE(LEFT(A146,4),RIGHT(A146,2)+1,1)),SUMIFS(PENGELUARAN!$K$5:$K$204,PENGELUARAN!$C$5:$C$204,A146,PENGELUARAN!$G$5:$G$204,B146,PENGELUARAN!$L$5:$L$204,"Kantor")))</f>
        <v>0</v>
      </c>
      <c r="E146" s="84">
        <f t="shared" si="12"/>
        <v>0</v>
      </c>
      <c r="F146" s="87">
        <f t="shared" si="13"/>
        <v>0</v>
      </c>
      <c r="G146" t="str">
        <f t="shared" si="14"/>
        <v>Belum Diisi</v>
      </c>
    </row>
    <row r="147" spans="1:7">
      <c r="A147" t="str">
        <f>TEXT(DATE(DASHBOARD!$B$4,8,1),"yyyy-mm")</f>
        <v>2026-08</v>
      </c>
      <c r="B147" t="str">
        <f>MASTER!E13</f>
        <v>ATK</v>
      </c>
      <c r="C147" s="84"/>
      <c r="D147" s="84">
        <f>IF(A147="","",IF(B147="Gaji dan Honor",SUMIFS(GAJI!$Q$5:$Q$124,GAJI!$B$5:$B$124,"&gt;="&amp;DATE(LEFT(A147,4),RIGHT(A147,2),1),GAJI!$B$5:$B$124,"&lt;"&amp;DATE(LEFT(A147,4),RIGHT(A147,2)+1,1)),SUMIFS(PENGELUARAN!$K$5:$K$204,PENGELUARAN!$C$5:$C$204,A147,PENGELUARAN!$G$5:$G$204,B147,PENGELUARAN!$L$5:$L$204,"Kantor")))</f>
        <v>0</v>
      </c>
      <c r="E147" s="84">
        <f t="shared" si="12"/>
        <v>0</v>
      </c>
      <c r="F147" s="87">
        <f t="shared" si="13"/>
        <v>0</v>
      </c>
      <c r="G147" t="str">
        <f t="shared" si="14"/>
        <v>Belum Diisi</v>
      </c>
    </row>
    <row r="148" spans="1:7">
      <c r="A148" t="str">
        <f>TEXT(DATE(DASHBOARD!$B$4,8,1),"yyyy-mm")</f>
        <v>2026-08</v>
      </c>
      <c r="B148" t="str">
        <f>MASTER!E14</f>
        <v>Parkir/Tol</v>
      </c>
      <c r="C148" s="84"/>
      <c r="D148" s="84">
        <f>IF(A148="","",IF(B148="Gaji dan Honor",SUMIFS(GAJI!$Q$5:$Q$124,GAJI!$B$5:$B$124,"&gt;="&amp;DATE(LEFT(A148,4),RIGHT(A148,2),1),GAJI!$B$5:$B$124,"&lt;"&amp;DATE(LEFT(A148,4),RIGHT(A148,2)+1,1)),SUMIFS(PENGELUARAN!$K$5:$K$204,PENGELUARAN!$C$5:$C$204,A148,PENGELUARAN!$G$5:$G$204,B148,PENGELUARAN!$L$5:$L$204,"Kantor")))</f>
        <v>0</v>
      </c>
      <c r="E148" s="84">
        <f t="shared" si="12"/>
        <v>0</v>
      </c>
      <c r="F148" s="87">
        <f t="shared" si="13"/>
        <v>0</v>
      </c>
      <c r="G148" t="str">
        <f t="shared" si="14"/>
        <v>Belum Diisi</v>
      </c>
    </row>
    <row r="149" spans="1:7">
      <c r="A149" t="str">
        <f>TEXT(DATE(DASHBOARD!$B$4,8,1),"yyyy-mm")</f>
        <v>2026-08</v>
      </c>
      <c r="B149" t="str">
        <f>MASTER!E15</f>
        <v>Sewa Kantor</v>
      </c>
      <c r="C149" s="84"/>
      <c r="D149" s="84">
        <f>IF(A149="","",IF(B149="Gaji dan Honor",SUMIFS(GAJI!$Q$5:$Q$124,GAJI!$B$5:$B$124,"&gt;="&amp;DATE(LEFT(A149,4),RIGHT(A149,2),1),GAJI!$B$5:$B$124,"&lt;"&amp;DATE(LEFT(A149,4),RIGHT(A149,2)+1,1)),SUMIFS(PENGELUARAN!$K$5:$K$204,PENGELUARAN!$C$5:$C$204,A149,PENGELUARAN!$G$5:$G$204,B149,PENGELUARAN!$L$5:$L$204,"Kantor")))</f>
        <v>0</v>
      </c>
      <c r="E149" s="84">
        <f t="shared" si="12"/>
        <v>0</v>
      </c>
      <c r="F149" s="87">
        <f t="shared" si="13"/>
        <v>0</v>
      </c>
      <c r="G149" t="str">
        <f t="shared" si="14"/>
        <v>Belum Diisi</v>
      </c>
    </row>
    <row r="150" spans="1:7">
      <c r="A150" t="str">
        <f>TEXT(DATE(DASHBOARD!$B$4,8,1),"yyyy-mm")</f>
        <v>2026-08</v>
      </c>
      <c r="B150" t="str">
        <f>MASTER!E16</f>
        <v>Internet/Telepon</v>
      </c>
      <c r="C150" s="84"/>
      <c r="D150" s="84">
        <f>IF(A150="","",IF(B150="Gaji dan Honor",SUMIFS(GAJI!$Q$5:$Q$124,GAJI!$B$5:$B$124,"&gt;="&amp;DATE(LEFT(A150,4),RIGHT(A150,2),1),GAJI!$B$5:$B$124,"&lt;"&amp;DATE(LEFT(A150,4),RIGHT(A150,2)+1,1)),SUMIFS(PENGELUARAN!$K$5:$K$204,PENGELUARAN!$C$5:$C$204,A150,PENGELUARAN!$G$5:$G$204,B150,PENGELUARAN!$L$5:$L$204,"Kantor")))</f>
        <v>0</v>
      </c>
      <c r="E150" s="84">
        <f t="shared" si="12"/>
        <v>0</v>
      </c>
      <c r="F150" s="87">
        <f t="shared" si="13"/>
        <v>0</v>
      </c>
      <c r="G150" t="str">
        <f t="shared" si="14"/>
        <v>Belum Diisi</v>
      </c>
    </row>
    <row r="151" spans="1:7">
      <c r="A151" t="str">
        <f>TEXT(DATE(DASHBOARD!$B$4,8,1),"yyyy-mm")</f>
        <v>2026-08</v>
      </c>
      <c r="B151" t="str">
        <f>MASTER!E17</f>
        <v>Software/Langganan</v>
      </c>
      <c r="C151" s="84"/>
      <c r="D151" s="84">
        <f>IF(A151="","",IF(B151="Gaji dan Honor",SUMIFS(GAJI!$Q$5:$Q$124,GAJI!$B$5:$B$124,"&gt;="&amp;DATE(LEFT(A151,4),RIGHT(A151,2),1),GAJI!$B$5:$B$124,"&lt;"&amp;DATE(LEFT(A151,4),RIGHT(A151,2)+1,1)),SUMIFS(PENGELUARAN!$K$5:$K$204,PENGELUARAN!$C$5:$C$204,A151,PENGELUARAN!$G$5:$G$204,B151,PENGELUARAN!$L$5:$L$204,"Kantor")))</f>
        <v>196188</v>
      </c>
      <c r="E151" s="84">
        <f t="shared" si="12"/>
        <v>-196188</v>
      </c>
      <c r="F151" s="87">
        <f t="shared" si="13"/>
        <v>0</v>
      </c>
      <c r="G151" t="str">
        <f t="shared" si="14"/>
        <v>Belum Dianggarkan</v>
      </c>
    </row>
    <row r="152" spans="1:7">
      <c r="A152" t="str">
        <f>TEXT(DATE(DASHBOARD!$B$4,8,1),"yyyy-mm")</f>
        <v>2026-08</v>
      </c>
      <c r="B152" t="str">
        <f>MASTER!E18</f>
        <v>Pemasaran</v>
      </c>
      <c r="C152" s="84"/>
      <c r="D152" s="84">
        <f>IF(A152="","",IF(B152="Gaji dan Honor",SUMIFS(GAJI!$Q$5:$Q$124,GAJI!$B$5:$B$124,"&gt;="&amp;DATE(LEFT(A152,4),RIGHT(A152,2),1),GAJI!$B$5:$B$124,"&lt;"&amp;DATE(LEFT(A152,4),RIGHT(A152,2)+1,1)),SUMIFS(PENGELUARAN!$K$5:$K$204,PENGELUARAN!$C$5:$C$204,A152,PENGELUARAN!$G$5:$G$204,B152,PENGELUARAN!$L$5:$L$204,"Kantor")))</f>
        <v>0</v>
      </c>
      <c r="E152" s="84">
        <f t="shared" si="12"/>
        <v>0</v>
      </c>
      <c r="F152" s="87">
        <f t="shared" si="13"/>
        <v>0</v>
      </c>
      <c r="G152" t="str">
        <f t="shared" si="14"/>
        <v>Belum Diisi</v>
      </c>
    </row>
    <row r="153" spans="1:7">
      <c r="A153" t="str">
        <f>TEXT(DATE(DASHBOARD!$B$4,8,1),"yyyy-mm")</f>
        <v>2026-08</v>
      </c>
      <c r="B153" t="str">
        <f>MASTER!E19</f>
        <v>Peralatan Kantor</v>
      </c>
      <c r="C153" s="84"/>
      <c r="D153" s="84">
        <f>IF(A153="","",IF(B153="Gaji dan Honor",SUMIFS(GAJI!$Q$5:$Q$124,GAJI!$B$5:$B$124,"&gt;="&amp;DATE(LEFT(A153,4),RIGHT(A153,2),1),GAJI!$B$5:$B$124,"&lt;"&amp;DATE(LEFT(A153,4),RIGHT(A153,2)+1,1)),SUMIFS(PENGELUARAN!$K$5:$K$204,PENGELUARAN!$C$5:$C$204,A153,PENGELUARAN!$G$5:$G$204,B153,PENGELUARAN!$L$5:$L$204,"Kantor")))</f>
        <v>0</v>
      </c>
      <c r="E153" s="84">
        <f t="shared" si="12"/>
        <v>0</v>
      </c>
      <c r="F153" s="87">
        <f t="shared" si="13"/>
        <v>0</v>
      </c>
      <c r="G153" t="str">
        <f t="shared" si="14"/>
        <v>Belum Diisi</v>
      </c>
    </row>
    <row r="154" spans="1:7">
      <c r="A154" t="str">
        <f>TEXT(DATE(DASHBOARD!$B$4,8,1),"yyyy-mm")</f>
        <v>2026-08</v>
      </c>
      <c r="B154" t="str">
        <f>MASTER!E20</f>
        <v>Operasional Kantor</v>
      </c>
      <c r="C154" s="84"/>
      <c r="D154" s="84">
        <f>IF(A154="","",IF(B154="Gaji dan Honor",SUMIFS(GAJI!$Q$5:$Q$124,GAJI!$B$5:$B$124,"&gt;="&amp;DATE(LEFT(A154,4),RIGHT(A154,2),1),GAJI!$B$5:$B$124,"&lt;"&amp;DATE(LEFT(A154,4),RIGHT(A154,2)+1,1)),SUMIFS(PENGELUARAN!$K$5:$K$204,PENGELUARAN!$C$5:$C$204,A154,PENGELUARAN!$G$5:$G$204,B154,PENGELUARAN!$L$5:$L$204,"Kantor")))</f>
        <v>0</v>
      </c>
      <c r="E154" s="84">
        <f t="shared" si="12"/>
        <v>0</v>
      </c>
      <c r="F154" s="87">
        <f t="shared" si="13"/>
        <v>0</v>
      </c>
      <c r="G154" t="str">
        <f t="shared" si="14"/>
        <v>Belum Diisi</v>
      </c>
    </row>
    <row r="155" spans="1:7">
      <c r="A155" t="str">
        <f>TEXT(DATE(DASHBOARD!$B$4,8,1),"yyyy-mm")</f>
        <v>2026-08</v>
      </c>
      <c r="B155" t="str">
        <f>MASTER!E21</f>
        <v>Pajak/BPJS</v>
      </c>
      <c r="C155" s="84"/>
      <c r="D155" s="84">
        <f>IF(A155="","",IF(B155="Gaji dan Honor",SUMIFS(GAJI!$Q$5:$Q$124,GAJI!$B$5:$B$124,"&gt;="&amp;DATE(LEFT(A155,4),RIGHT(A155,2),1),GAJI!$B$5:$B$124,"&lt;"&amp;DATE(LEFT(A155,4),RIGHT(A155,2)+1,1)),SUMIFS(PENGELUARAN!$K$5:$K$204,PENGELUARAN!$C$5:$C$204,A155,PENGELUARAN!$G$5:$G$204,B155,PENGELUARAN!$L$5:$L$204,"Kantor")))</f>
        <v>0</v>
      </c>
      <c r="E155" s="84">
        <f t="shared" si="12"/>
        <v>0</v>
      </c>
      <c r="F155" s="87">
        <f t="shared" si="13"/>
        <v>0</v>
      </c>
      <c r="G155" t="str">
        <f t="shared" si="14"/>
        <v>Belum Diisi</v>
      </c>
    </row>
    <row r="156" spans="1:7">
      <c r="A156" t="str">
        <f>TEXT(DATE(DASHBOARD!$B$4,8,1),"yyyy-mm")</f>
        <v>2026-08</v>
      </c>
      <c r="B156" t="str">
        <f>MASTER!E22</f>
        <v>Lain-lain</v>
      </c>
      <c r="C156" s="84"/>
      <c r="D156" s="84">
        <f>IF(A156="","",IF(B156="Gaji dan Honor",SUMIFS(GAJI!$Q$5:$Q$124,GAJI!$B$5:$B$124,"&gt;="&amp;DATE(LEFT(A156,4),RIGHT(A156,2),1),GAJI!$B$5:$B$124,"&lt;"&amp;DATE(LEFT(A156,4),RIGHT(A156,2)+1,1)),SUMIFS(PENGELUARAN!$K$5:$K$204,PENGELUARAN!$C$5:$C$204,A156,PENGELUARAN!$G$5:$G$204,B156,PENGELUARAN!$L$5:$L$204,"Kantor")))</f>
        <v>0</v>
      </c>
      <c r="E156" s="84">
        <f t="shared" si="12"/>
        <v>0</v>
      </c>
      <c r="F156" s="87">
        <f t="shared" si="13"/>
        <v>0</v>
      </c>
      <c r="G156" t="str">
        <f t="shared" si="14"/>
        <v>Belum Diisi</v>
      </c>
    </row>
    <row r="157" spans="1:7">
      <c r="A157" t="str">
        <f>TEXT(DATE(DASHBOARD!$B$4,9,1),"yyyy-mm")</f>
        <v>2026-09</v>
      </c>
      <c r="B157" t="s">
        <v>616</v>
      </c>
      <c r="C157" s="84"/>
      <c r="D157" s="84">
        <f>IF(A157="","",IF(B157="Gaji dan Honor",SUMIFS(GAJI!$Q$5:$Q$124,GAJI!$B$5:$B$124,"&gt;="&amp;DATE(LEFT(A157,4),RIGHT(A157,2),1),GAJI!$B$5:$B$124,"&lt;"&amp;DATE(LEFT(A157,4),RIGHT(A157,2)+1,1)),SUMIFS(PENGELUARAN!$K$5:$K$204,PENGELUARAN!$C$5:$C$204,A157,PENGELUARAN!$G$5:$G$204,B157,PENGELUARAN!$L$5:$L$204,"Kantor")))</f>
        <v>0</v>
      </c>
      <c r="E157" s="84">
        <f t="shared" ref="E157:E188" si="15">IF(A157="","",C157-D157)</f>
        <v>0</v>
      </c>
      <c r="F157" s="87">
        <f t="shared" ref="F157:F188" si="16">IF(OR(A157="",C157=0),0,D157/C157)</f>
        <v>0</v>
      </c>
      <c r="G157" t="str">
        <f t="shared" ref="G157:G188" si="17">IF(A157="","",IF(C157=0,IF(D157&gt;0,"Belum Dianggarkan","Belum Diisi"),IF(E157&lt;0,"Melebihi Anggaran",IF(F157&gt;=0.9,"Hampir Habis","Aman"))))</f>
        <v>Belum Diisi</v>
      </c>
    </row>
    <row r="158" spans="1:7">
      <c r="A158" t="str">
        <f>TEXT(DATE(DASHBOARD!$B$4,9,1),"yyyy-mm")</f>
        <v>2026-09</v>
      </c>
      <c r="B158" t="str">
        <f>MASTER!E5</f>
        <v>Transportasi</v>
      </c>
      <c r="C158" s="84"/>
      <c r="D158" s="84">
        <f>IF(A158="","",IF(B158="Gaji dan Honor",SUMIFS(GAJI!$Q$5:$Q$124,GAJI!$B$5:$B$124,"&gt;="&amp;DATE(LEFT(A158,4),RIGHT(A158,2),1),GAJI!$B$5:$B$124,"&lt;"&amp;DATE(LEFT(A158,4),RIGHT(A158,2)+1,1)),SUMIFS(PENGELUARAN!$K$5:$K$204,PENGELUARAN!$C$5:$C$204,A158,PENGELUARAN!$G$5:$G$204,B158,PENGELUARAN!$L$5:$L$204,"Kantor")))</f>
        <v>0</v>
      </c>
      <c r="E158" s="84">
        <f t="shared" si="15"/>
        <v>0</v>
      </c>
      <c r="F158" s="87">
        <f t="shared" si="16"/>
        <v>0</v>
      </c>
      <c r="G158" t="str">
        <f t="shared" si="17"/>
        <v>Belum Diisi</v>
      </c>
    </row>
    <row r="159" spans="1:7">
      <c r="A159" t="str">
        <f>TEXT(DATE(DASHBOARD!$B$4,9,1),"yyyy-mm")</f>
        <v>2026-09</v>
      </c>
      <c r="B159" t="str">
        <f>MASTER!E6</f>
        <v>Akomodasi</v>
      </c>
      <c r="C159" s="84"/>
      <c r="D159" s="84">
        <f>IF(A159="","",IF(B159="Gaji dan Honor",SUMIFS(GAJI!$Q$5:$Q$124,GAJI!$B$5:$B$124,"&gt;="&amp;DATE(LEFT(A159,4),RIGHT(A159,2),1),GAJI!$B$5:$B$124,"&lt;"&amp;DATE(LEFT(A159,4),RIGHT(A159,2)+1,1)),SUMIFS(PENGELUARAN!$K$5:$K$204,PENGELUARAN!$C$5:$C$204,A159,PENGELUARAN!$G$5:$G$204,B159,PENGELUARAN!$L$5:$L$204,"Kantor")))</f>
        <v>0</v>
      </c>
      <c r="E159" s="84">
        <f t="shared" si="15"/>
        <v>0</v>
      </c>
      <c r="F159" s="87">
        <f t="shared" si="16"/>
        <v>0</v>
      </c>
      <c r="G159" t="str">
        <f t="shared" si="17"/>
        <v>Belum Diisi</v>
      </c>
    </row>
    <row r="160" spans="1:7">
      <c r="A160" t="str">
        <f>TEXT(DATE(DASHBOARD!$B$4,9,1),"yyyy-mm")</f>
        <v>2026-09</v>
      </c>
      <c r="B160" t="str">
        <f>MASTER!E7</f>
        <v>Konsumsi</v>
      </c>
      <c r="C160" s="84"/>
      <c r="D160" s="84">
        <f>IF(A160="","",IF(B160="Gaji dan Honor",SUMIFS(GAJI!$Q$5:$Q$124,GAJI!$B$5:$B$124,"&gt;="&amp;DATE(LEFT(A160,4),RIGHT(A160,2),1),GAJI!$B$5:$B$124,"&lt;"&amp;DATE(LEFT(A160,4),RIGHT(A160,2)+1,1)),SUMIFS(PENGELUARAN!$K$5:$K$204,PENGELUARAN!$C$5:$C$204,A160,PENGELUARAN!$G$5:$G$204,B160,PENGELUARAN!$L$5:$L$204,"Kantor")))</f>
        <v>0</v>
      </c>
      <c r="E160" s="84">
        <f t="shared" si="15"/>
        <v>0</v>
      </c>
      <c r="F160" s="87">
        <f t="shared" si="16"/>
        <v>0</v>
      </c>
      <c r="G160" t="str">
        <f t="shared" si="17"/>
        <v>Belum Diisi</v>
      </c>
    </row>
    <row r="161" spans="1:7">
      <c r="A161" t="str">
        <f>TEXT(DATE(DASHBOARD!$B$4,9,1),"yyyy-mm")</f>
        <v>2026-09</v>
      </c>
      <c r="B161" t="str">
        <f>MASTER!E8</f>
        <v>Persidangan</v>
      </c>
      <c r="C161" s="84"/>
      <c r="D161" s="84">
        <f>IF(A161="","",IF(B161="Gaji dan Honor",SUMIFS(GAJI!$Q$5:$Q$124,GAJI!$B$5:$B$124,"&gt;="&amp;DATE(LEFT(A161,4),RIGHT(A161,2),1),GAJI!$B$5:$B$124,"&lt;"&amp;DATE(LEFT(A161,4),RIGHT(A161,2)+1,1)),SUMIFS(PENGELUARAN!$K$5:$K$204,PENGELUARAN!$C$5:$C$204,A161,PENGELUARAN!$G$5:$G$204,B161,PENGELUARAN!$L$5:$L$204,"Kantor")))</f>
        <v>0</v>
      </c>
      <c r="E161" s="84">
        <f t="shared" si="15"/>
        <v>0</v>
      </c>
      <c r="F161" s="87">
        <f t="shared" si="16"/>
        <v>0</v>
      </c>
      <c r="G161" t="str">
        <f t="shared" si="17"/>
        <v>Belum Diisi</v>
      </c>
    </row>
    <row r="162" spans="1:7">
      <c r="A162" t="str">
        <f>TEXT(DATE(DASHBOARD!$B$4,9,1),"yyyy-mm")</f>
        <v>2026-09</v>
      </c>
      <c r="B162" t="str">
        <f>MASTER!E9</f>
        <v>Notaris</v>
      </c>
      <c r="C162" s="84"/>
      <c r="D162" s="84">
        <f>IF(A162="","",IF(B162="Gaji dan Honor",SUMIFS(GAJI!$Q$5:$Q$124,GAJI!$B$5:$B$124,"&gt;="&amp;DATE(LEFT(A162,4),RIGHT(A162,2),1),GAJI!$B$5:$B$124,"&lt;"&amp;DATE(LEFT(A162,4),RIGHT(A162,2)+1,1)),SUMIFS(PENGELUARAN!$K$5:$K$204,PENGELUARAN!$C$5:$C$204,A162,PENGELUARAN!$G$5:$G$204,B162,PENGELUARAN!$L$5:$L$204,"Kantor")))</f>
        <v>0</v>
      </c>
      <c r="E162" s="84">
        <f t="shared" si="15"/>
        <v>0</v>
      </c>
      <c r="F162" s="87">
        <f t="shared" si="16"/>
        <v>0</v>
      </c>
      <c r="G162" t="str">
        <f t="shared" si="17"/>
        <v>Belum Diisi</v>
      </c>
    </row>
    <row r="163" spans="1:7">
      <c r="A163" t="str">
        <f>TEXT(DATE(DASHBOARD!$B$4,9,1),"yyyy-mm")</f>
        <v>2026-09</v>
      </c>
      <c r="B163" t="str">
        <f>MASTER!E10</f>
        <v>KAP/Auditor</v>
      </c>
      <c r="C163" s="84"/>
      <c r="D163" s="84">
        <f>IF(A163="","",IF(B163="Gaji dan Honor",SUMIFS(GAJI!$Q$5:$Q$124,GAJI!$B$5:$B$124,"&gt;="&amp;DATE(LEFT(A163,4),RIGHT(A163,2),1),GAJI!$B$5:$B$124,"&lt;"&amp;DATE(LEFT(A163,4),RIGHT(A163,2)+1,1)),SUMIFS(PENGELUARAN!$K$5:$K$204,PENGELUARAN!$C$5:$C$204,A163,PENGELUARAN!$G$5:$G$204,B163,PENGELUARAN!$L$5:$L$204,"Kantor")))</f>
        <v>0</v>
      </c>
      <c r="E163" s="84">
        <f t="shared" si="15"/>
        <v>0</v>
      </c>
      <c r="F163" s="87">
        <f t="shared" si="16"/>
        <v>0</v>
      </c>
      <c r="G163" t="str">
        <f t="shared" si="17"/>
        <v>Belum Diisi</v>
      </c>
    </row>
    <row r="164" spans="1:7">
      <c r="A164" t="str">
        <f>TEXT(DATE(DASHBOARD!$B$4,9,1),"yyyy-mm")</f>
        <v>2026-09</v>
      </c>
      <c r="B164" t="str">
        <f>MASTER!E11</f>
        <v>Administrasi Instansi</v>
      </c>
      <c r="C164" s="84"/>
      <c r="D164" s="84">
        <f>IF(A164="","",IF(B164="Gaji dan Honor",SUMIFS(GAJI!$Q$5:$Q$124,GAJI!$B$5:$B$124,"&gt;="&amp;DATE(LEFT(A164,4),RIGHT(A164,2),1),GAJI!$B$5:$B$124,"&lt;"&amp;DATE(LEFT(A164,4),RIGHT(A164,2)+1,1)),SUMIFS(PENGELUARAN!$K$5:$K$204,PENGELUARAN!$C$5:$C$204,A164,PENGELUARAN!$G$5:$G$204,B164,PENGELUARAN!$L$5:$L$204,"Kantor")))</f>
        <v>0</v>
      </c>
      <c r="E164" s="84">
        <f t="shared" si="15"/>
        <v>0</v>
      </c>
      <c r="F164" s="87">
        <f t="shared" si="16"/>
        <v>0</v>
      </c>
      <c r="G164" t="str">
        <f t="shared" si="17"/>
        <v>Belum Diisi</v>
      </c>
    </row>
    <row r="165" spans="1:7">
      <c r="A165" t="str">
        <f>TEXT(DATE(DASHBOARD!$B$4,9,1),"yyyy-mm")</f>
        <v>2026-09</v>
      </c>
      <c r="B165" t="str">
        <f>MASTER!E12</f>
        <v>Kurir</v>
      </c>
      <c r="C165" s="84"/>
      <c r="D165" s="84">
        <f>IF(A165="","",IF(B165="Gaji dan Honor",SUMIFS(GAJI!$Q$5:$Q$124,GAJI!$B$5:$B$124,"&gt;="&amp;DATE(LEFT(A165,4),RIGHT(A165,2),1),GAJI!$B$5:$B$124,"&lt;"&amp;DATE(LEFT(A165,4),RIGHT(A165,2)+1,1)),SUMIFS(PENGELUARAN!$K$5:$K$204,PENGELUARAN!$C$5:$C$204,A165,PENGELUARAN!$G$5:$G$204,B165,PENGELUARAN!$L$5:$L$204,"Kantor")))</f>
        <v>0</v>
      </c>
      <c r="E165" s="84">
        <f t="shared" si="15"/>
        <v>0</v>
      </c>
      <c r="F165" s="87">
        <f t="shared" si="16"/>
        <v>0</v>
      </c>
      <c r="G165" t="str">
        <f t="shared" si="17"/>
        <v>Belum Diisi</v>
      </c>
    </row>
    <row r="166" spans="1:7">
      <c r="A166" t="str">
        <f>TEXT(DATE(DASHBOARD!$B$4,9,1),"yyyy-mm")</f>
        <v>2026-09</v>
      </c>
      <c r="B166" t="str">
        <f>MASTER!E13</f>
        <v>ATK</v>
      </c>
      <c r="C166" s="84"/>
      <c r="D166" s="84">
        <f>IF(A166="","",IF(B166="Gaji dan Honor",SUMIFS(GAJI!$Q$5:$Q$124,GAJI!$B$5:$B$124,"&gt;="&amp;DATE(LEFT(A166,4),RIGHT(A166,2),1),GAJI!$B$5:$B$124,"&lt;"&amp;DATE(LEFT(A166,4),RIGHT(A166,2)+1,1)),SUMIFS(PENGELUARAN!$K$5:$K$204,PENGELUARAN!$C$5:$C$204,A166,PENGELUARAN!$G$5:$G$204,B166,PENGELUARAN!$L$5:$L$204,"Kantor")))</f>
        <v>0</v>
      </c>
      <c r="E166" s="84">
        <f t="shared" si="15"/>
        <v>0</v>
      </c>
      <c r="F166" s="87">
        <f t="shared" si="16"/>
        <v>0</v>
      </c>
      <c r="G166" t="str">
        <f t="shared" si="17"/>
        <v>Belum Diisi</v>
      </c>
    </row>
    <row r="167" spans="1:7">
      <c r="A167" t="str">
        <f>TEXT(DATE(DASHBOARD!$B$4,9,1),"yyyy-mm")</f>
        <v>2026-09</v>
      </c>
      <c r="B167" t="str">
        <f>MASTER!E14</f>
        <v>Parkir/Tol</v>
      </c>
      <c r="C167" s="84"/>
      <c r="D167" s="84">
        <f>IF(A167="","",IF(B167="Gaji dan Honor",SUMIFS(GAJI!$Q$5:$Q$124,GAJI!$B$5:$B$124,"&gt;="&amp;DATE(LEFT(A167,4),RIGHT(A167,2),1),GAJI!$B$5:$B$124,"&lt;"&amp;DATE(LEFT(A167,4),RIGHT(A167,2)+1,1)),SUMIFS(PENGELUARAN!$K$5:$K$204,PENGELUARAN!$C$5:$C$204,A167,PENGELUARAN!$G$5:$G$204,B167,PENGELUARAN!$L$5:$L$204,"Kantor")))</f>
        <v>0</v>
      </c>
      <c r="E167" s="84">
        <f t="shared" si="15"/>
        <v>0</v>
      </c>
      <c r="F167" s="87">
        <f t="shared" si="16"/>
        <v>0</v>
      </c>
      <c r="G167" t="str">
        <f t="shared" si="17"/>
        <v>Belum Diisi</v>
      </c>
    </row>
    <row r="168" spans="1:7">
      <c r="A168" t="str">
        <f>TEXT(DATE(DASHBOARD!$B$4,9,1),"yyyy-mm")</f>
        <v>2026-09</v>
      </c>
      <c r="B168" t="str">
        <f>MASTER!E15</f>
        <v>Sewa Kantor</v>
      </c>
      <c r="C168" s="84"/>
      <c r="D168" s="84">
        <f>IF(A168="","",IF(B168="Gaji dan Honor",SUMIFS(GAJI!$Q$5:$Q$124,GAJI!$B$5:$B$124,"&gt;="&amp;DATE(LEFT(A168,4),RIGHT(A168,2),1),GAJI!$B$5:$B$124,"&lt;"&amp;DATE(LEFT(A168,4),RIGHT(A168,2)+1,1)),SUMIFS(PENGELUARAN!$K$5:$K$204,PENGELUARAN!$C$5:$C$204,A168,PENGELUARAN!$G$5:$G$204,B168,PENGELUARAN!$L$5:$L$204,"Kantor")))</f>
        <v>0</v>
      </c>
      <c r="E168" s="84">
        <f t="shared" si="15"/>
        <v>0</v>
      </c>
      <c r="F168" s="87">
        <f t="shared" si="16"/>
        <v>0</v>
      </c>
      <c r="G168" t="str">
        <f t="shared" si="17"/>
        <v>Belum Diisi</v>
      </c>
    </row>
    <row r="169" spans="1:7">
      <c r="A169" t="str">
        <f>TEXT(DATE(DASHBOARD!$B$4,9,1),"yyyy-mm")</f>
        <v>2026-09</v>
      </c>
      <c r="B169" t="str">
        <f>MASTER!E16</f>
        <v>Internet/Telepon</v>
      </c>
      <c r="C169" s="84"/>
      <c r="D169" s="84">
        <f>IF(A169="","",IF(B169="Gaji dan Honor",SUMIFS(GAJI!$Q$5:$Q$124,GAJI!$B$5:$B$124,"&gt;="&amp;DATE(LEFT(A169,4),RIGHT(A169,2),1),GAJI!$B$5:$B$124,"&lt;"&amp;DATE(LEFT(A169,4),RIGHT(A169,2)+1,1)),SUMIFS(PENGELUARAN!$K$5:$K$204,PENGELUARAN!$C$5:$C$204,A169,PENGELUARAN!$G$5:$G$204,B169,PENGELUARAN!$L$5:$L$204,"Kantor")))</f>
        <v>0</v>
      </c>
      <c r="E169" s="84">
        <f t="shared" si="15"/>
        <v>0</v>
      </c>
      <c r="F169" s="87">
        <f t="shared" si="16"/>
        <v>0</v>
      </c>
      <c r="G169" t="str">
        <f t="shared" si="17"/>
        <v>Belum Diisi</v>
      </c>
    </row>
    <row r="170" spans="1:7">
      <c r="A170" t="str">
        <f>TEXT(DATE(DASHBOARD!$B$4,9,1),"yyyy-mm")</f>
        <v>2026-09</v>
      </c>
      <c r="B170" t="str">
        <f>MASTER!E17</f>
        <v>Software/Langganan</v>
      </c>
      <c r="C170" s="84"/>
      <c r="D170" s="84">
        <f>IF(A170="","",IF(B170="Gaji dan Honor",SUMIFS(GAJI!$Q$5:$Q$124,GAJI!$B$5:$B$124,"&gt;="&amp;DATE(LEFT(A170,4),RIGHT(A170,2),1),GAJI!$B$5:$B$124,"&lt;"&amp;DATE(LEFT(A170,4),RIGHT(A170,2)+1,1)),SUMIFS(PENGELUARAN!$K$5:$K$204,PENGELUARAN!$C$5:$C$204,A170,PENGELUARAN!$G$5:$G$204,B170,PENGELUARAN!$L$5:$L$204,"Kantor")))</f>
        <v>0</v>
      </c>
      <c r="E170" s="84">
        <f t="shared" si="15"/>
        <v>0</v>
      </c>
      <c r="F170" s="87">
        <f t="shared" si="16"/>
        <v>0</v>
      </c>
      <c r="G170" t="str">
        <f t="shared" si="17"/>
        <v>Belum Diisi</v>
      </c>
    </row>
    <row r="171" spans="1:7">
      <c r="A171" t="str">
        <f>TEXT(DATE(DASHBOARD!$B$4,9,1),"yyyy-mm")</f>
        <v>2026-09</v>
      </c>
      <c r="B171" t="str">
        <f>MASTER!E18</f>
        <v>Pemasaran</v>
      </c>
      <c r="C171" s="84"/>
      <c r="D171" s="84">
        <f>IF(A171="","",IF(B171="Gaji dan Honor",SUMIFS(GAJI!$Q$5:$Q$124,GAJI!$B$5:$B$124,"&gt;="&amp;DATE(LEFT(A171,4),RIGHT(A171,2),1),GAJI!$B$5:$B$124,"&lt;"&amp;DATE(LEFT(A171,4),RIGHT(A171,2)+1,1)),SUMIFS(PENGELUARAN!$K$5:$K$204,PENGELUARAN!$C$5:$C$204,A171,PENGELUARAN!$G$5:$G$204,B171,PENGELUARAN!$L$5:$L$204,"Kantor")))</f>
        <v>0</v>
      </c>
      <c r="E171" s="84">
        <f t="shared" si="15"/>
        <v>0</v>
      </c>
      <c r="F171" s="87">
        <f t="shared" si="16"/>
        <v>0</v>
      </c>
      <c r="G171" t="str">
        <f t="shared" si="17"/>
        <v>Belum Diisi</v>
      </c>
    </row>
    <row r="172" spans="1:7">
      <c r="A172" t="str">
        <f>TEXT(DATE(DASHBOARD!$B$4,9,1),"yyyy-mm")</f>
        <v>2026-09</v>
      </c>
      <c r="B172" t="str">
        <f>MASTER!E19</f>
        <v>Peralatan Kantor</v>
      </c>
      <c r="C172" s="84"/>
      <c r="D172" s="84">
        <f>IF(A172="","",IF(B172="Gaji dan Honor",SUMIFS(GAJI!$Q$5:$Q$124,GAJI!$B$5:$B$124,"&gt;="&amp;DATE(LEFT(A172,4),RIGHT(A172,2),1),GAJI!$B$5:$B$124,"&lt;"&amp;DATE(LEFT(A172,4),RIGHT(A172,2)+1,1)),SUMIFS(PENGELUARAN!$K$5:$K$204,PENGELUARAN!$C$5:$C$204,A172,PENGELUARAN!$G$5:$G$204,B172,PENGELUARAN!$L$5:$L$204,"Kantor")))</f>
        <v>0</v>
      </c>
      <c r="E172" s="84">
        <f t="shared" si="15"/>
        <v>0</v>
      </c>
      <c r="F172" s="87">
        <f t="shared" si="16"/>
        <v>0</v>
      </c>
      <c r="G172" t="str">
        <f t="shared" si="17"/>
        <v>Belum Diisi</v>
      </c>
    </row>
    <row r="173" spans="1:7">
      <c r="A173" t="str">
        <f>TEXT(DATE(DASHBOARD!$B$4,9,1),"yyyy-mm")</f>
        <v>2026-09</v>
      </c>
      <c r="B173" t="str">
        <f>MASTER!E20</f>
        <v>Operasional Kantor</v>
      </c>
      <c r="C173" s="84"/>
      <c r="D173" s="84">
        <f>IF(A173="","",IF(B173="Gaji dan Honor",SUMIFS(GAJI!$Q$5:$Q$124,GAJI!$B$5:$B$124,"&gt;="&amp;DATE(LEFT(A173,4),RIGHT(A173,2),1),GAJI!$B$5:$B$124,"&lt;"&amp;DATE(LEFT(A173,4),RIGHT(A173,2)+1,1)),SUMIFS(PENGELUARAN!$K$5:$K$204,PENGELUARAN!$C$5:$C$204,A173,PENGELUARAN!$G$5:$G$204,B173,PENGELUARAN!$L$5:$L$204,"Kantor")))</f>
        <v>0</v>
      </c>
      <c r="E173" s="84">
        <f t="shared" si="15"/>
        <v>0</v>
      </c>
      <c r="F173" s="87">
        <f t="shared" si="16"/>
        <v>0</v>
      </c>
      <c r="G173" t="str">
        <f t="shared" si="17"/>
        <v>Belum Diisi</v>
      </c>
    </row>
    <row r="174" spans="1:7">
      <c r="A174" t="str">
        <f>TEXT(DATE(DASHBOARD!$B$4,9,1),"yyyy-mm")</f>
        <v>2026-09</v>
      </c>
      <c r="B174" t="str">
        <f>MASTER!E21</f>
        <v>Pajak/BPJS</v>
      </c>
      <c r="C174" s="84"/>
      <c r="D174" s="84">
        <f>IF(A174="","",IF(B174="Gaji dan Honor",SUMIFS(GAJI!$Q$5:$Q$124,GAJI!$B$5:$B$124,"&gt;="&amp;DATE(LEFT(A174,4),RIGHT(A174,2),1),GAJI!$B$5:$B$124,"&lt;"&amp;DATE(LEFT(A174,4),RIGHT(A174,2)+1,1)),SUMIFS(PENGELUARAN!$K$5:$K$204,PENGELUARAN!$C$5:$C$204,A174,PENGELUARAN!$G$5:$G$204,B174,PENGELUARAN!$L$5:$L$204,"Kantor")))</f>
        <v>0</v>
      </c>
      <c r="E174" s="84">
        <f t="shared" si="15"/>
        <v>0</v>
      </c>
      <c r="F174" s="87">
        <f t="shared" si="16"/>
        <v>0</v>
      </c>
      <c r="G174" t="str">
        <f t="shared" si="17"/>
        <v>Belum Diisi</v>
      </c>
    </row>
    <row r="175" spans="1:7">
      <c r="A175" t="str">
        <f>TEXT(DATE(DASHBOARD!$B$4,9,1),"yyyy-mm")</f>
        <v>2026-09</v>
      </c>
      <c r="B175" t="str">
        <f>MASTER!E22</f>
        <v>Lain-lain</v>
      </c>
      <c r="C175" s="84"/>
      <c r="D175" s="84">
        <f>IF(A175="","",IF(B175="Gaji dan Honor",SUMIFS(GAJI!$Q$5:$Q$124,GAJI!$B$5:$B$124,"&gt;="&amp;DATE(LEFT(A175,4),RIGHT(A175,2),1),GAJI!$B$5:$B$124,"&lt;"&amp;DATE(LEFT(A175,4),RIGHT(A175,2)+1,1)),SUMIFS(PENGELUARAN!$K$5:$K$204,PENGELUARAN!$C$5:$C$204,A175,PENGELUARAN!$G$5:$G$204,B175,PENGELUARAN!$L$5:$L$204,"Kantor")))</f>
        <v>0</v>
      </c>
      <c r="E175" s="84">
        <f t="shared" si="15"/>
        <v>0</v>
      </c>
      <c r="F175" s="87">
        <f t="shared" si="16"/>
        <v>0</v>
      </c>
      <c r="G175" t="str">
        <f t="shared" si="17"/>
        <v>Belum Diisi</v>
      </c>
    </row>
    <row r="176" spans="1:7">
      <c r="A176" t="str">
        <f>TEXT(DATE(DASHBOARD!$B$4,10,1),"yyyy-mm")</f>
        <v>2026-10</v>
      </c>
      <c r="B176" t="s">
        <v>616</v>
      </c>
      <c r="C176" s="84"/>
      <c r="D176" s="84">
        <f>IF(A176="","",IF(B176="Gaji dan Honor",SUMIFS(GAJI!$Q$5:$Q$124,GAJI!$B$5:$B$124,"&gt;="&amp;DATE(LEFT(A176,4),RIGHT(A176,2),1),GAJI!$B$5:$B$124,"&lt;"&amp;DATE(LEFT(A176,4),RIGHT(A176,2)+1,1)),SUMIFS(PENGELUARAN!$K$5:$K$204,PENGELUARAN!$C$5:$C$204,A176,PENGELUARAN!$G$5:$G$204,B176,PENGELUARAN!$L$5:$L$204,"Kantor")))</f>
        <v>0</v>
      </c>
      <c r="E176" s="84">
        <f t="shared" si="15"/>
        <v>0</v>
      </c>
      <c r="F176" s="87">
        <f t="shared" si="16"/>
        <v>0</v>
      </c>
      <c r="G176" t="str">
        <f t="shared" si="17"/>
        <v>Belum Diisi</v>
      </c>
    </row>
    <row r="177" spans="1:7">
      <c r="A177" t="str">
        <f>TEXT(DATE(DASHBOARD!$B$4,10,1),"yyyy-mm")</f>
        <v>2026-10</v>
      </c>
      <c r="B177" t="str">
        <f>MASTER!E5</f>
        <v>Transportasi</v>
      </c>
      <c r="C177" s="84"/>
      <c r="D177" s="84">
        <f>IF(A177="","",IF(B177="Gaji dan Honor",SUMIFS(GAJI!$Q$5:$Q$124,GAJI!$B$5:$B$124,"&gt;="&amp;DATE(LEFT(A177,4),RIGHT(A177,2),1),GAJI!$B$5:$B$124,"&lt;"&amp;DATE(LEFT(A177,4),RIGHT(A177,2)+1,1)),SUMIFS(PENGELUARAN!$K$5:$K$204,PENGELUARAN!$C$5:$C$204,A177,PENGELUARAN!$G$5:$G$204,B177,PENGELUARAN!$L$5:$L$204,"Kantor")))</f>
        <v>0</v>
      </c>
      <c r="E177" s="84">
        <f t="shared" si="15"/>
        <v>0</v>
      </c>
      <c r="F177" s="87">
        <f t="shared" si="16"/>
        <v>0</v>
      </c>
      <c r="G177" t="str">
        <f t="shared" si="17"/>
        <v>Belum Diisi</v>
      </c>
    </row>
    <row r="178" spans="1:7">
      <c r="A178" t="str">
        <f>TEXT(DATE(DASHBOARD!$B$4,10,1),"yyyy-mm")</f>
        <v>2026-10</v>
      </c>
      <c r="B178" t="str">
        <f>MASTER!E6</f>
        <v>Akomodasi</v>
      </c>
      <c r="C178" s="84"/>
      <c r="D178" s="84">
        <f>IF(A178="","",IF(B178="Gaji dan Honor",SUMIFS(GAJI!$Q$5:$Q$124,GAJI!$B$5:$B$124,"&gt;="&amp;DATE(LEFT(A178,4),RIGHT(A178,2),1),GAJI!$B$5:$B$124,"&lt;"&amp;DATE(LEFT(A178,4),RIGHT(A178,2)+1,1)),SUMIFS(PENGELUARAN!$K$5:$K$204,PENGELUARAN!$C$5:$C$204,A178,PENGELUARAN!$G$5:$G$204,B178,PENGELUARAN!$L$5:$L$204,"Kantor")))</f>
        <v>0</v>
      </c>
      <c r="E178" s="84">
        <f t="shared" si="15"/>
        <v>0</v>
      </c>
      <c r="F178" s="87">
        <f t="shared" si="16"/>
        <v>0</v>
      </c>
      <c r="G178" t="str">
        <f t="shared" si="17"/>
        <v>Belum Diisi</v>
      </c>
    </row>
    <row r="179" spans="1:7">
      <c r="A179" t="str">
        <f>TEXT(DATE(DASHBOARD!$B$4,10,1),"yyyy-mm")</f>
        <v>2026-10</v>
      </c>
      <c r="B179" t="str">
        <f>MASTER!E7</f>
        <v>Konsumsi</v>
      </c>
      <c r="C179" s="84"/>
      <c r="D179" s="84">
        <f>IF(A179="","",IF(B179="Gaji dan Honor",SUMIFS(GAJI!$Q$5:$Q$124,GAJI!$B$5:$B$124,"&gt;="&amp;DATE(LEFT(A179,4),RIGHT(A179,2),1),GAJI!$B$5:$B$124,"&lt;"&amp;DATE(LEFT(A179,4),RIGHT(A179,2)+1,1)),SUMIFS(PENGELUARAN!$K$5:$K$204,PENGELUARAN!$C$5:$C$204,A179,PENGELUARAN!$G$5:$G$204,B179,PENGELUARAN!$L$5:$L$204,"Kantor")))</f>
        <v>0</v>
      </c>
      <c r="E179" s="84">
        <f t="shared" si="15"/>
        <v>0</v>
      </c>
      <c r="F179" s="87">
        <f t="shared" si="16"/>
        <v>0</v>
      </c>
      <c r="G179" t="str">
        <f t="shared" si="17"/>
        <v>Belum Diisi</v>
      </c>
    </row>
    <row r="180" spans="1:7">
      <c r="A180" t="str">
        <f>TEXT(DATE(DASHBOARD!$B$4,10,1),"yyyy-mm")</f>
        <v>2026-10</v>
      </c>
      <c r="B180" t="str">
        <f>MASTER!E8</f>
        <v>Persidangan</v>
      </c>
      <c r="C180" s="84"/>
      <c r="D180" s="84">
        <f>IF(A180="","",IF(B180="Gaji dan Honor",SUMIFS(GAJI!$Q$5:$Q$124,GAJI!$B$5:$B$124,"&gt;="&amp;DATE(LEFT(A180,4),RIGHT(A180,2),1),GAJI!$B$5:$B$124,"&lt;"&amp;DATE(LEFT(A180,4),RIGHT(A180,2)+1,1)),SUMIFS(PENGELUARAN!$K$5:$K$204,PENGELUARAN!$C$5:$C$204,A180,PENGELUARAN!$G$5:$G$204,B180,PENGELUARAN!$L$5:$L$204,"Kantor")))</f>
        <v>0</v>
      </c>
      <c r="E180" s="84">
        <f t="shared" si="15"/>
        <v>0</v>
      </c>
      <c r="F180" s="87">
        <f t="shared" si="16"/>
        <v>0</v>
      </c>
      <c r="G180" t="str">
        <f t="shared" si="17"/>
        <v>Belum Diisi</v>
      </c>
    </row>
    <row r="181" spans="1:7">
      <c r="A181" t="str">
        <f>TEXT(DATE(DASHBOARD!$B$4,10,1),"yyyy-mm")</f>
        <v>2026-10</v>
      </c>
      <c r="B181" t="str">
        <f>MASTER!E9</f>
        <v>Notaris</v>
      </c>
      <c r="C181" s="84"/>
      <c r="D181" s="84">
        <f>IF(A181="","",IF(B181="Gaji dan Honor",SUMIFS(GAJI!$Q$5:$Q$124,GAJI!$B$5:$B$124,"&gt;="&amp;DATE(LEFT(A181,4),RIGHT(A181,2),1),GAJI!$B$5:$B$124,"&lt;"&amp;DATE(LEFT(A181,4),RIGHT(A181,2)+1,1)),SUMIFS(PENGELUARAN!$K$5:$K$204,PENGELUARAN!$C$5:$C$204,A181,PENGELUARAN!$G$5:$G$204,B181,PENGELUARAN!$L$5:$L$204,"Kantor")))</f>
        <v>0</v>
      </c>
      <c r="E181" s="84">
        <f t="shared" si="15"/>
        <v>0</v>
      </c>
      <c r="F181" s="87">
        <f t="shared" si="16"/>
        <v>0</v>
      </c>
      <c r="G181" t="str">
        <f t="shared" si="17"/>
        <v>Belum Diisi</v>
      </c>
    </row>
    <row r="182" spans="1:7">
      <c r="A182" t="str">
        <f>TEXT(DATE(DASHBOARD!$B$4,10,1),"yyyy-mm")</f>
        <v>2026-10</v>
      </c>
      <c r="B182" t="str">
        <f>MASTER!E10</f>
        <v>KAP/Auditor</v>
      </c>
      <c r="C182" s="84"/>
      <c r="D182" s="84">
        <f>IF(A182="","",IF(B182="Gaji dan Honor",SUMIFS(GAJI!$Q$5:$Q$124,GAJI!$B$5:$B$124,"&gt;="&amp;DATE(LEFT(A182,4),RIGHT(A182,2),1),GAJI!$B$5:$B$124,"&lt;"&amp;DATE(LEFT(A182,4),RIGHT(A182,2)+1,1)),SUMIFS(PENGELUARAN!$K$5:$K$204,PENGELUARAN!$C$5:$C$204,A182,PENGELUARAN!$G$5:$G$204,B182,PENGELUARAN!$L$5:$L$204,"Kantor")))</f>
        <v>0</v>
      </c>
      <c r="E182" s="84">
        <f t="shared" si="15"/>
        <v>0</v>
      </c>
      <c r="F182" s="87">
        <f t="shared" si="16"/>
        <v>0</v>
      </c>
      <c r="G182" t="str">
        <f t="shared" si="17"/>
        <v>Belum Diisi</v>
      </c>
    </row>
    <row r="183" spans="1:7">
      <c r="A183" t="str">
        <f>TEXT(DATE(DASHBOARD!$B$4,10,1),"yyyy-mm")</f>
        <v>2026-10</v>
      </c>
      <c r="B183" t="str">
        <f>MASTER!E11</f>
        <v>Administrasi Instansi</v>
      </c>
      <c r="C183" s="84"/>
      <c r="D183" s="84">
        <f>IF(A183="","",IF(B183="Gaji dan Honor",SUMIFS(GAJI!$Q$5:$Q$124,GAJI!$B$5:$B$124,"&gt;="&amp;DATE(LEFT(A183,4),RIGHT(A183,2),1),GAJI!$B$5:$B$124,"&lt;"&amp;DATE(LEFT(A183,4),RIGHT(A183,2)+1,1)),SUMIFS(PENGELUARAN!$K$5:$K$204,PENGELUARAN!$C$5:$C$204,A183,PENGELUARAN!$G$5:$G$204,B183,PENGELUARAN!$L$5:$L$204,"Kantor")))</f>
        <v>0</v>
      </c>
      <c r="E183" s="84">
        <f t="shared" si="15"/>
        <v>0</v>
      </c>
      <c r="F183" s="87">
        <f t="shared" si="16"/>
        <v>0</v>
      </c>
      <c r="G183" t="str">
        <f t="shared" si="17"/>
        <v>Belum Diisi</v>
      </c>
    </row>
    <row r="184" spans="1:7">
      <c r="A184" t="str">
        <f>TEXT(DATE(DASHBOARD!$B$4,10,1),"yyyy-mm")</f>
        <v>2026-10</v>
      </c>
      <c r="B184" t="str">
        <f>MASTER!E12</f>
        <v>Kurir</v>
      </c>
      <c r="C184" s="84"/>
      <c r="D184" s="84">
        <f>IF(A184="","",IF(B184="Gaji dan Honor",SUMIFS(GAJI!$Q$5:$Q$124,GAJI!$B$5:$B$124,"&gt;="&amp;DATE(LEFT(A184,4),RIGHT(A184,2),1),GAJI!$B$5:$B$124,"&lt;"&amp;DATE(LEFT(A184,4),RIGHT(A184,2)+1,1)),SUMIFS(PENGELUARAN!$K$5:$K$204,PENGELUARAN!$C$5:$C$204,A184,PENGELUARAN!$G$5:$G$204,B184,PENGELUARAN!$L$5:$L$204,"Kantor")))</f>
        <v>0</v>
      </c>
      <c r="E184" s="84">
        <f t="shared" si="15"/>
        <v>0</v>
      </c>
      <c r="F184" s="87">
        <f t="shared" si="16"/>
        <v>0</v>
      </c>
      <c r="G184" t="str">
        <f t="shared" si="17"/>
        <v>Belum Diisi</v>
      </c>
    </row>
    <row r="185" spans="1:7">
      <c r="A185" t="str">
        <f>TEXT(DATE(DASHBOARD!$B$4,10,1),"yyyy-mm")</f>
        <v>2026-10</v>
      </c>
      <c r="B185" t="str">
        <f>MASTER!E13</f>
        <v>ATK</v>
      </c>
      <c r="C185" s="84"/>
      <c r="D185" s="84">
        <f>IF(A185="","",IF(B185="Gaji dan Honor",SUMIFS(GAJI!$Q$5:$Q$124,GAJI!$B$5:$B$124,"&gt;="&amp;DATE(LEFT(A185,4),RIGHT(A185,2),1),GAJI!$B$5:$B$124,"&lt;"&amp;DATE(LEFT(A185,4),RIGHT(A185,2)+1,1)),SUMIFS(PENGELUARAN!$K$5:$K$204,PENGELUARAN!$C$5:$C$204,A185,PENGELUARAN!$G$5:$G$204,B185,PENGELUARAN!$L$5:$L$204,"Kantor")))</f>
        <v>0</v>
      </c>
      <c r="E185" s="84">
        <f t="shared" si="15"/>
        <v>0</v>
      </c>
      <c r="F185" s="87">
        <f t="shared" si="16"/>
        <v>0</v>
      </c>
      <c r="G185" t="str">
        <f t="shared" si="17"/>
        <v>Belum Diisi</v>
      </c>
    </row>
    <row r="186" spans="1:7">
      <c r="A186" t="str">
        <f>TEXT(DATE(DASHBOARD!$B$4,10,1),"yyyy-mm")</f>
        <v>2026-10</v>
      </c>
      <c r="B186" t="str">
        <f>MASTER!E14</f>
        <v>Parkir/Tol</v>
      </c>
      <c r="C186" s="84"/>
      <c r="D186" s="84">
        <f>IF(A186="","",IF(B186="Gaji dan Honor",SUMIFS(GAJI!$Q$5:$Q$124,GAJI!$B$5:$B$124,"&gt;="&amp;DATE(LEFT(A186,4),RIGHT(A186,2),1),GAJI!$B$5:$B$124,"&lt;"&amp;DATE(LEFT(A186,4),RIGHT(A186,2)+1,1)),SUMIFS(PENGELUARAN!$K$5:$K$204,PENGELUARAN!$C$5:$C$204,A186,PENGELUARAN!$G$5:$G$204,B186,PENGELUARAN!$L$5:$L$204,"Kantor")))</f>
        <v>0</v>
      </c>
      <c r="E186" s="84">
        <f t="shared" si="15"/>
        <v>0</v>
      </c>
      <c r="F186" s="87">
        <f t="shared" si="16"/>
        <v>0</v>
      </c>
      <c r="G186" t="str">
        <f t="shared" si="17"/>
        <v>Belum Diisi</v>
      </c>
    </row>
    <row r="187" spans="1:7">
      <c r="A187" t="str">
        <f>TEXT(DATE(DASHBOARD!$B$4,10,1),"yyyy-mm")</f>
        <v>2026-10</v>
      </c>
      <c r="B187" t="str">
        <f>MASTER!E15</f>
        <v>Sewa Kantor</v>
      </c>
      <c r="C187" s="84"/>
      <c r="D187" s="84">
        <f>IF(A187="","",IF(B187="Gaji dan Honor",SUMIFS(GAJI!$Q$5:$Q$124,GAJI!$B$5:$B$124,"&gt;="&amp;DATE(LEFT(A187,4),RIGHT(A187,2),1),GAJI!$B$5:$B$124,"&lt;"&amp;DATE(LEFT(A187,4),RIGHT(A187,2)+1,1)),SUMIFS(PENGELUARAN!$K$5:$K$204,PENGELUARAN!$C$5:$C$204,A187,PENGELUARAN!$G$5:$G$204,B187,PENGELUARAN!$L$5:$L$204,"Kantor")))</f>
        <v>0</v>
      </c>
      <c r="E187" s="84">
        <f t="shared" si="15"/>
        <v>0</v>
      </c>
      <c r="F187" s="87">
        <f t="shared" si="16"/>
        <v>0</v>
      </c>
      <c r="G187" t="str">
        <f t="shared" si="17"/>
        <v>Belum Diisi</v>
      </c>
    </row>
    <row r="188" spans="1:7">
      <c r="A188" t="str">
        <f>TEXT(DATE(DASHBOARD!$B$4,10,1),"yyyy-mm")</f>
        <v>2026-10</v>
      </c>
      <c r="B188" t="str">
        <f>MASTER!E16</f>
        <v>Internet/Telepon</v>
      </c>
      <c r="C188" s="84"/>
      <c r="D188" s="84">
        <f>IF(A188="","",IF(B188="Gaji dan Honor",SUMIFS(GAJI!$Q$5:$Q$124,GAJI!$B$5:$B$124,"&gt;="&amp;DATE(LEFT(A188,4),RIGHT(A188,2),1),GAJI!$B$5:$B$124,"&lt;"&amp;DATE(LEFT(A188,4),RIGHT(A188,2)+1,1)),SUMIFS(PENGELUARAN!$K$5:$K$204,PENGELUARAN!$C$5:$C$204,A188,PENGELUARAN!$G$5:$G$204,B188,PENGELUARAN!$L$5:$L$204,"Kantor")))</f>
        <v>0</v>
      </c>
      <c r="E188" s="84">
        <f t="shared" si="15"/>
        <v>0</v>
      </c>
      <c r="F188" s="87">
        <f t="shared" si="16"/>
        <v>0</v>
      </c>
      <c r="G188" t="str">
        <f t="shared" si="17"/>
        <v>Belum Diisi</v>
      </c>
    </row>
    <row r="189" spans="1:7">
      <c r="A189" t="str">
        <f>TEXT(DATE(DASHBOARD!$B$4,10,1),"yyyy-mm")</f>
        <v>2026-10</v>
      </c>
      <c r="B189" t="str">
        <f>MASTER!E17</f>
        <v>Software/Langganan</v>
      </c>
      <c r="C189" s="84"/>
      <c r="D189" s="84">
        <f>IF(A189="","",IF(B189="Gaji dan Honor",SUMIFS(GAJI!$Q$5:$Q$124,GAJI!$B$5:$B$124,"&gt;="&amp;DATE(LEFT(A189,4),RIGHT(A189,2),1),GAJI!$B$5:$B$124,"&lt;"&amp;DATE(LEFT(A189,4),RIGHT(A189,2)+1,1)),SUMIFS(PENGELUARAN!$K$5:$K$204,PENGELUARAN!$C$5:$C$204,A189,PENGELUARAN!$G$5:$G$204,B189,PENGELUARAN!$L$5:$L$204,"Kantor")))</f>
        <v>0</v>
      </c>
      <c r="E189" s="84">
        <f t="shared" ref="E189:E220" si="18">IF(A189="","",C189-D189)</f>
        <v>0</v>
      </c>
      <c r="F189" s="87">
        <f t="shared" ref="F189:F220" si="19">IF(OR(A189="",C189=0),0,D189/C189)</f>
        <v>0</v>
      </c>
      <c r="G189" t="str">
        <f t="shared" ref="G189:G220" si="20">IF(A189="","",IF(C189=0,IF(D189&gt;0,"Belum Dianggarkan","Belum Diisi"),IF(E189&lt;0,"Melebihi Anggaran",IF(F189&gt;=0.9,"Hampir Habis","Aman"))))</f>
        <v>Belum Diisi</v>
      </c>
    </row>
    <row r="190" spans="1:7">
      <c r="A190" t="str">
        <f>TEXT(DATE(DASHBOARD!$B$4,10,1),"yyyy-mm")</f>
        <v>2026-10</v>
      </c>
      <c r="B190" t="str">
        <f>MASTER!E18</f>
        <v>Pemasaran</v>
      </c>
      <c r="C190" s="84"/>
      <c r="D190" s="84">
        <f>IF(A190="","",IF(B190="Gaji dan Honor",SUMIFS(GAJI!$Q$5:$Q$124,GAJI!$B$5:$B$124,"&gt;="&amp;DATE(LEFT(A190,4),RIGHT(A190,2),1),GAJI!$B$5:$B$124,"&lt;"&amp;DATE(LEFT(A190,4),RIGHT(A190,2)+1,1)),SUMIFS(PENGELUARAN!$K$5:$K$204,PENGELUARAN!$C$5:$C$204,A190,PENGELUARAN!$G$5:$G$204,B190,PENGELUARAN!$L$5:$L$204,"Kantor")))</f>
        <v>0</v>
      </c>
      <c r="E190" s="84">
        <f t="shared" si="18"/>
        <v>0</v>
      </c>
      <c r="F190" s="87">
        <f t="shared" si="19"/>
        <v>0</v>
      </c>
      <c r="G190" t="str">
        <f t="shared" si="20"/>
        <v>Belum Diisi</v>
      </c>
    </row>
    <row r="191" spans="1:7">
      <c r="A191" t="str">
        <f>TEXT(DATE(DASHBOARD!$B$4,10,1),"yyyy-mm")</f>
        <v>2026-10</v>
      </c>
      <c r="B191" t="str">
        <f>MASTER!E19</f>
        <v>Peralatan Kantor</v>
      </c>
      <c r="C191" s="84"/>
      <c r="D191" s="84">
        <f>IF(A191="","",IF(B191="Gaji dan Honor",SUMIFS(GAJI!$Q$5:$Q$124,GAJI!$B$5:$B$124,"&gt;="&amp;DATE(LEFT(A191,4),RIGHT(A191,2),1),GAJI!$B$5:$B$124,"&lt;"&amp;DATE(LEFT(A191,4),RIGHT(A191,2)+1,1)),SUMIFS(PENGELUARAN!$K$5:$K$204,PENGELUARAN!$C$5:$C$204,A191,PENGELUARAN!$G$5:$G$204,B191,PENGELUARAN!$L$5:$L$204,"Kantor")))</f>
        <v>0</v>
      </c>
      <c r="E191" s="84">
        <f t="shared" si="18"/>
        <v>0</v>
      </c>
      <c r="F191" s="87">
        <f t="shared" si="19"/>
        <v>0</v>
      </c>
      <c r="G191" t="str">
        <f t="shared" si="20"/>
        <v>Belum Diisi</v>
      </c>
    </row>
    <row r="192" spans="1:7">
      <c r="A192" t="str">
        <f>TEXT(DATE(DASHBOARD!$B$4,10,1),"yyyy-mm")</f>
        <v>2026-10</v>
      </c>
      <c r="B192" t="str">
        <f>MASTER!E20</f>
        <v>Operasional Kantor</v>
      </c>
      <c r="C192" s="84"/>
      <c r="D192" s="84">
        <f>IF(A192="","",IF(B192="Gaji dan Honor",SUMIFS(GAJI!$Q$5:$Q$124,GAJI!$B$5:$B$124,"&gt;="&amp;DATE(LEFT(A192,4),RIGHT(A192,2),1),GAJI!$B$5:$B$124,"&lt;"&amp;DATE(LEFT(A192,4),RIGHT(A192,2)+1,1)),SUMIFS(PENGELUARAN!$K$5:$K$204,PENGELUARAN!$C$5:$C$204,A192,PENGELUARAN!$G$5:$G$204,B192,PENGELUARAN!$L$5:$L$204,"Kantor")))</f>
        <v>0</v>
      </c>
      <c r="E192" s="84">
        <f t="shared" si="18"/>
        <v>0</v>
      </c>
      <c r="F192" s="87">
        <f t="shared" si="19"/>
        <v>0</v>
      </c>
      <c r="G192" t="str">
        <f t="shared" si="20"/>
        <v>Belum Diisi</v>
      </c>
    </row>
    <row r="193" spans="1:7">
      <c r="A193" t="str">
        <f>TEXT(DATE(DASHBOARD!$B$4,10,1),"yyyy-mm")</f>
        <v>2026-10</v>
      </c>
      <c r="B193" t="str">
        <f>MASTER!E21</f>
        <v>Pajak/BPJS</v>
      </c>
      <c r="C193" s="84"/>
      <c r="D193" s="84">
        <f>IF(A193="","",IF(B193="Gaji dan Honor",SUMIFS(GAJI!$Q$5:$Q$124,GAJI!$B$5:$B$124,"&gt;="&amp;DATE(LEFT(A193,4),RIGHT(A193,2),1),GAJI!$B$5:$B$124,"&lt;"&amp;DATE(LEFT(A193,4),RIGHT(A193,2)+1,1)),SUMIFS(PENGELUARAN!$K$5:$K$204,PENGELUARAN!$C$5:$C$204,A193,PENGELUARAN!$G$5:$G$204,B193,PENGELUARAN!$L$5:$L$204,"Kantor")))</f>
        <v>0</v>
      </c>
      <c r="E193" s="84">
        <f t="shared" si="18"/>
        <v>0</v>
      </c>
      <c r="F193" s="87">
        <f t="shared" si="19"/>
        <v>0</v>
      </c>
      <c r="G193" t="str">
        <f t="shared" si="20"/>
        <v>Belum Diisi</v>
      </c>
    </row>
    <row r="194" spans="1:7">
      <c r="A194" t="str">
        <f>TEXT(DATE(DASHBOARD!$B$4,10,1),"yyyy-mm")</f>
        <v>2026-10</v>
      </c>
      <c r="B194" t="str">
        <f>MASTER!E22</f>
        <v>Lain-lain</v>
      </c>
      <c r="C194" s="84"/>
      <c r="D194" s="84">
        <f>IF(A194="","",IF(B194="Gaji dan Honor",SUMIFS(GAJI!$Q$5:$Q$124,GAJI!$B$5:$B$124,"&gt;="&amp;DATE(LEFT(A194,4),RIGHT(A194,2),1),GAJI!$B$5:$B$124,"&lt;"&amp;DATE(LEFT(A194,4),RIGHT(A194,2)+1,1)),SUMIFS(PENGELUARAN!$K$5:$K$204,PENGELUARAN!$C$5:$C$204,A194,PENGELUARAN!$G$5:$G$204,B194,PENGELUARAN!$L$5:$L$204,"Kantor")))</f>
        <v>0</v>
      </c>
      <c r="E194" s="84">
        <f t="shared" si="18"/>
        <v>0</v>
      </c>
      <c r="F194" s="87">
        <f t="shared" si="19"/>
        <v>0</v>
      </c>
      <c r="G194" t="str">
        <f t="shared" si="20"/>
        <v>Belum Diisi</v>
      </c>
    </row>
    <row r="195" spans="1:7">
      <c r="A195" t="str">
        <f>TEXT(DATE(DASHBOARD!$B$4,11,1),"yyyy-mm")</f>
        <v>2026-11</v>
      </c>
      <c r="B195" t="s">
        <v>616</v>
      </c>
      <c r="C195" s="84"/>
      <c r="D195" s="84">
        <f>IF(A195="","",IF(B195="Gaji dan Honor",SUMIFS(GAJI!$Q$5:$Q$124,GAJI!$B$5:$B$124,"&gt;="&amp;DATE(LEFT(A195,4),RIGHT(A195,2),1),GAJI!$B$5:$B$124,"&lt;"&amp;DATE(LEFT(A195,4),RIGHT(A195,2)+1,1)),SUMIFS(PENGELUARAN!$K$5:$K$204,PENGELUARAN!$C$5:$C$204,A195,PENGELUARAN!$G$5:$G$204,B195,PENGELUARAN!$L$5:$L$204,"Kantor")))</f>
        <v>0</v>
      </c>
      <c r="E195" s="84">
        <f t="shared" si="18"/>
        <v>0</v>
      </c>
      <c r="F195" s="87">
        <f t="shared" si="19"/>
        <v>0</v>
      </c>
      <c r="G195" t="str">
        <f t="shared" si="20"/>
        <v>Belum Diisi</v>
      </c>
    </row>
    <row r="196" spans="1:7">
      <c r="A196" t="str">
        <f>TEXT(DATE(DASHBOARD!$B$4,11,1),"yyyy-mm")</f>
        <v>2026-11</v>
      </c>
      <c r="B196" t="str">
        <f>MASTER!E5</f>
        <v>Transportasi</v>
      </c>
      <c r="C196" s="84"/>
      <c r="D196" s="84">
        <f>IF(A196="","",IF(B196="Gaji dan Honor",SUMIFS(GAJI!$Q$5:$Q$124,GAJI!$B$5:$B$124,"&gt;="&amp;DATE(LEFT(A196,4),RIGHT(A196,2),1),GAJI!$B$5:$B$124,"&lt;"&amp;DATE(LEFT(A196,4),RIGHT(A196,2)+1,1)),SUMIFS(PENGELUARAN!$K$5:$K$204,PENGELUARAN!$C$5:$C$204,A196,PENGELUARAN!$G$5:$G$204,B196,PENGELUARAN!$L$5:$L$204,"Kantor")))</f>
        <v>0</v>
      </c>
      <c r="E196" s="84">
        <f t="shared" si="18"/>
        <v>0</v>
      </c>
      <c r="F196" s="87">
        <f t="shared" si="19"/>
        <v>0</v>
      </c>
      <c r="G196" t="str">
        <f t="shared" si="20"/>
        <v>Belum Diisi</v>
      </c>
    </row>
    <row r="197" spans="1:7">
      <c r="A197" t="str">
        <f>TEXT(DATE(DASHBOARD!$B$4,11,1),"yyyy-mm")</f>
        <v>2026-11</v>
      </c>
      <c r="B197" t="str">
        <f>MASTER!E6</f>
        <v>Akomodasi</v>
      </c>
      <c r="C197" s="84"/>
      <c r="D197" s="84">
        <f>IF(A197="","",IF(B197="Gaji dan Honor",SUMIFS(GAJI!$Q$5:$Q$124,GAJI!$B$5:$B$124,"&gt;="&amp;DATE(LEFT(A197,4),RIGHT(A197,2),1),GAJI!$B$5:$B$124,"&lt;"&amp;DATE(LEFT(A197,4),RIGHT(A197,2)+1,1)),SUMIFS(PENGELUARAN!$K$5:$K$204,PENGELUARAN!$C$5:$C$204,A197,PENGELUARAN!$G$5:$G$204,B197,PENGELUARAN!$L$5:$L$204,"Kantor")))</f>
        <v>0</v>
      </c>
      <c r="E197" s="84">
        <f t="shared" si="18"/>
        <v>0</v>
      </c>
      <c r="F197" s="87">
        <f t="shared" si="19"/>
        <v>0</v>
      </c>
      <c r="G197" t="str">
        <f t="shared" si="20"/>
        <v>Belum Diisi</v>
      </c>
    </row>
    <row r="198" spans="1:7">
      <c r="A198" t="str">
        <f>TEXT(DATE(DASHBOARD!$B$4,11,1),"yyyy-mm")</f>
        <v>2026-11</v>
      </c>
      <c r="B198" t="str">
        <f>MASTER!E7</f>
        <v>Konsumsi</v>
      </c>
      <c r="C198" s="84"/>
      <c r="D198" s="84">
        <f>IF(A198="","",IF(B198="Gaji dan Honor",SUMIFS(GAJI!$Q$5:$Q$124,GAJI!$B$5:$B$124,"&gt;="&amp;DATE(LEFT(A198,4),RIGHT(A198,2),1),GAJI!$B$5:$B$124,"&lt;"&amp;DATE(LEFT(A198,4),RIGHT(A198,2)+1,1)),SUMIFS(PENGELUARAN!$K$5:$K$204,PENGELUARAN!$C$5:$C$204,A198,PENGELUARAN!$G$5:$G$204,B198,PENGELUARAN!$L$5:$L$204,"Kantor")))</f>
        <v>0</v>
      </c>
      <c r="E198" s="84">
        <f t="shared" si="18"/>
        <v>0</v>
      </c>
      <c r="F198" s="87">
        <f t="shared" si="19"/>
        <v>0</v>
      </c>
      <c r="G198" t="str">
        <f t="shared" si="20"/>
        <v>Belum Diisi</v>
      </c>
    </row>
    <row r="199" spans="1:7">
      <c r="A199" t="str">
        <f>TEXT(DATE(DASHBOARD!$B$4,11,1),"yyyy-mm")</f>
        <v>2026-11</v>
      </c>
      <c r="B199" t="str">
        <f>MASTER!E8</f>
        <v>Persidangan</v>
      </c>
      <c r="C199" s="84"/>
      <c r="D199" s="84">
        <f>IF(A199="","",IF(B199="Gaji dan Honor",SUMIFS(GAJI!$Q$5:$Q$124,GAJI!$B$5:$B$124,"&gt;="&amp;DATE(LEFT(A199,4),RIGHT(A199,2),1),GAJI!$B$5:$B$124,"&lt;"&amp;DATE(LEFT(A199,4),RIGHT(A199,2)+1,1)),SUMIFS(PENGELUARAN!$K$5:$K$204,PENGELUARAN!$C$5:$C$204,A199,PENGELUARAN!$G$5:$G$204,B199,PENGELUARAN!$L$5:$L$204,"Kantor")))</f>
        <v>0</v>
      </c>
      <c r="E199" s="84">
        <f t="shared" si="18"/>
        <v>0</v>
      </c>
      <c r="F199" s="87">
        <f t="shared" si="19"/>
        <v>0</v>
      </c>
      <c r="G199" t="str">
        <f t="shared" si="20"/>
        <v>Belum Diisi</v>
      </c>
    </row>
    <row r="200" spans="1:7">
      <c r="A200" t="str">
        <f>TEXT(DATE(DASHBOARD!$B$4,11,1),"yyyy-mm")</f>
        <v>2026-11</v>
      </c>
      <c r="B200" t="str">
        <f>MASTER!E9</f>
        <v>Notaris</v>
      </c>
      <c r="C200" s="84"/>
      <c r="D200" s="84">
        <f>IF(A200="","",IF(B200="Gaji dan Honor",SUMIFS(GAJI!$Q$5:$Q$124,GAJI!$B$5:$B$124,"&gt;="&amp;DATE(LEFT(A200,4),RIGHT(A200,2),1),GAJI!$B$5:$B$124,"&lt;"&amp;DATE(LEFT(A200,4),RIGHT(A200,2)+1,1)),SUMIFS(PENGELUARAN!$K$5:$K$204,PENGELUARAN!$C$5:$C$204,A200,PENGELUARAN!$G$5:$G$204,B200,PENGELUARAN!$L$5:$L$204,"Kantor")))</f>
        <v>0</v>
      </c>
      <c r="E200" s="84">
        <f t="shared" si="18"/>
        <v>0</v>
      </c>
      <c r="F200" s="87">
        <f t="shared" si="19"/>
        <v>0</v>
      </c>
      <c r="G200" t="str">
        <f t="shared" si="20"/>
        <v>Belum Diisi</v>
      </c>
    </row>
    <row r="201" spans="1:7">
      <c r="A201" t="str">
        <f>TEXT(DATE(DASHBOARD!$B$4,11,1),"yyyy-mm")</f>
        <v>2026-11</v>
      </c>
      <c r="B201" t="str">
        <f>MASTER!E10</f>
        <v>KAP/Auditor</v>
      </c>
      <c r="C201" s="84"/>
      <c r="D201" s="84">
        <f>IF(A201="","",IF(B201="Gaji dan Honor",SUMIFS(GAJI!$Q$5:$Q$124,GAJI!$B$5:$B$124,"&gt;="&amp;DATE(LEFT(A201,4),RIGHT(A201,2),1),GAJI!$B$5:$B$124,"&lt;"&amp;DATE(LEFT(A201,4),RIGHT(A201,2)+1,1)),SUMIFS(PENGELUARAN!$K$5:$K$204,PENGELUARAN!$C$5:$C$204,A201,PENGELUARAN!$G$5:$G$204,B201,PENGELUARAN!$L$5:$L$204,"Kantor")))</f>
        <v>0</v>
      </c>
      <c r="E201" s="84">
        <f t="shared" si="18"/>
        <v>0</v>
      </c>
      <c r="F201" s="87">
        <f t="shared" si="19"/>
        <v>0</v>
      </c>
      <c r="G201" t="str">
        <f t="shared" si="20"/>
        <v>Belum Diisi</v>
      </c>
    </row>
    <row r="202" spans="1:7">
      <c r="A202" t="str">
        <f>TEXT(DATE(DASHBOARD!$B$4,11,1),"yyyy-mm")</f>
        <v>2026-11</v>
      </c>
      <c r="B202" t="str">
        <f>MASTER!E11</f>
        <v>Administrasi Instansi</v>
      </c>
      <c r="C202" s="84"/>
      <c r="D202" s="84">
        <f>IF(A202="","",IF(B202="Gaji dan Honor",SUMIFS(GAJI!$Q$5:$Q$124,GAJI!$B$5:$B$124,"&gt;="&amp;DATE(LEFT(A202,4),RIGHT(A202,2),1),GAJI!$B$5:$B$124,"&lt;"&amp;DATE(LEFT(A202,4),RIGHT(A202,2)+1,1)),SUMIFS(PENGELUARAN!$K$5:$K$204,PENGELUARAN!$C$5:$C$204,A202,PENGELUARAN!$G$5:$G$204,B202,PENGELUARAN!$L$5:$L$204,"Kantor")))</f>
        <v>0</v>
      </c>
      <c r="E202" s="84">
        <f t="shared" si="18"/>
        <v>0</v>
      </c>
      <c r="F202" s="87">
        <f t="shared" si="19"/>
        <v>0</v>
      </c>
      <c r="G202" t="str">
        <f t="shared" si="20"/>
        <v>Belum Diisi</v>
      </c>
    </row>
    <row r="203" spans="1:7">
      <c r="A203" t="str">
        <f>TEXT(DATE(DASHBOARD!$B$4,11,1),"yyyy-mm")</f>
        <v>2026-11</v>
      </c>
      <c r="B203" t="str">
        <f>MASTER!E12</f>
        <v>Kurir</v>
      </c>
      <c r="C203" s="84"/>
      <c r="D203" s="84">
        <f>IF(A203="","",IF(B203="Gaji dan Honor",SUMIFS(GAJI!$Q$5:$Q$124,GAJI!$B$5:$B$124,"&gt;="&amp;DATE(LEFT(A203,4),RIGHT(A203,2),1),GAJI!$B$5:$B$124,"&lt;"&amp;DATE(LEFT(A203,4),RIGHT(A203,2)+1,1)),SUMIFS(PENGELUARAN!$K$5:$K$204,PENGELUARAN!$C$5:$C$204,A203,PENGELUARAN!$G$5:$G$204,B203,PENGELUARAN!$L$5:$L$204,"Kantor")))</f>
        <v>0</v>
      </c>
      <c r="E203" s="84">
        <f t="shared" si="18"/>
        <v>0</v>
      </c>
      <c r="F203" s="87">
        <f t="shared" si="19"/>
        <v>0</v>
      </c>
      <c r="G203" t="str">
        <f t="shared" si="20"/>
        <v>Belum Diisi</v>
      </c>
    </row>
    <row r="204" spans="1:7">
      <c r="A204" t="str">
        <f>TEXT(DATE(DASHBOARD!$B$4,11,1),"yyyy-mm")</f>
        <v>2026-11</v>
      </c>
      <c r="B204" t="str">
        <f>MASTER!E13</f>
        <v>ATK</v>
      </c>
      <c r="C204" s="84"/>
      <c r="D204" s="84">
        <f>IF(A204="","",IF(B204="Gaji dan Honor",SUMIFS(GAJI!$Q$5:$Q$124,GAJI!$B$5:$B$124,"&gt;="&amp;DATE(LEFT(A204,4),RIGHT(A204,2),1),GAJI!$B$5:$B$124,"&lt;"&amp;DATE(LEFT(A204,4),RIGHT(A204,2)+1,1)),SUMIFS(PENGELUARAN!$K$5:$K$204,PENGELUARAN!$C$5:$C$204,A204,PENGELUARAN!$G$5:$G$204,B204,PENGELUARAN!$L$5:$L$204,"Kantor")))</f>
        <v>0</v>
      </c>
      <c r="E204" s="84">
        <f t="shared" si="18"/>
        <v>0</v>
      </c>
      <c r="F204" s="87">
        <f t="shared" si="19"/>
        <v>0</v>
      </c>
      <c r="G204" t="str">
        <f t="shared" si="20"/>
        <v>Belum Diisi</v>
      </c>
    </row>
    <row r="205" spans="1:7">
      <c r="A205" t="str">
        <f>TEXT(DATE(DASHBOARD!$B$4,11,1),"yyyy-mm")</f>
        <v>2026-11</v>
      </c>
      <c r="B205" t="str">
        <f>MASTER!E14</f>
        <v>Parkir/Tol</v>
      </c>
      <c r="C205" s="84"/>
      <c r="D205" s="84">
        <f>IF(A205="","",IF(B205="Gaji dan Honor",SUMIFS(GAJI!$Q$5:$Q$124,GAJI!$B$5:$B$124,"&gt;="&amp;DATE(LEFT(A205,4),RIGHT(A205,2),1),GAJI!$B$5:$B$124,"&lt;"&amp;DATE(LEFT(A205,4),RIGHT(A205,2)+1,1)),SUMIFS(PENGELUARAN!$K$5:$K$204,PENGELUARAN!$C$5:$C$204,A205,PENGELUARAN!$G$5:$G$204,B205,PENGELUARAN!$L$5:$L$204,"Kantor")))</f>
        <v>0</v>
      </c>
      <c r="E205" s="84">
        <f t="shared" si="18"/>
        <v>0</v>
      </c>
      <c r="F205" s="87">
        <f t="shared" si="19"/>
        <v>0</v>
      </c>
      <c r="G205" t="str">
        <f t="shared" si="20"/>
        <v>Belum Diisi</v>
      </c>
    </row>
    <row r="206" spans="1:7">
      <c r="A206" t="str">
        <f>TEXT(DATE(DASHBOARD!$B$4,11,1),"yyyy-mm")</f>
        <v>2026-11</v>
      </c>
      <c r="B206" t="str">
        <f>MASTER!E15</f>
        <v>Sewa Kantor</v>
      </c>
      <c r="C206" s="84"/>
      <c r="D206" s="84">
        <f>IF(A206="","",IF(B206="Gaji dan Honor",SUMIFS(GAJI!$Q$5:$Q$124,GAJI!$B$5:$B$124,"&gt;="&amp;DATE(LEFT(A206,4),RIGHT(A206,2),1),GAJI!$B$5:$B$124,"&lt;"&amp;DATE(LEFT(A206,4),RIGHT(A206,2)+1,1)),SUMIFS(PENGELUARAN!$K$5:$K$204,PENGELUARAN!$C$5:$C$204,A206,PENGELUARAN!$G$5:$G$204,B206,PENGELUARAN!$L$5:$L$204,"Kantor")))</f>
        <v>0</v>
      </c>
      <c r="E206" s="84">
        <f t="shared" si="18"/>
        <v>0</v>
      </c>
      <c r="F206" s="87">
        <f t="shared" si="19"/>
        <v>0</v>
      </c>
      <c r="G206" t="str">
        <f t="shared" si="20"/>
        <v>Belum Diisi</v>
      </c>
    </row>
    <row r="207" spans="1:7">
      <c r="A207" t="str">
        <f>TEXT(DATE(DASHBOARD!$B$4,11,1),"yyyy-mm")</f>
        <v>2026-11</v>
      </c>
      <c r="B207" t="str">
        <f>MASTER!E16</f>
        <v>Internet/Telepon</v>
      </c>
      <c r="C207" s="84"/>
      <c r="D207" s="84">
        <f>IF(A207="","",IF(B207="Gaji dan Honor",SUMIFS(GAJI!$Q$5:$Q$124,GAJI!$B$5:$B$124,"&gt;="&amp;DATE(LEFT(A207,4),RIGHT(A207,2),1),GAJI!$B$5:$B$124,"&lt;"&amp;DATE(LEFT(A207,4),RIGHT(A207,2)+1,1)),SUMIFS(PENGELUARAN!$K$5:$K$204,PENGELUARAN!$C$5:$C$204,A207,PENGELUARAN!$G$5:$G$204,B207,PENGELUARAN!$L$5:$L$204,"Kantor")))</f>
        <v>0</v>
      </c>
      <c r="E207" s="84">
        <f t="shared" si="18"/>
        <v>0</v>
      </c>
      <c r="F207" s="87">
        <f t="shared" si="19"/>
        <v>0</v>
      </c>
      <c r="G207" t="str">
        <f t="shared" si="20"/>
        <v>Belum Diisi</v>
      </c>
    </row>
    <row r="208" spans="1:7">
      <c r="A208" t="str">
        <f>TEXT(DATE(DASHBOARD!$B$4,11,1),"yyyy-mm")</f>
        <v>2026-11</v>
      </c>
      <c r="B208" t="str">
        <f>MASTER!E17</f>
        <v>Software/Langganan</v>
      </c>
      <c r="C208" s="84"/>
      <c r="D208" s="84">
        <f>IF(A208="","",IF(B208="Gaji dan Honor",SUMIFS(GAJI!$Q$5:$Q$124,GAJI!$B$5:$B$124,"&gt;="&amp;DATE(LEFT(A208,4),RIGHT(A208,2),1),GAJI!$B$5:$B$124,"&lt;"&amp;DATE(LEFT(A208,4),RIGHT(A208,2)+1,1)),SUMIFS(PENGELUARAN!$K$5:$K$204,PENGELUARAN!$C$5:$C$204,A208,PENGELUARAN!$G$5:$G$204,B208,PENGELUARAN!$L$5:$L$204,"Kantor")))</f>
        <v>0</v>
      </c>
      <c r="E208" s="84">
        <f t="shared" si="18"/>
        <v>0</v>
      </c>
      <c r="F208" s="87">
        <f t="shared" si="19"/>
        <v>0</v>
      </c>
      <c r="G208" t="str">
        <f t="shared" si="20"/>
        <v>Belum Diisi</v>
      </c>
    </row>
    <row r="209" spans="1:7">
      <c r="A209" t="str">
        <f>TEXT(DATE(DASHBOARD!$B$4,11,1),"yyyy-mm")</f>
        <v>2026-11</v>
      </c>
      <c r="B209" t="str">
        <f>MASTER!E18</f>
        <v>Pemasaran</v>
      </c>
      <c r="C209" s="84"/>
      <c r="D209" s="84">
        <f>IF(A209="","",IF(B209="Gaji dan Honor",SUMIFS(GAJI!$Q$5:$Q$124,GAJI!$B$5:$B$124,"&gt;="&amp;DATE(LEFT(A209,4),RIGHT(A209,2),1),GAJI!$B$5:$B$124,"&lt;"&amp;DATE(LEFT(A209,4),RIGHT(A209,2)+1,1)),SUMIFS(PENGELUARAN!$K$5:$K$204,PENGELUARAN!$C$5:$C$204,A209,PENGELUARAN!$G$5:$G$204,B209,PENGELUARAN!$L$5:$L$204,"Kantor")))</f>
        <v>0</v>
      </c>
      <c r="E209" s="84">
        <f t="shared" si="18"/>
        <v>0</v>
      </c>
      <c r="F209" s="87">
        <f t="shared" si="19"/>
        <v>0</v>
      </c>
      <c r="G209" t="str">
        <f t="shared" si="20"/>
        <v>Belum Diisi</v>
      </c>
    </row>
    <row r="210" spans="1:7">
      <c r="A210" t="str">
        <f>TEXT(DATE(DASHBOARD!$B$4,11,1),"yyyy-mm")</f>
        <v>2026-11</v>
      </c>
      <c r="B210" t="str">
        <f>MASTER!E19</f>
        <v>Peralatan Kantor</v>
      </c>
      <c r="C210" s="84"/>
      <c r="D210" s="84">
        <f>IF(A210="","",IF(B210="Gaji dan Honor",SUMIFS(GAJI!$Q$5:$Q$124,GAJI!$B$5:$B$124,"&gt;="&amp;DATE(LEFT(A210,4),RIGHT(A210,2),1),GAJI!$B$5:$B$124,"&lt;"&amp;DATE(LEFT(A210,4),RIGHT(A210,2)+1,1)),SUMIFS(PENGELUARAN!$K$5:$K$204,PENGELUARAN!$C$5:$C$204,A210,PENGELUARAN!$G$5:$G$204,B210,PENGELUARAN!$L$5:$L$204,"Kantor")))</f>
        <v>0</v>
      </c>
      <c r="E210" s="84">
        <f t="shared" si="18"/>
        <v>0</v>
      </c>
      <c r="F210" s="87">
        <f t="shared" si="19"/>
        <v>0</v>
      </c>
      <c r="G210" t="str">
        <f t="shared" si="20"/>
        <v>Belum Diisi</v>
      </c>
    </row>
    <row r="211" spans="1:7">
      <c r="A211" t="str">
        <f>TEXT(DATE(DASHBOARD!$B$4,11,1),"yyyy-mm")</f>
        <v>2026-11</v>
      </c>
      <c r="B211" t="str">
        <f>MASTER!E20</f>
        <v>Operasional Kantor</v>
      </c>
      <c r="C211" s="84"/>
      <c r="D211" s="84">
        <f>IF(A211="","",IF(B211="Gaji dan Honor",SUMIFS(GAJI!$Q$5:$Q$124,GAJI!$B$5:$B$124,"&gt;="&amp;DATE(LEFT(A211,4),RIGHT(A211,2),1),GAJI!$B$5:$B$124,"&lt;"&amp;DATE(LEFT(A211,4),RIGHT(A211,2)+1,1)),SUMIFS(PENGELUARAN!$K$5:$K$204,PENGELUARAN!$C$5:$C$204,A211,PENGELUARAN!$G$5:$G$204,B211,PENGELUARAN!$L$5:$L$204,"Kantor")))</f>
        <v>0</v>
      </c>
      <c r="E211" s="84">
        <f t="shared" si="18"/>
        <v>0</v>
      </c>
      <c r="F211" s="87">
        <f t="shared" si="19"/>
        <v>0</v>
      </c>
      <c r="G211" t="str">
        <f t="shared" si="20"/>
        <v>Belum Diisi</v>
      </c>
    </row>
    <row r="212" spans="1:7">
      <c r="A212" t="str">
        <f>TEXT(DATE(DASHBOARD!$B$4,11,1),"yyyy-mm")</f>
        <v>2026-11</v>
      </c>
      <c r="B212" t="str">
        <f>MASTER!E21</f>
        <v>Pajak/BPJS</v>
      </c>
      <c r="C212" s="84"/>
      <c r="D212" s="84">
        <f>IF(A212="","",IF(B212="Gaji dan Honor",SUMIFS(GAJI!$Q$5:$Q$124,GAJI!$B$5:$B$124,"&gt;="&amp;DATE(LEFT(A212,4),RIGHT(A212,2),1),GAJI!$B$5:$B$124,"&lt;"&amp;DATE(LEFT(A212,4),RIGHT(A212,2)+1,1)),SUMIFS(PENGELUARAN!$K$5:$K$204,PENGELUARAN!$C$5:$C$204,A212,PENGELUARAN!$G$5:$G$204,B212,PENGELUARAN!$L$5:$L$204,"Kantor")))</f>
        <v>0</v>
      </c>
      <c r="E212" s="84">
        <f t="shared" si="18"/>
        <v>0</v>
      </c>
      <c r="F212" s="87">
        <f t="shared" si="19"/>
        <v>0</v>
      </c>
      <c r="G212" t="str">
        <f t="shared" si="20"/>
        <v>Belum Diisi</v>
      </c>
    </row>
    <row r="213" spans="1:7">
      <c r="A213" t="str">
        <f>TEXT(DATE(DASHBOARD!$B$4,11,1),"yyyy-mm")</f>
        <v>2026-11</v>
      </c>
      <c r="B213" t="str">
        <f>MASTER!E22</f>
        <v>Lain-lain</v>
      </c>
      <c r="C213" s="84"/>
      <c r="D213" s="84">
        <f>IF(A213="","",IF(B213="Gaji dan Honor",SUMIFS(GAJI!$Q$5:$Q$124,GAJI!$B$5:$B$124,"&gt;="&amp;DATE(LEFT(A213,4),RIGHT(A213,2),1),GAJI!$B$5:$B$124,"&lt;"&amp;DATE(LEFT(A213,4),RIGHT(A213,2)+1,1)),SUMIFS(PENGELUARAN!$K$5:$K$204,PENGELUARAN!$C$5:$C$204,A213,PENGELUARAN!$G$5:$G$204,B213,PENGELUARAN!$L$5:$L$204,"Kantor")))</f>
        <v>0</v>
      </c>
      <c r="E213" s="84">
        <f t="shared" si="18"/>
        <v>0</v>
      </c>
      <c r="F213" s="87">
        <f t="shared" si="19"/>
        <v>0</v>
      </c>
      <c r="G213" t="str">
        <f t="shared" si="20"/>
        <v>Belum Diisi</v>
      </c>
    </row>
    <row r="214" spans="1:7">
      <c r="A214" t="str">
        <f>TEXT(DATE(DASHBOARD!$B$4,12,1),"yyyy-mm")</f>
        <v>2026-12</v>
      </c>
      <c r="B214" t="s">
        <v>616</v>
      </c>
      <c r="C214" s="84"/>
      <c r="D214" s="84">
        <f>IF(A214="","",IF(B214="Gaji dan Honor",SUMIFS(GAJI!$Q$5:$Q$124,GAJI!$B$5:$B$124,"&gt;="&amp;DATE(LEFT(A214,4),RIGHT(A214,2),1),GAJI!$B$5:$B$124,"&lt;"&amp;DATE(LEFT(A214,4),RIGHT(A214,2)+1,1)),SUMIFS(PENGELUARAN!$K$5:$K$204,PENGELUARAN!$C$5:$C$204,A214,PENGELUARAN!$G$5:$G$204,B214,PENGELUARAN!$L$5:$L$204,"Kantor")))</f>
        <v>0</v>
      </c>
      <c r="E214" s="84">
        <f t="shared" si="18"/>
        <v>0</v>
      </c>
      <c r="F214" s="87">
        <f t="shared" si="19"/>
        <v>0</v>
      </c>
      <c r="G214" t="str">
        <f t="shared" si="20"/>
        <v>Belum Diisi</v>
      </c>
    </row>
    <row r="215" spans="1:7">
      <c r="A215" t="str">
        <f>TEXT(DATE(DASHBOARD!$B$4,12,1),"yyyy-mm")</f>
        <v>2026-12</v>
      </c>
      <c r="B215" t="str">
        <f>MASTER!E5</f>
        <v>Transportasi</v>
      </c>
      <c r="C215" s="84"/>
      <c r="D215" s="84">
        <f>IF(A215="","",IF(B215="Gaji dan Honor",SUMIFS(GAJI!$Q$5:$Q$124,GAJI!$B$5:$B$124,"&gt;="&amp;DATE(LEFT(A215,4),RIGHT(A215,2),1),GAJI!$B$5:$B$124,"&lt;"&amp;DATE(LEFT(A215,4),RIGHT(A215,2)+1,1)),SUMIFS(PENGELUARAN!$K$5:$K$204,PENGELUARAN!$C$5:$C$204,A215,PENGELUARAN!$G$5:$G$204,B215,PENGELUARAN!$L$5:$L$204,"Kantor")))</f>
        <v>0</v>
      </c>
      <c r="E215" s="84">
        <f t="shared" si="18"/>
        <v>0</v>
      </c>
      <c r="F215" s="87">
        <f t="shared" si="19"/>
        <v>0</v>
      </c>
      <c r="G215" t="str">
        <f t="shared" si="20"/>
        <v>Belum Diisi</v>
      </c>
    </row>
    <row r="216" spans="1:7">
      <c r="A216" t="str">
        <f>TEXT(DATE(DASHBOARD!$B$4,12,1),"yyyy-mm")</f>
        <v>2026-12</v>
      </c>
      <c r="B216" t="str">
        <f>MASTER!E6</f>
        <v>Akomodasi</v>
      </c>
      <c r="C216" s="84"/>
      <c r="D216" s="84">
        <f>IF(A216="","",IF(B216="Gaji dan Honor",SUMIFS(GAJI!$Q$5:$Q$124,GAJI!$B$5:$B$124,"&gt;="&amp;DATE(LEFT(A216,4),RIGHT(A216,2),1),GAJI!$B$5:$B$124,"&lt;"&amp;DATE(LEFT(A216,4),RIGHT(A216,2)+1,1)),SUMIFS(PENGELUARAN!$K$5:$K$204,PENGELUARAN!$C$5:$C$204,A216,PENGELUARAN!$G$5:$G$204,B216,PENGELUARAN!$L$5:$L$204,"Kantor")))</f>
        <v>0</v>
      </c>
      <c r="E216" s="84">
        <f t="shared" si="18"/>
        <v>0</v>
      </c>
      <c r="F216" s="87">
        <f t="shared" si="19"/>
        <v>0</v>
      </c>
      <c r="G216" t="str">
        <f t="shared" si="20"/>
        <v>Belum Diisi</v>
      </c>
    </row>
    <row r="217" spans="1:7">
      <c r="A217" t="str">
        <f>TEXT(DATE(DASHBOARD!$B$4,12,1),"yyyy-mm")</f>
        <v>2026-12</v>
      </c>
      <c r="B217" t="str">
        <f>MASTER!E7</f>
        <v>Konsumsi</v>
      </c>
      <c r="C217" s="84"/>
      <c r="D217" s="84">
        <f>IF(A217="","",IF(B217="Gaji dan Honor",SUMIFS(GAJI!$Q$5:$Q$124,GAJI!$B$5:$B$124,"&gt;="&amp;DATE(LEFT(A217,4),RIGHT(A217,2),1),GAJI!$B$5:$B$124,"&lt;"&amp;DATE(LEFT(A217,4),RIGHT(A217,2)+1,1)),SUMIFS(PENGELUARAN!$K$5:$K$204,PENGELUARAN!$C$5:$C$204,A217,PENGELUARAN!$G$5:$G$204,B217,PENGELUARAN!$L$5:$L$204,"Kantor")))</f>
        <v>0</v>
      </c>
      <c r="E217" s="84">
        <f t="shared" si="18"/>
        <v>0</v>
      </c>
      <c r="F217" s="87">
        <f t="shared" si="19"/>
        <v>0</v>
      </c>
      <c r="G217" t="str">
        <f t="shared" si="20"/>
        <v>Belum Diisi</v>
      </c>
    </row>
    <row r="218" spans="1:7">
      <c r="A218" t="str">
        <f>TEXT(DATE(DASHBOARD!$B$4,12,1),"yyyy-mm")</f>
        <v>2026-12</v>
      </c>
      <c r="B218" t="str">
        <f>MASTER!E8</f>
        <v>Persidangan</v>
      </c>
      <c r="C218" s="84"/>
      <c r="D218" s="84">
        <f>IF(A218="","",IF(B218="Gaji dan Honor",SUMIFS(GAJI!$Q$5:$Q$124,GAJI!$B$5:$B$124,"&gt;="&amp;DATE(LEFT(A218,4),RIGHT(A218,2),1),GAJI!$B$5:$B$124,"&lt;"&amp;DATE(LEFT(A218,4),RIGHT(A218,2)+1,1)),SUMIFS(PENGELUARAN!$K$5:$K$204,PENGELUARAN!$C$5:$C$204,A218,PENGELUARAN!$G$5:$G$204,B218,PENGELUARAN!$L$5:$L$204,"Kantor")))</f>
        <v>0</v>
      </c>
      <c r="E218" s="84">
        <f t="shared" si="18"/>
        <v>0</v>
      </c>
      <c r="F218" s="87">
        <f t="shared" si="19"/>
        <v>0</v>
      </c>
      <c r="G218" t="str">
        <f t="shared" si="20"/>
        <v>Belum Diisi</v>
      </c>
    </row>
    <row r="219" spans="1:7">
      <c r="A219" t="str">
        <f>TEXT(DATE(DASHBOARD!$B$4,12,1),"yyyy-mm")</f>
        <v>2026-12</v>
      </c>
      <c r="B219" t="str">
        <f>MASTER!E9</f>
        <v>Notaris</v>
      </c>
      <c r="C219" s="84"/>
      <c r="D219" s="84">
        <f>IF(A219="","",IF(B219="Gaji dan Honor",SUMIFS(GAJI!$Q$5:$Q$124,GAJI!$B$5:$B$124,"&gt;="&amp;DATE(LEFT(A219,4),RIGHT(A219,2),1),GAJI!$B$5:$B$124,"&lt;"&amp;DATE(LEFT(A219,4),RIGHT(A219,2)+1,1)),SUMIFS(PENGELUARAN!$K$5:$K$204,PENGELUARAN!$C$5:$C$204,A219,PENGELUARAN!$G$5:$G$204,B219,PENGELUARAN!$L$5:$L$204,"Kantor")))</f>
        <v>0</v>
      </c>
      <c r="E219" s="84">
        <f t="shared" si="18"/>
        <v>0</v>
      </c>
      <c r="F219" s="87">
        <f t="shared" si="19"/>
        <v>0</v>
      </c>
      <c r="G219" t="str">
        <f t="shared" si="20"/>
        <v>Belum Diisi</v>
      </c>
    </row>
    <row r="220" spans="1:7">
      <c r="A220" t="str">
        <f>TEXT(DATE(DASHBOARD!$B$4,12,1),"yyyy-mm")</f>
        <v>2026-12</v>
      </c>
      <c r="B220" t="str">
        <f>MASTER!E10</f>
        <v>KAP/Auditor</v>
      </c>
      <c r="C220" s="84"/>
      <c r="D220" s="84">
        <f>IF(A220="","",IF(B220="Gaji dan Honor",SUMIFS(GAJI!$Q$5:$Q$124,GAJI!$B$5:$B$124,"&gt;="&amp;DATE(LEFT(A220,4),RIGHT(A220,2),1),GAJI!$B$5:$B$124,"&lt;"&amp;DATE(LEFT(A220,4),RIGHT(A220,2)+1,1)),SUMIFS(PENGELUARAN!$K$5:$K$204,PENGELUARAN!$C$5:$C$204,A220,PENGELUARAN!$G$5:$G$204,B220,PENGELUARAN!$L$5:$L$204,"Kantor")))</f>
        <v>0</v>
      </c>
      <c r="E220" s="84">
        <f t="shared" si="18"/>
        <v>0</v>
      </c>
      <c r="F220" s="87">
        <f t="shared" si="19"/>
        <v>0</v>
      </c>
      <c r="G220" t="str">
        <f t="shared" si="20"/>
        <v>Belum Diisi</v>
      </c>
    </row>
    <row r="221" spans="1:7">
      <c r="A221" t="str">
        <f>TEXT(DATE(DASHBOARD!$B$4,12,1),"yyyy-mm")</f>
        <v>2026-12</v>
      </c>
      <c r="B221" t="str">
        <f>MASTER!E11</f>
        <v>Administrasi Instansi</v>
      </c>
      <c r="C221" s="84"/>
      <c r="D221" s="84">
        <f>IF(A221="","",IF(B221="Gaji dan Honor",SUMIFS(GAJI!$Q$5:$Q$124,GAJI!$B$5:$B$124,"&gt;="&amp;DATE(LEFT(A221,4),RIGHT(A221,2),1),GAJI!$B$5:$B$124,"&lt;"&amp;DATE(LEFT(A221,4),RIGHT(A221,2)+1,1)),SUMIFS(PENGELUARAN!$K$5:$K$204,PENGELUARAN!$C$5:$C$204,A221,PENGELUARAN!$G$5:$G$204,B221,PENGELUARAN!$L$5:$L$204,"Kantor")))</f>
        <v>0</v>
      </c>
      <c r="E221" s="84">
        <f t="shared" ref="E221:E232" si="21">IF(A221="","",C221-D221)</f>
        <v>0</v>
      </c>
      <c r="F221" s="87">
        <f t="shared" ref="F221:F232" si="22">IF(OR(A221="",C221=0),0,D221/C221)</f>
        <v>0</v>
      </c>
      <c r="G221" t="str">
        <f t="shared" ref="G221:G232" si="23">IF(A221="","",IF(C221=0,IF(D221&gt;0,"Belum Dianggarkan","Belum Diisi"),IF(E221&lt;0,"Melebihi Anggaran",IF(F221&gt;=0.9,"Hampir Habis","Aman"))))</f>
        <v>Belum Diisi</v>
      </c>
    </row>
    <row r="222" spans="1:7">
      <c r="A222" t="str">
        <f>TEXT(DATE(DASHBOARD!$B$4,12,1),"yyyy-mm")</f>
        <v>2026-12</v>
      </c>
      <c r="B222" t="str">
        <f>MASTER!E12</f>
        <v>Kurir</v>
      </c>
      <c r="C222" s="84"/>
      <c r="D222" s="84">
        <f>IF(A222="","",IF(B222="Gaji dan Honor",SUMIFS(GAJI!$Q$5:$Q$124,GAJI!$B$5:$B$124,"&gt;="&amp;DATE(LEFT(A222,4),RIGHT(A222,2),1),GAJI!$B$5:$B$124,"&lt;"&amp;DATE(LEFT(A222,4),RIGHT(A222,2)+1,1)),SUMIFS(PENGELUARAN!$K$5:$K$204,PENGELUARAN!$C$5:$C$204,A222,PENGELUARAN!$G$5:$G$204,B222,PENGELUARAN!$L$5:$L$204,"Kantor")))</f>
        <v>0</v>
      </c>
      <c r="E222" s="84">
        <f t="shared" si="21"/>
        <v>0</v>
      </c>
      <c r="F222" s="87">
        <f t="shared" si="22"/>
        <v>0</v>
      </c>
      <c r="G222" t="str">
        <f t="shared" si="23"/>
        <v>Belum Diisi</v>
      </c>
    </row>
    <row r="223" spans="1:7">
      <c r="A223" t="str">
        <f>TEXT(DATE(DASHBOARD!$B$4,12,1),"yyyy-mm")</f>
        <v>2026-12</v>
      </c>
      <c r="B223" t="str">
        <f>MASTER!E13</f>
        <v>ATK</v>
      </c>
      <c r="C223" s="84"/>
      <c r="D223" s="84">
        <f>IF(A223="","",IF(B223="Gaji dan Honor",SUMIFS(GAJI!$Q$5:$Q$124,GAJI!$B$5:$B$124,"&gt;="&amp;DATE(LEFT(A223,4),RIGHT(A223,2),1),GAJI!$B$5:$B$124,"&lt;"&amp;DATE(LEFT(A223,4),RIGHT(A223,2)+1,1)),SUMIFS(PENGELUARAN!$K$5:$K$204,PENGELUARAN!$C$5:$C$204,A223,PENGELUARAN!$G$5:$G$204,B223,PENGELUARAN!$L$5:$L$204,"Kantor")))</f>
        <v>0</v>
      </c>
      <c r="E223" s="84">
        <f t="shared" si="21"/>
        <v>0</v>
      </c>
      <c r="F223" s="87">
        <f t="shared" si="22"/>
        <v>0</v>
      </c>
      <c r="G223" t="str">
        <f t="shared" si="23"/>
        <v>Belum Diisi</v>
      </c>
    </row>
    <row r="224" spans="1:7">
      <c r="A224" t="str">
        <f>TEXT(DATE(DASHBOARD!$B$4,12,1),"yyyy-mm")</f>
        <v>2026-12</v>
      </c>
      <c r="B224" t="str">
        <f>MASTER!E14</f>
        <v>Parkir/Tol</v>
      </c>
      <c r="C224" s="84"/>
      <c r="D224" s="84">
        <f>IF(A224="","",IF(B224="Gaji dan Honor",SUMIFS(GAJI!$Q$5:$Q$124,GAJI!$B$5:$B$124,"&gt;="&amp;DATE(LEFT(A224,4),RIGHT(A224,2),1),GAJI!$B$5:$B$124,"&lt;"&amp;DATE(LEFT(A224,4),RIGHT(A224,2)+1,1)),SUMIFS(PENGELUARAN!$K$5:$K$204,PENGELUARAN!$C$5:$C$204,A224,PENGELUARAN!$G$5:$G$204,B224,PENGELUARAN!$L$5:$L$204,"Kantor")))</f>
        <v>0</v>
      </c>
      <c r="E224" s="84">
        <f t="shared" si="21"/>
        <v>0</v>
      </c>
      <c r="F224" s="87">
        <f t="shared" si="22"/>
        <v>0</v>
      </c>
      <c r="G224" t="str">
        <f t="shared" si="23"/>
        <v>Belum Diisi</v>
      </c>
    </row>
    <row r="225" spans="1:7">
      <c r="A225" t="str">
        <f>TEXT(DATE(DASHBOARD!$B$4,12,1),"yyyy-mm")</f>
        <v>2026-12</v>
      </c>
      <c r="B225" t="str">
        <f>MASTER!E15</f>
        <v>Sewa Kantor</v>
      </c>
      <c r="C225" s="84"/>
      <c r="D225" s="84">
        <f>IF(A225="","",IF(B225="Gaji dan Honor",SUMIFS(GAJI!$Q$5:$Q$124,GAJI!$B$5:$B$124,"&gt;="&amp;DATE(LEFT(A225,4),RIGHT(A225,2),1),GAJI!$B$5:$B$124,"&lt;"&amp;DATE(LEFT(A225,4),RIGHT(A225,2)+1,1)),SUMIFS(PENGELUARAN!$K$5:$K$204,PENGELUARAN!$C$5:$C$204,A225,PENGELUARAN!$G$5:$G$204,B225,PENGELUARAN!$L$5:$L$204,"Kantor")))</f>
        <v>0</v>
      </c>
      <c r="E225" s="84">
        <f t="shared" si="21"/>
        <v>0</v>
      </c>
      <c r="F225" s="87">
        <f t="shared" si="22"/>
        <v>0</v>
      </c>
      <c r="G225" t="str">
        <f t="shared" si="23"/>
        <v>Belum Diisi</v>
      </c>
    </row>
    <row r="226" spans="1:7">
      <c r="A226" t="str">
        <f>TEXT(DATE(DASHBOARD!$B$4,12,1),"yyyy-mm")</f>
        <v>2026-12</v>
      </c>
      <c r="B226" t="str">
        <f>MASTER!E16</f>
        <v>Internet/Telepon</v>
      </c>
      <c r="C226" s="84"/>
      <c r="D226" s="84">
        <f>IF(A226="","",IF(B226="Gaji dan Honor",SUMIFS(GAJI!$Q$5:$Q$124,GAJI!$B$5:$B$124,"&gt;="&amp;DATE(LEFT(A226,4),RIGHT(A226,2),1),GAJI!$B$5:$B$124,"&lt;"&amp;DATE(LEFT(A226,4),RIGHT(A226,2)+1,1)),SUMIFS(PENGELUARAN!$K$5:$K$204,PENGELUARAN!$C$5:$C$204,A226,PENGELUARAN!$G$5:$G$204,B226,PENGELUARAN!$L$5:$L$204,"Kantor")))</f>
        <v>0</v>
      </c>
      <c r="E226" s="84">
        <f t="shared" si="21"/>
        <v>0</v>
      </c>
      <c r="F226" s="87">
        <f t="shared" si="22"/>
        <v>0</v>
      </c>
      <c r="G226" t="str">
        <f t="shared" si="23"/>
        <v>Belum Diisi</v>
      </c>
    </row>
    <row r="227" spans="1:7">
      <c r="A227" t="str">
        <f>TEXT(DATE(DASHBOARD!$B$4,12,1),"yyyy-mm")</f>
        <v>2026-12</v>
      </c>
      <c r="B227" t="str">
        <f>MASTER!E17</f>
        <v>Software/Langganan</v>
      </c>
      <c r="C227" s="84"/>
      <c r="D227" s="84">
        <f>IF(A227="","",IF(B227="Gaji dan Honor",SUMIFS(GAJI!$Q$5:$Q$124,GAJI!$B$5:$B$124,"&gt;="&amp;DATE(LEFT(A227,4),RIGHT(A227,2),1),GAJI!$B$5:$B$124,"&lt;"&amp;DATE(LEFT(A227,4),RIGHT(A227,2)+1,1)),SUMIFS(PENGELUARAN!$K$5:$K$204,PENGELUARAN!$C$5:$C$204,A227,PENGELUARAN!$G$5:$G$204,B227,PENGELUARAN!$L$5:$L$204,"Kantor")))</f>
        <v>0</v>
      </c>
      <c r="E227" s="84">
        <f t="shared" si="21"/>
        <v>0</v>
      </c>
      <c r="F227" s="87">
        <f t="shared" si="22"/>
        <v>0</v>
      </c>
      <c r="G227" t="str">
        <f t="shared" si="23"/>
        <v>Belum Diisi</v>
      </c>
    </row>
    <row r="228" spans="1:7">
      <c r="A228" t="str">
        <f>TEXT(DATE(DASHBOARD!$B$4,12,1),"yyyy-mm")</f>
        <v>2026-12</v>
      </c>
      <c r="B228" t="str">
        <f>MASTER!E18</f>
        <v>Pemasaran</v>
      </c>
      <c r="C228" s="84"/>
      <c r="D228" s="84">
        <f>IF(A228="","",IF(B228="Gaji dan Honor",SUMIFS(GAJI!$Q$5:$Q$124,GAJI!$B$5:$B$124,"&gt;="&amp;DATE(LEFT(A228,4),RIGHT(A228,2),1),GAJI!$B$5:$B$124,"&lt;"&amp;DATE(LEFT(A228,4),RIGHT(A228,2)+1,1)),SUMIFS(PENGELUARAN!$K$5:$K$204,PENGELUARAN!$C$5:$C$204,A228,PENGELUARAN!$G$5:$G$204,B228,PENGELUARAN!$L$5:$L$204,"Kantor")))</f>
        <v>0</v>
      </c>
      <c r="E228" s="84">
        <f t="shared" si="21"/>
        <v>0</v>
      </c>
      <c r="F228" s="87">
        <f t="shared" si="22"/>
        <v>0</v>
      </c>
      <c r="G228" t="str">
        <f t="shared" si="23"/>
        <v>Belum Diisi</v>
      </c>
    </row>
    <row r="229" spans="1:7">
      <c r="A229" t="str">
        <f>TEXT(DATE(DASHBOARD!$B$4,12,1),"yyyy-mm")</f>
        <v>2026-12</v>
      </c>
      <c r="B229" t="str">
        <f>MASTER!E19</f>
        <v>Peralatan Kantor</v>
      </c>
      <c r="C229" s="84"/>
      <c r="D229" s="84">
        <f>IF(A229="","",IF(B229="Gaji dan Honor",SUMIFS(GAJI!$Q$5:$Q$124,GAJI!$B$5:$B$124,"&gt;="&amp;DATE(LEFT(A229,4),RIGHT(A229,2),1),GAJI!$B$5:$B$124,"&lt;"&amp;DATE(LEFT(A229,4),RIGHT(A229,2)+1,1)),SUMIFS(PENGELUARAN!$K$5:$K$204,PENGELUARAN!$C$5:$C$204,A229,PENGELUARAN!$G$5:$G$204,B229,PENGELUARAN!$L$5:$L$204,"Kantor")))</f>
        <v>0</v>
      </c>
      <c r="E229" s="84">
        <f t="shared" si="21"/>
        <v>0</v>
      </c>
      <c r="F229" s="87">
        <f t="shared" si="22"/>
        <v>0</v>
      </c>
      <c r="G229" t="str">
        <f t="shared" si="23"/>
        <v>Belum Diisi</v>
      </c>
    </row>
    <row r="230" spans="1:7">
      <c r="A230" t="str">
        <f>TEXT(DATE(DASHBOARD!$B$4,12,1),"yyyy-mm")</f>
        <v>2026-12</v>
      </c>
      <c r="B230" t="str">
        <f>MASTER!E20</f>
        <v>Operasional Kantor</v>
      </c>
      <c r="C230" s="84"/>
      <c r="D230" s="84">
        <f>IF(A230="","",IF(B230="Gaji dan Honor",SUMIFS(GAJI!$Q$5:$Q$124,GAJI!$B$5:$B$124,"&gt;="&amp;DATE(LEFT(A230,4),RIGHT(A230,2),1),GAJI!$B$5:$B$124,"&lt;"&amp;DATE(LEFT(A230,4),RIGHT(A230,2)+1,1)),SUMIFS(PENGELUARAN!$K$5:$K$204,PENGELUARAN!$C$5:$C$204,A230,PENGELUARAN!$G$5:$G$204,B230,PENGELUARAN!$L$5:$L$204,"Kantor")))</f>
        <v>0</v>
      </c>
      <c r="E230" s="84">
        <f t="shared" si="21"/>
        <v>0</v>
      </c>
      <c r="F230" s="87">
        <f t="shared" si="22"/>
        <v>0</v>
      </c>
      <c r="G230" t="str">
        <f t="shared" si="23"/>
        <v>Belum Diisi</v>
      </c>
    </row>
    <row r="231" spans="1:7">
      <c r="A231" t="str">
        <f>TEXT(DATE(DASHBOARD!$B$4,12,1),"yyyy-mm")</f>
        <v>2026-12</v>
      </c>
      <c r="B231" t="str">
        <f>MASTER!E21</f>
        <v>Pajak/BPJS</v>
      </c>
      <c r="C231" s="84"/>
      <c r="D231" s="84">
        <f>IF(A231="","",IF(B231="Gaji dan Honor",SUMIFS(GAJI!$Q$5:$Q$124,GAJI!$B$5:$B$124,"&gt;="&amp;DATE(LEFT(A231,4),RIGHT(A231,2),1),GAJI!$B$5:$B$124,"&lt;"&amp;DATE(LEFT(A231,4),RIGHT(A231,2)+1,1)),SUMIFS(PENGELUARAN!$K$5:$K$204,PENGELUARAN!$C$5:$C$204,A231,PENGELUARAN!$G$5:$G$204,B231,PENGELUARAN!$L$5:$L$204,"Kantor")))</f>
        <v>0</v>
      </c>
      <c r="E231" s="84">
        <f t="shared" si="21"/>
        <v>0</v>
      </c>
      <c r="F231" s="87">
        <f t="shared" si="22"/>
        <v>0</v>
      </c>
      <c r="G231" t="str">
        <f t="shared" si="23"/>
        <v>Belum Diisi</v>
      </c>
    </row>
    <row r="232" spans="1:7">
      <c r="A232" t="str">
        <f>TEXT(DATE(DASHBOARD!$B$4,12,1),"yyyy-mm")</f>
        <v>2026-12</v>
      </c>
      <c r="B232" t="str">
        <f>MASTER!E22</f>
        <v>Lain-lain</v>
      </c>
      <c r="C232" s="84"/>
      <c r="D232" s="84">
        <f>IF(A232="","",IF(B232="Gaji dan Honor",SUMIFS(GAJI!$Q$5:$Q$124,GAJI!$B$5:$B$124,"&gt;="&amp;DATE(LEFT(A232,4),RIGHT(A232,2),1),GAJI!$B$5:$B$124,"&lt;"&amp;DATE(LEFT(A232,4),RIGHT(A232,2)+1,1)),SUMIFS(PENGELUARAN!$K$5:$K$204,PENGELUARAN!$C$5:$C$204,A232,PENGELUARAN!$G$5:$G$204,B232,PENGELUARAN!$L$5:$L$204,"Kantor")))</f>
        <v>0</v>
      </c>
      <c r="E232" s="84">
        <f t="shared" si="21"/>
        <v>0</v>
      </c>
      <c r="F232" s="87">
        <f t="shared" si="22"/>
        <v>0</v>
      </c>
      <c r="G232" t="str">
        <f t="shared" si="23"/>
        <v>Belum Diisi</v>
      </c>
    </row>
  </sheetData>
  <mergeCells count="2">
    <mergeCell ref="A3:J3"/>
    <mergeCell ref="A1:J2"/>
  </mergeCells>
  <conditionalFormatting sqref="G5:G124">
    <cfRule type="containsText" dxfId="6" priority="1" operator="containsText" text="Lunas"/>
    <cfRule type="containsText" dxfId="5" priority="5" operator="containsText" text="Jatuh Tempo"/>
    <cfRule type="containsText" dxfId="4"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C00-000000000000}">
          <x14:formula1>
            <xm:f>MASTER!$A$5:$A$7</xm:f>
          </x14:formula1>
          <xm:sqref>H5:H232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56"/>
  <sheetViews>
    <sheetView showGridLines="0" workbookViewId="0">
      <selection sqref="A1:N2"/>
    </sheetView>
  </sheetViews>
  <sheetFormatPr defaultRowHeight="13.8"/>
  <cols>
    <col min="1" max="1" width="31" customWidth="1"/>
    <col min="2" max="13" width="17" customWidth="1"/>
    <col min="14" max="14" width="21" customWidth="1"/>
  </cols>
  <sheetData>
    <row r="1" spans="1:14" ht="25.05" customHeight="1">
      <c r="A1" s="237" t="s">
        <v>276</v>
      </c>
      <c r="B1" s="237" t="s">
        <v>276</v>
      </c>
      <c r="C1" s="237" t="s">
        <v>276</v>
      </c>
      <c r="D1" s="237" t="s">
        <v>276</v>
      </c>
      <c r="E1" s="237" t="s">
        <v>276</v>
      </c>
      <c r="F1" s="237" t="s">
        <v>276</v>
      </c>
      <c r="G1" s="237" t="s">
        <v>276</v>
      </c>
      <c r="H1" s="237" t="s">
        <v>276</v>
      </c>
      <c r="I1" s="237" t="s">
        <v>276</v>
      </c>
      <c r="J1" s="237" t="s">
        <v>276</v>
      </c>
      <c r="K1" s="237" t="s">
        <v>276</v>
      </c>
      <c r="L1" s="237" t="s">
        <v>276</v>
      </c>
      <c r="M1" s="237" t="s">
        <v>276</v>
      </c>
      <c r="N1" s="237" t="s">
        <v>276</v>
      </c>
    </row>
    <row r="2" spans="1:14" ht="25.05" customHeight="1">
      <c r="A2" s="237" t="s">
        <v>276</v>
      </c>
      <c r="B2" s="237" t="s">
        <v>276</v>
      </c>
      <c r="C2" s="237" t="s">
        <v>276</v>
      </c>
      <c r="D2" s="237" t="s">
        <v>276</v>
      </c>
      <c r="E2" s="237" t="s">
        <v>276</v>
      </c>
      <c r="F2" s="237" t="s">
        <v>276</v>
      </c>
      <c r="G2" s="237" t="s">
        <v>276</v>
      </c>
      <c r="H2" s="237" t="s">
        <v>276</v>
      </c>
      <c r="I2" s="237" t="s">
        <v>276</v>
      </c>
      <c r="J2" s="237" t="s">
        <v>276</v>
      </c>
      <c r="K2" s="237" t="s">
        <v>276</v>
      </c>
      <c r="L2" s="237" t="s">
        <v>276</v>
      </c>
      <c r="M2" s="237" t="s">
        <v>276</v>
      </c>
      <c r="N2" s="237" t="s">
        <v>276</v>
      </c>
    </row>
    <row r="3" spans="1:14" ht="22.95" customHeight="1">
      <c r="A3" s="236" t="s">
        <v>277</v>
      </c>
      <c r="B3" s="236" t="s">
        <v>277</v>
      </c>
      <c r="C3" s="236" t="s">
        <v>277</v>
      </c>
      <c r="D3" s="236" t="s">
        <v>277</v>
      </c>
      <c r="E3" s="236" t="s">
        <v>277</v>
      </c>
      <c r="F3" s="236" t="s">
        <v>277</v>
      </c>
      <c r="G3" s="236" t="s">
        <v>277</v>
      </c>
      <c r="H3" s="236" t="s">
        <v>277</v>
      </c>
      <c r="I3" s="236" t="s">
        <v>277</v>
      </c>
      <c r="J3" s="236" t="s">
        <v>277</v>
      </c>
      <c r="K3" s="236" t="s">
        <v>277</v>
      </c>
      <c r="L3" s="236" t="s">
        <v>277</v>
      </c>
      <c r="M3" s="236" t="s">
        <v>277</v>
      </c>
      <c r="N3" s="236" t="s">
        <v>277</v>
      </c>
    </row>
    <row r="5" spans="1:14" ht="37.049999999999997" customHeight="1">
      <c r="A5" s="7" t="s">
        <v>230</v>
      </c>
      <c r="B5" s="7" t="s">
        <v>231</v>
      </c>
      <c r="C5" s="7" t="s">
        <v>232</v>
      </c>
      <c r="D5" s="7" t="s">
        <v>233</v>
      </c>
      <c r="E5" s="7" t="s">
        <v>234</v>
      </c>
      <c r="F5" s="7" t="s">
        <v>235</v>
      </c>
      <c r="G5" s="7" t="s">
        <v>236</v>
      </c>
      <c r="H5" s="7" t="s">
        <v>237</v>
      </c>
      <c r="I5" s="7" t="s">
        <v>238</v>
      </c>
      <c r="J5" s="7" t="s">
        <v>239</v>
      </c>
      <c r="K5" s="7" t="s">
        <v>240</v>
      </c>
      <c r="L5" s="7" t="s">
        <v>241</v>
      </c>
      <c r="M5" s="7" t="s">
        <v>242</v>
      </c>
      <c r="N5" s="7" t="s">
        <v>278</v>
      </c>
    </row>
    <row r="7" spans="1:14">
      <c r="A7" s="18" t="s">
        <v>279</v>
      </c>
      <c r="B7" s="88">
        <v>0</v>
      </c>
      <c r="C7" s="88"/>
      <c r="D7" s="88"/>
      <c r="E7" s="88"/>
      <c r="F7" s="88"/>
      <c r="G7" s="88"/>
      <c r="H7" s="88"/>
      <c r="I7" s="88"/>
      <c r="J7" s="88"/>
      <c r="K7" s="88"/>
      <c r="L7" s="88"/>
      <c r="M7" s="88"/>
      <c r="N7" s="88">
        <f t="shared" ref="N7:N12" si="0">SUM(B7:M7)</f>
        <v>0</v>
      </c>
    </row>
    <row r="8" spans="1:14">
      <c r="A8" t="s">
        <v>280</v>
      </c>
      <c r="B8" s="84">
        <f ca="1">IF(1&gt;MASTER!$AF$15,"",SUM(SUMIFS(PEMASUKAN!$H$5:$H$204,PEMASUKAN!$C$5:$C$204,TEXT(DATE(DASHBOARD!$B$4,1,1),"yyyy-mm"),PEMASUKAN!$F$5:$F$204,"Honorarium",PEMASUKAN!$M$5:$M$204,"Pendapatan Operasional")))</f>
        <v>0</v>
      </c>
      <c r="C8" s="84">
        <f ca="1">IF(2&gt;MASTER!$AF$15,"",SUM(SUMIFS(PEMASUKAN!$H$5:$H$204,PEMASUKAN!$C$5:$C$204,TEXT(DATE(DASHBOARD!$B$4,2,1),"yyyy-mm"),PEMASUKAN!$F$5:$F$204,"Honorarium",PEMASUKAN!$M$5:$M$204,"Pendapatan Operasional")))</f>
        <v>0</v>
      </c>
      <c r="D8" s="84">
        <f ca="1">IF(3&gt;MASTER!$AF$15,"",SUM(SUMIFS(PEMASUKAN!$H$5:$H$204,PEMASUKAN!$C$5:$C$204,TEXT(DATE(DASHBOARD!$B$4,3,1),"yyyy-mm"),PEMASUKAN!$F$5:$F$204,"Honorarium",PEMASUKAN!$M$5:$M$204,"Pendapatan Operasional")))</f>
        <v>0</v>
      </c>
      <c r="E8" s="84">
        <f ca="1">IF(4&gt;MASTER!$AF$15,"",SUM(SUMIFS(PEMASUKAN!$H$5:$H$204,PEMASUKAN!$C$5:$C$204,TEXT(DATE(DASHBOARD!$B$4,4,1),"yyyy-mm"),PEMASUKAN!$F$5:$F$204,"Honorarium",PEMASUKAN!$M$5:$M$204,"Pendapatan Operasional")))</f>
        <v>0</v>
      </c>
      <c r="F8" s="84">
        <f ca="1">IF(5&gt;MASTER!$AF$15,"",SUM(SUMIFS(PEMASUKAN!$H$5:$H$204,PEMASUKAN!$C$5:$C$204,TEXT(DATE(DASHBOARD!$B$4,5,1),"yyyy-mm"),PEMASUKAN!$F$5:$F$204,"Honorarium",PEMASUKAN!$M$5:$M$204,"Pendapatan Operasional")))</f>
        <v>0</v>
      </c>
      <c r="G8" s="84">
        <f ca="1">IF(6&gt;MASTER!$AF$15,"",SUM(SUMIFS(PEMASUKAN!$H$5:$H$204,PEMASUKAN!$C$5:$C$204,TEXT(DATE(DASHBOARD!$B$4,6,1),"yyyy-mm"),PEMASUKAN!$F$5:$F$204,"Honorarium",PEMASUKAN!$M$5:$M$204,"Pendapatan Operasional")))</f>
        <v>0</v>
      </c>
      <c r="H8" s="84">
        <f ca="1">IF(7&gt;MASTER!$AF$15,"",SUM(SUMIFS(PEMASUKAN!$H$5:$H$204,PEMASUKAN!$C$5:$C$204,TEXT(DATE(DASHBOARD!$B$4,7,1),"yyyy-mm"),PEMASUKAN!$F$5:$F$204,"Honorarium",PEMASUKAN!$M$5:$M$204,"Pendapatan Operasional")))</f>
        <v>16000000</v>
      </c>
      <c r="I8" s="84">
        <f ca="1">IF(8&gt;MASTER!$AF$15,"",SUM(SUMIFS(PEMASUKAN!$H$5:$H$204,PEMASUKAN!$C$5:$C$204,TEXT(DATE(DASHBOARD!$B$4,8,1),"yyyy-mm"),PEMASUKAN!$F$5:$F$204,"Honorarium",PEMASUKAN!$M$5:$M$204,"Pendapatan Operasional")))</f>
        <v>0</v>
      </c>
      <c r="J8" s="84" t="str">
        <f ca="1">IF(9&gt;MASTER!$AF$15,"",SUM(SUMIFS(PEMASUKAN!$H$5:$H$204,PEMASUKAN!$C$5:$C$204,TEXT(DATE(DASHBOARD!$B$4,9,1),"yyyy-mm"),PEMASUKAN!$F$5:$F$204,"Honorarium",PEMASUKAN!$M$5:$M$204,"Pendapatan Operasional")))</f>
        <v/>
      </c>
      <c r="K8" s="84" t="str">
        <f ca="1">IF(10&gt;MASTER!$AF$15,"",SUM(SUMIFS(PEMASUKAN!$H$5:$H$204,PEMASUKAN!$C$5:$C$204,TEXT(DATE(DASHBOARD!$B$4,10,1),"yyyy-mm"),PEMASUKAN!$F$5:$F$204,"Honorarium",PEMASUKAN!$M$5:$M$204,"Pendapatan Operasional")))</f>
        <v/>
      </c>
      <c r="L8" s="84" t="str">
        <f ca="1">IF(11&gt;MASTER!$AF$15,"",SUM(SUMIFS(PEMASUKAN!$H$5:$H$204,PEMASUKAN!$C$5:$C$204,TEXT(DATE(DASHBOARD!$B$4,11,1),"yyyy-mm"),PEMASUKAN!$F$5:$F$204,"Honorarium",PEMASUKAN!$M$5:$M$204,"Pendapatan Operasional")))</f>
        <v/>
      </c>
      <c r="M8" s="84" t="str">
        <f ca="1">IF(12&gt;MASTER!$AF$15,"",SUM(SUMIFS(PEMASUKAN!$H$5:$H$204,PEMASUKAN!$C$5:$C$204,TEXT(DATE(DASHBOARD!$B$4,12,1),"yyyy-mm"),PEMASUKAN!$F$5:$F$204,"Honorarium",PEMASUKAN!$M$5:$M$204,"Pendapatan Operasional")))</f>
        <v/>
      </c>
      <c r="N8" s="84">
        <f t="shared" ca="1" si="0"/>
        <v>16000000</v>
      </c>
    </row>
    <row r="9" spans="1:14">
      <c r="A9" t="s">
        <v>281</v>
      </c>
      <c r="B9" s="84">
        <f ca="1">IF(1&gt;MASTER!$AF$15,"",SUM(SUMIFS(PEMASUKAN!$H$5:$H$204,PEMASUKAN!$C$5:$C$204,TEXT(DATE(DASHBOARD!$B$4,1,1),"yyyy-mm"),PEMASUKAN!$F$5:$F$204,"Retainer",PEMASUKAN!$M$5:$M$204,"Pendapatan Operasional")))</f>
        <v>0</v>
      </c>
      <c r="C9" s="84">
        <f ca="1">IF(2&gt;MASTER!$AF$15,"",SUM(SUMIFS(PEMASUKAN!$H$5:$H$204,PEMASUKAN!$C$5:$C$204,TEXT(DATE(DASHBOARD!$B$4,2,1),"yyyy-mm"),PEMASUKAN!$F$5:$F$204,"Retainer",PEMASUKAN!$M$5:$M$204,"Pendapatan Operasional")))</f>
        <v>0</v>
      </c>
      <c r="D9" s="84">
        <f ca="1">IF(3&gt;MASTER!$AF$15,"",SUM(SUMIFS(PEMASUKAN!$H$5:$H$204,PEMASUKAN!$C$5:$C$204,TEXT(DATE(DASHBOARD!$B$4,3,1),"yyyy-mm"),PEMASUKAN!$F$5:$F$204,"Retainer",PEMASUKAN!$M$5:$M$204,"Pendapatan Operasional")))</f>
        <v>0</v>
      </c>
      <c r="E9" s="84">
        <f ca="1">IF(4&gt;MASTER!$AF$15,"",SUM(SUMIFS(PEMASUKAN!$H$5:$H$204,PEMASUKAN!$C$5:$C$204,TEXT(DATE(DASHBOARD!$B$4,4,1),"yyyy-mm"),PEMASUKAN!$F$5:$F$204,"Retainer",PEMASUKAN!$M$5:$M$204,"Pendapatan Operasional")))</f>
        <v>0</v>
      </c>
      <c r="F9" s="84">
        <f ca="1">IF(5&gt;MASTER!$AF$15,"",SUM(SUMIFS(PEMASUKAN!$H$5:$H$204,PEMASUKAN!$C$5:$C$204,TEXT(DATE(DASHBOARD!$B$4,5,1),"yyyy-mm"),PEMASUKAN!$F$5:$F$204,"Retainer",PEMASUKAN!$M$5:$M$204,"Pendapatan Operasional")))</f>
        <v>0</v>
      </c>
      <c r="G9" s="84">
        <f ca="1">IF(6&gt;MASTER!$AF$15,"",SUM(SUMIFS(PEMASUKAN!$H$5:$H$204,PEMASUKAN!$C$5:$C$204,TEXT(DATE(DASHBOARD!$B$4,6,1),"yyyy-mm"),PEMASUKAN!$F$5:$F$204,"Retainer",PEMASUKAN!$M$5:$M$204,"Pendapatan Operasional")))</f>
        <v>0</v>
      </c>
      <c r="H9" s="84">
        <f ca="1">IF(7&gt;MASTER!$AF$15,"",SUM(SUMIFS(PEMASUKAN!$H$5:$H$204,PEMASUKAN!$C$5:$C$204,TEXT(DATE(DASHBOARD!$B$4,7,1),"yyyy-mm"),PEMASUKAN!$F$5:$F$204,"Retainer",PEMASUKAN!$M$5:$M$204,"Pendapatan Operasional")))</f>
        <v>0</v>
      </c>
      <c r="I9" s="84">
        <f ca="1">IF(8&gt;MASTER!$AF$15,"",SUM(SUMIFS(PEMASUKAN!$H$5:$H$204,PEMASUKAN!$C$5:$C$204,TEXT(DATE(DASHBOARD!$B$4,8,1),"yyyy-mm"),PEMASUKAN!$F$5:$F$204,"Retainer",PEMASUKAN!$M$5:$M$204,"Pendapatan Operasional")))</f>
        <v>0</v>
      </c>
      <c r="J9" s="84" t="str">
        <f ca="1">IF(9&gt;MASTER!$AF$15,"",SUM(SUMIFS(PEMASUKAN!$H$5:$H$204,PEMASUKAN!$C$5:$C$204,TEXT(DATE(DASHBOARD!$B$4,9,1),"yyyy-mm"),PEMASUKAN!$F$5:$F$204,"Retainer",PEMASUKAN!$M$5:$M$204,"Pendapatan Operasional")))</f>
        <v/>
      </c>
      <c r="K9" s="84" t="str">
        <f ca="1">IF(10&gt;MASTER!$AF$15,"",SUM(SUMIFS(PEMASUKAN!$H$5:$H$204,PEMASUKAN!$C$5:$C$204,TEXT(DATE(DASHBOARD!$B$4,10,1),"yyyy-mm"),PEMASUKAN!$F$5:$F$204,"Retainer",PEMASUKAN!$M$5:$M$204,"Pendapatan Operasional")))</f>
        <v/>
      </c>
      <c r="L9" s="84" t="str">
        <f ca="1">IF(11&gt;MASTER!$AF$15,"",SUM(SUMIFS(PEMASUKAN!$H$5:$H$204,PEMASUKAN!$C$5:$C$204,TEXT(DATE(DASHBOARD!$B$4,11,1),"yyyy-mm"),PEMASUKAN!$F$5:$F$204,"Retainer",PEMASUKAN!$M$5:$M$204,"Pendapatan Operasional")))</f>
        <v/>
      </c>
      <c r="M9" s="84" t="str">
        <f ca="1">IF(12&gt;MASTER!$AF$15,"",SUM(SUMIFS(PEMASUKAN!$H$5:$H$204,PEMASUKAN!$C$5:$C$204,TEXT(DATE(DASHBOARD!$B$4,12,1),"yyyy-mm"),PEMASUKAN!$F$5:$F$204,"Retainer",PEMASUKAN!$M$5:$M$204,"Pendapatan Operasional")))</f>
        <v/>
      </c>
      <c r="N9" s="84">
        <f t="shared" ca="1" si="0"/>
        <v>0</v>
      </c>
    </row>
    <row r="10" spans="1:14">
      <c r="A10" t="s">
        <v>282</v>
      </c>
      <c r="B10" s="84">
        <f ca="1">IF(1&gt;MASTER!$AF$15,"",SUM(SUMIFS(PEMASUKAN!$H$5:$H$204,PEMASUKAN!$C$5:$C$204,TEXT(DATE(DASHBOARD!$B$4,1,1),"yyyy-mm"),PEMASUKAN!$F$5:$F$204,"Success Fee",PEMASUKAN!$M$5:$M$204,"Pendapatan Operasional")))</f>
        <v>0</v>
      </c>
      <c r="C10" s="84">
        <f ca="1">IF(2&gt;MASTER!$AF$15,"",SUM(SUMIFS(PEMASUKAN!$H$5:$H$204,PEMASUKAN!$C$5:$C$204,TEXT(DATE(DASHBOARD!$B$4,2,1),"yyyy-mm"),PEMASUKAN!$F$5:$F$204,"Success Fee",PEMASUKAN!$M$5:$M$204,"Pendapatan Operasional")))</f>
        <v>0</v>
      </c>
      <c r="D10" s="84">
        <f ca="1">IF(3&gt;MASTER!$AF$15,"",SUM(SUMIFS(PEMASUKAN!$H$5:$H$204,PEMASUKAN!$C$5:$C$204,TEXT(DATE(DASHBOARD!$B$4,3,1),"yyyy-mm"),PEMASUKAN!$F$5:$F$204,"Success Fee",PEMASUKAN!$M$5:$M$204,"Pendapatan Operasional")))</f>
        <v>0</v>
      </c>
      <c r="E10" s="84">
        <f ca="1">IF(4&gt;MASTER!$AF$15,"",SUM(SUMIFS(PEMASUKAN!$H$5:$H$204,PEMASUKAN!$C$5:$C$204,TEXT(DATE(DASHBOARD!$B$4,4,1),"yyyy-mm"),PEMASUKAN!$F$5:$F$204,"Success Fee",PEMASUKAN!$M$5:$M$204,"Pendapatan Operasional")))</f>
        <v>0</v>
      </c>
      <c r="F10" s="84">
        <f ca="1">IF(5&gt;MASTER!$AF$15,"",SUM(SUMIFS(PEMASUKAN!$H$5:$H$204,PEMASUKAN!$C$5:$C$204,TEXT(DATE(DASHBOARD!$B$4,5,1),"yyyy-mm"),PEMASUKAN!$F$5:$F$204,"Success Fee",PEMASUKAN!$M$5:$M$204,"Pendapatan Operasional")))</f>
        <v>0</v>
      </c>
      <c r="G10" s="84">
        <f ca="1">IF(6&gt;MASTER!$AF$15,"",SUM(SUMIFS(PEMASUKAN!$H$5:$H$204,PEMASUKAN!$C$5:$C$204,TEXT(DATE(DASHBOARD!$B$4,6,1),"yyyy-mm"),PEMASUKAN!$F$5:$F$204,"Success Fee",PEMASUKAN!$M$5:$M$204,"Pendapatan Operasional")))</f>
        <v>0</v>
      </c>
      <c r="H10" s="84">
        <f ca="1">IF(7&gt;MASTER!$AF$15,"",SUM(SUMIFS(PEMASUKAN!$H$5:$H$204,PEMASUKAN!$C$5:$C$204,TEXT(DATE(DASHBOARD!$B$4,7,1),"yyyy-mm"),PEMASUKAN!$F$5:$F$204,"Success Fee",PEMASUKAN!$M$5:$M$204,"Pendapatan Operasional")))</f>
        <v>0</v>
      </c>
      <c r="I10" s="84">
        <f ca="1">IF(8&gt;MASTER!$AF$15,"",SUM(SUMIFS(PEMASUKAN!$H$5:$H$204,PEMASUKAN!$C$5:$C$204,TEXT(DATE(DASHBOARD!$B$4,8,1),"yyyy-mm"),PEMASUKAN!$F$5:$F$204,"Success Fee",PEMASUKAN!$M$5:$M$204,"Pendapatan Operasional")))</f>
        <v>0</v>
      </c>
      <c r="J10" s="84" t="str">
        <f ca="1">IF(9&gt;MASTER!$AF$15,"",SUM(SUMIFS(PEMASUKAN!$H$5:$H$204,PEMASUKAN!$C$5:$C$204,TEXT(DATE(DASHBOARD!$B$4,9,1),"yyyy-mm"),PEMASUKAN!$F$5:$F$204,"Success Fee",PEMASUKAN!$M$5:$M$204,"Pendapatan Operasional")))</f>
        <v/>
      </c>
      <c r="K10" s="84" t="str">
        <f ca="1">IF(10&gt;MASTER!$AF$15,"",SUM(SUMIFS(PEMASUKAN!$H$5:$H$204,PEMASUKAN!$C$5:$C$204,TEXT(DATE(DASHBOARD!$B$4,10,1),"yyyy-mm"),PEMASUKAN!$F$5:$F$204,"Success Fee",PEMASUKAN!$M$5:$M$204,"Pendapatan Operasional")))</f>
        <v/>
      </c>
      <c r="L10" s="84" t="str">
        <f ca="1">IF(11&gt;MASTER!$AF$15,"",SUM(SUMIFS(PEMASUKAN!$H$5:$H$204,PEMASUKAN!$C$5:$C$204,TEXT(DATE(DASHBOARD!$B$4,11,1),"yyyy-mm"),PEMASUKAN!$F$5:$F$204,"Success Fee",PEMASUKAN!$M$5:$M$204,"Pendapatan Operasional")))</f>
        <v/>
      </c>
      <c r="M10" s="84" t="str">
        <f ca="1">IF(12&gt;MASTER!$AF$15,"",SUM(SUMIFS(PEMASUKAN!$H$5:$H$204,PEMASUKAN!$C$5:$C$204,TEXT(DATE(DASHBOARD!$B$4,12,1),"yyyy-mm"),PEMASUKAN!$F$5:$F$204,"Success Fee",PEMASUKAN!$M$5:$M$204,"Pendapatan Operasional")))</f>
        <v/>
      </c>
      <c r="N10" s="84">
        <f t="shared" ca="1" si="0"/>
        <v>0</v>
      </c>
    </row>
    <row r="11" spans="1:14">
      <c r="A11" t="s">
        <v>283</v>
      </c>
      <c r="B11" s="84">
        <f ca="1">IF(1&gt;MASTER!$AF$15,"",SUM(SUMIFS(PEMASUKAN!$H$5:$H$204,PEMASUKAN!$C$5:$C$204,TEXT(DATE(DASHBOARD!$B$4,1,1),"yyyy-mm"),PEMASUKAN!$F$5:$F$204,"Konsultasi",PEMASUKAN!$M$5:$M$204,"Pendapatan Operasional")))</f>
        <v>0</v>
      </c>
      <c r="C11" s="84">
        <f ca="1">IF(2&gt;MASTER!$AF$15,"",SUM(SUMIFS(PEMASUKAN!$H$5:$H$204,PEMASUKAN!$C$5:$C$204,TEXT(DATE(DASHBOARD!$B$4,2,1),"yyyy-mm"),PEMASUKAN!$F$5:$F$204,"Konsultasi",PEMASUKAN!$M$5:$M$204,"Pendapatan Operasional")))</f>
        <v>0</v>
      </c>
      <c r="D11" s="84">
        <f ca="1">IF(3&gt;MASTER!$AF$15,"",SUM(SUMIFS(PEMASUKAN!$H$5:$H$204,PEMASUKAN!$C$5:$C$204,TEXT(DATE(DASHBOARD!$B$4,3,1),"yyyy-mm"),PEMASUKAN!$F$5:$F$204,"Konsultasi",PEMASUKAN!$M$5:$M$204,"Pendapatan Operasional")))</f>
        <v>0</v>
      </c>
      <c r="E11" s="84">
        <f ca="1">IF(4&gt;MASTER!$AF$15,"",SUM(SUMIFS(PEMASUKAN!$H$5:$H$204,PEMASUKAN!$C$5:$C$204,TEXT(DATE(DASHBOARD!$B$4,4,1),"yyyy-mm"),PEMASUKAN!$F$5:$F$204,"Konsultasi",PEMASUKAN!$M$5:$M$204,"Pendapatan Operasional")))</f>
        <v>0</v>
      </c>
      <c r="F11" s="84">
        <f ca="1">IF(5&gt;MASTER!$AF$15,"",SUM(SUMIFS(PEMASUKAN!$H$5:$H$204,PEMASUKAN!$C$5:$C$204,TEXT(DATE(DASHBOARD!$B$4,5,1),"yyyy-mm"),PEMASUKAN!$F$5:$F$204,"Konsultasi",PEMASUKAN!$M$5:$M$204,"Pendapatan Operasional")))</f>
        <v>0</v>
      </c>
      <c r="G11" s="84">
        <f ca="1">IF(6&gt;MASTER!$AF$15,"",SUM(SUMIFS(PEMASUKAN!$H$5:$H$204,PEMASUKAN!$C$5:$C$204,TEXT(DATE(DASHBOARD!$B$4,6,1),"yyyy-mm"),PEMASUKAN!$F$5:$F$204,"Konsultasi",PEMASUKAN!$M$5:$M$204,"Pendapatan Operasional")))</f>
        <v>0</v>
      </c>
      <c r="H11" s="84">
        <f ca="1">IF(7&gt;MASTER!$AF$15,"",SUM(SUMIFS(PEMASUKAN!$H$5:$H$204,PEMASUKAN!$C$5:$C$204,TEXT(DATE(DASHBOARD!$B$4,7,1),"yyyy-mm"),PEMASUKAN!$F$5:$F$204,"Konsultasi",PEMASUKAN!$M$5:$M$204,"Pendapatan Operasional")))</f>
        <v>0</v>
      </c>
      <c r="I11" s="84">
        <f ca="1">IF(8&gt;MASTER!$AF$15,"",SUM(SUMIFS(PEMASUKAN!$H$5:$H$204,PEMASUKAN!$C$5:$C$204,TEXT(DATE(DASHBOARD!$B$4,8,1),"yyyy-mm"),PEMASUKAN!$F$5:$F$204,"Konsultasi",PEMASUKAN!$M$5:$M$204,"Pendapatan Operasional")))</f>
        <v>0</v>
      </c>
      <c r="J11" s="84" t="str">
        <f ca="1">IF(9&gt;MASTER!$AF$15,"",SUM(SUMIFS(PEMASUKAN!$H$5:$H$204,PEMASUKAN!$C$5:$C$204,TEXT(DATE(DASHBOARD!$B$4,9,1),"yyyy-mm"),PEMASUKAN!$F$5:$F$204,"Konsultasi",PEMASUKAN!$M$5:$M$204,"Pendapatan Operasional")))</f>
        <v/>
      </c>
      <c r="K11" s="84" t="str">
        <f ca="1">IF(10&gt;MASTER!$AF$15,"",SUM(SUMIFS(PEMASUKAN!$H$5:$H$204,PEMASUKAN!$C$5:$C$204,TEXT(DATE(DASHBOARD!$B$4,10,1),"yyyy-mm"),PEMASUKAN!$F$5:$F$204,"Konsultasi",PEMASUKAN!$M$5:$M$204,"Pendapatan Operasional")))</f>
        <v/>
      </c>
      <c r="L11" s="84" t="str">
        <f ca="1">IF(11&gt;MASTER!$AF$15,"",SUM(SUMIFS(PEMASUKAN!$H$5:$H$204,PEMASUKAN!$C$5:$C$204,TEXT(DATE(DASHBOARD!$B$4,11,1),"yyyy-mm"),PEMASUKAN!$F$5:$F$204,"Konsultasi",PEMASUKAN!$M$5:$M$204,"Pendapatan Operasional")))</f>
        <v/>
      </c>
      <c r="M11" s="84" t="str">
        <f ca="1">IF(12&gt;MASTER!$AF$15,"",SUM(SUMIFS(PEMASUKAN!$H$5:$H$204,PEMASUKAN!$C$5:$C$204,TEXT(DATE(DASHBOARD!$B$4,12,1),"yyyy-mm"),PEMASUKAN!$F$5:$F$204,"Konsultasi",PEMASUKAN!$M$5:$M$204,"Pendapatan Operasional")))</f>
        <v/>
      </c>
      <c r="N11" s="84">
        <f t="shared" ca="1" si="0"/>
        <v>0</v>
      </c>
    </row>
    <row r="12" spans="1:14">
      <c r="A12" t="s">
        <v>284</v>
      </c>
      <c r="B12" s="84">
        <f ca="1">IF(1&gt;MASTER!$AF$15,"",SUM(SUMIFS(PEMASUKAN!$H$5:$H$204,PEMASUKAN!$C$5:$C$204,TEXT(DATE(DASHBOARD!$B$4,1,1),"yyyy-mm"),PEMASUKAN!$F$5:$F$204,"Pendapatan Lain",PEMASUKAN!$M$5:$M$204,"Pendapatan Operasional")))</f>
        <v>0</v>
      </c>
      <c r="C12" s="84">
        <f ca="1">IF(2&gt;MASTER!$AF$15,"",SUM(SUMIFS(PEMASUKAN!$H$5:$H$204,PEMASUKAN!$C$5:$C$204,TEXT(DATE(DASHBOARD!$B$4,2,1),"yyyy-mm"),PEMASUKAN!$F$5:$F$204,"Pendapatan Lain",PEMASUKAN!$M$5:$M$204,"Pendapatan Operasional")))</f>
        <v>0</v>
      </c>
      <c r="D12" s="84">
        <f ca="1">IF(3&gt;MASTER!$AF$15,"",SUM(SUMIFS(PEMASUKAN!$H$5:$H$204,PEMASUKAN!$C$5:$C$204,TEXT(DATE(DASHBOARD!$B$4,3,1),"yyyy-mm"),PEMASUKAN!$F$5:$F$204,"Pendapatan Lain",PEMASUKAN!$M$5:$M$204,"Pendapatan Operasional")))</f>
        <v>0</v>
      </c>
      <c r="E12" s="84">
        <f ca="1">IF(4&gt;MASTER!$AF$15,"",SUM(SUMIFS(PEMASUKAN!$H$5:$H$204,PEMASUKAN!$C$5:$C$204,TEXT(DATE(DASHBOARD!$B$4,4,1),"yyyy-mm"),PEMASUKAN!$F$5:$F$204,"Pendapatan Lain",PEMASUKAN!$M$5:$M$204,"Pendapatan Operasional")))</f>
        <v>0</v>
      </c>
      <c r="F12" s="84">
        <f ca="1">IF(5&gt;MASTER!$AF$15,"",SUM(SUMIFS(PEMASUKAN!$H$5:$H$204,PEMASUKAN!$C$5:$C$204,TEXT(DATE(DASHBOARD!$B$4,5,1),"yyyy-mm"),PEMASUKAN!$F$5:$F$204,"Pendapatan Lain",PEMASUKAN!$M$5:$M$204,"Pendapatan Operasional")))</f>
        <v>0</v>
      </c>
      <c r="G12" s="84">
        <f ca="1">IF(6&gt;MASTER!$AF$15,"",SUM(SUMIFS(PEMASUKAN!$H$5:$H$204,PEMASUKAN!$C$5:$C$204,TEXT(DATE(DASHBOARD!$B$4,6,1),"yyyy-mm"),PEMASUKAN!$F$5:$F$204,"Pendapatan Lain",PEMASUKAN!$M$5:$M$204,"Pendapatan Operasional")))</f>
        <v>0</v>
      </c>
      <c r="H12" s="84">
        <f ca="1">IF(7&gt;MASTER!$AF$15,"",SUM(SUMIFS(PEMASUKAN!$H$5:$H$204,PEMASUKAN!$C$5:$C$204,TEXT(DATE(DASHBOARD!$B$4,7,1),"yyyy-mm"),PEMASUKAN!$F$5:$F$204,"Pendapatan Lain",PEMASUKAN!$M$5:$M$204,"Pendapatan Operasional")))</f>
        <v>0</v>
      </c>
      <c r="I12" s="84">
        <f ca="1">IF(8&gt;MASTER!$AF$15,"",SUM(SUMIFS(PEMASUKAN!$H$5:$H$204,PEMASUKAN!$C$5:$C$204,TEXT(DATE(DASHBOARD!$B$4,8,1),"yyyy-mm"),PEMASUKAN!$F$5:$F$204,"Pendapatan Lain",PEMASUKAN!$M$5:$M$204,"Pendapatan Operasional")))</f>
        <v>0</v>
      </c>
      <c r="J12" s="84" t="str">
        <f ca="1">IF(9&gt;MASTER!$AF$15,"",SUM(SUMIFS(PEMASUKAN!$H$5:$H$204,PEMASUKAN!$C$5:$C$204,TEXT(DATE(DASHBOARD!$B$4,9,1),"yyyy-mm"),PEMASUKAN!$F$5:$F$204,"Pendapatan Lain",PEMASUKAN!$M$5:$M$204,"Pendapatan Operasional")))</f>
        <v/>
      </c>
      <c r="K12" s="84" t="str">
        <f ca="1">IF(10&gt;MASTER!$AF$15,"",SUM(SUMIFS(PEMASUKAN!$H$5:$H$204,PEMASUKAN!$C$5:$C$204,TEXT(DATE(DASHBOARD!$B$4,10,1),"yyyy-mm"),PEMASUKAN!$F$5:$F$204,"Pendapatan Lain",PEMASUKAN!$M$5:$M$204,"Pendapatan Operasional")))</f>
        <v/>
      </c>
      <c r="L12" s="84" t="str">
        <f ca="1">IF(11&gt;MASTER!$AF$15,"",SUM(SUMIFS(PEMASUKAN!$H$5:$H$204,PEMASUKAN!$C$5:$C$204,TEXT(DATE(DASHBOARD!$B$4,11,1),"yyyy-mm"),PEMASUKAN!$F$5:$F$204,"Pendapatan Lain",PEMASUKAN!$M$5:$M$204,"Pendapatan Operasional")))</f>
        <v/>
      </c>
      <c r="M12" s="84" t="str">
        <f ca="1">IF(12&gt;MASTER!$AF$15,"",SUM(SUMIFS(PEMASUKAN!$H$5:$H$204,PEMASUKAN!$C$5:$C$204,TEXT(DATE(DASHBOARD!$B$4,12,1),"yyyy-mm"),PEMASUKAN!$F$5:$F$204,"Pendapatan Lain",PEMASUKAN!$M$5:$M$204,"Pendapatan Operasional")))</f>
        <v/>
      </c>
      <c r="N12" s="84">
        <f t="shared" ca="1" si="0"/>
        <v>0</v>
      </c>
    </row>
    <row r="13" spans="1:14">
      <c r="B13" s="84"/>
      <c r="C13" s="84"/>
      <c r="D13" s="84"/>
      <c r="E13" s="84"/>
      <c r="F13" s="84"/>
      <c r="G13" s="84"/>
      <c r="H13" s="84"/>
      <c r="I13" s="84"/>
      <c r="J13" s="84"/>
      <c r="K13" s="84"/>
      <c r="L13" s="84"/>
      <c r="M13" s="84"/>
      <c r="N13" s="84"/>
    </row>
    <row r="14" spans="1:14">
      <c r="A14" s="18" t="s">
        <v>285</v>
      </c>
      <c r="B14" s="88">
        <v>0</v>
      </c>
      <c r="C14" s="88"/>
      <c r="D14" s="88"/>
      <c r="E14" s="88"/>
      <c r="F14" s="88"/>
      <c r="G14" s="88"/>
      <c r="H14" s="88"/>
      <c r="I14" s="88"/>
      <c r="J14" s="88"/>
      <c r="K14" s="88"/>
      <c r="L14" s="88"/>
      <c r="M14" s="88"/>
      <c r="N14" s="88">
        <f t="shared" ref="N14:N24" si="1">SUM(B14:M14)</f>
        <v>0</v>
      </c>
    </row>
    <row r="15" spans="1:14">
      <c r="A15" t="s">
        <v>286</v>
      </c>
      <c r="B15" s="84">
        <f ca="1">IF(1&gt;MASTER!$AF$15,"",SUM(SUMIFS(GAJI!$Q$5:$Q$124,GAJI!$B$5:$B$124,"&gt;="&amp;DATE(DASHBOARD!$B$4,1,1),GAJI!$B$5:$B$124,"&lt;"&amp;DATE(DASHBOARD!$B$4,2,1))))</f>
        <v>0</v>
      </c>
      <c r="C15" s="84">
        <f ca="1">IF(2&gt;MASTER!$AF$15,"",SUM(SUMIFS(GAJI!$Q$5:$Q$124,GAJI!$B$5:$B$124,"&gt;="&amp;DATE(DASHBOARD!$B$4,2,1),GAJI!$B$5:$B$124,"&lt;"&amp;DATE(DASHBOARD!$B$4,3,1))))</f>
        <v>0</v>
      </c>
      <c r="D15" s="84">
        <f ca="1">IF(3&gt;MASTER!$AF$15,"",SUM(SUMIFS(GAJI!$Q$5:$Q$124,GAJI!$B$5:$B$124,"&gt;="&amp;DATE(DASHBOARD!$B$4,3,1),GAJI!$B$5:$B$124,"&lt;"&amp;DATE(DASHBOARD!$B$4,4,1))))</f>
        <v>0</v>
      </c>
      <c r="E15" s="84">
        <f ca="1">IF(4&gt;MASTER!$AF$15,"",SUM(SUMIFS(GAJI!$Q$5:$Q$124,GAJI!$B$5:$B$124,"&gt;="&amp;DATE(DASHBOARD!$B$4,4,1),GAJI!$B$5:$B$124,"&lt;"&amp;DATE(DASHBOARD!$B$4,5,1))))</f>
        <v>0</v>
      </c>
      <c r="F15" s="84">
        <f ca="1">IF(5&gt;MASTER!$AF$15,"",SUM(SUMIFS(GAJI!$Q$5:$Q$124,GAJI!$B$5:$B$124,"&gt;="&amp;DATE(DASHBOARD!$B$4,5,1),GAJI!$B$5:$B$124,"&lt;"&amp;DATE(DASHBOARD!$B$4,6,1))))</f>
        <v>0</v>
      </c>
      <c r="G15" s="84">
        <f ca="1">IF(6&gt;MASTER!$AF$15,"",SUM(SUMIFS(GAJI!$Q$5:$Q$124,GAJI!$B$5:$B$124,"&gt;="&amp;DATE(DASHBOARD!$B$4,6,1),GAJI!$B$5:$B$124,"&lt;"&amp;DATE(DASHBOARD!$B$4,7,1))))</f>
        <v>0</v>
      </c>
      <c r="H15" s="84">
        <f ca="1">IF(7&gt;MASTER!$AF$15,"",SUM(SUMIFS(GAJI!$Q$5:$Q$124,GAJI!$B$5:$B$124,"&gt;="&amp;DATE(DASHBOARD!$B$4,7,1),GAJI!$B$5:$B$124,"&lt;"&amp;DATE(DASHBOARD!$B$4,8,1))))</f>
        <v>1000000</v>
      </c>
      <c r="I15" s="84">
        <f ca="1">IF(8&gt;MASTER!$AF$15,"",SUM(SUMIFS(GAJI!$Q$5:$Q$124,GAJI!$B$5:$B$124,"&gt;="&amp;DATE(DASHBOARD!$B$4,8,1),GAJI!$B$5:$B$124,"&lt;"&amp;DATE(DASHBOARD!$B$4,9,1))))</f>
        <v>3000000</v>
      </c>
      <c r="J15" s="84" t="str">
        <f ca="1">IF(9&gt;MASTER!$AF$15,"",SUM(SUMIFS(GAJI!$Q$5:$Q$124,GAJI!$B$5:$B$124,"&gt;="&amp;DATE(DASHBOARD!$B$4,9,1),GAJI!$B$5:$B$124,"&lt;"&amp;DATE(DASHBOARD!$B$4,10,1))))</f>
        <v/>
      </c>
      <c r="K15" s="84" t="str">
        <f ca="1">IF(10&gt;MASTER!$AF$15,"",SUM(SUMIFS(GAJI!$Q$5:$Q$124,GAJI!$B$5:$B$124,"&gt;="&amp;DATE(DASHBOARD!$B$4,10,1),GAJI!$B$5:$B$124,"&lt;"&amp;DATE(DASHBOARD!$B$4,11,1))))</f>
        <v/>
      </c>
      <c r="L15" s="84" t="str">
        <f ca="1">IF(11&gt;MASTER!$AF$15,"",SUM(SUMIFS(GAJI!$Q$5:$Q$124,GAJI!$B$5:$B$124,"&gt;="&amp;DATE(DASHBOARD!$B$4,11,1),GAJI!$B$5:$B$124,"&lt;"&amp;DATE(DASHBOARD!$B$4,12,1))))</f>
        <v/>
      </c>
      <c r="M15" s="84" t="str">
        <f ca="1">IF(12&gt;MASTER!$AF$15,"",SUM(SUMIFS(GAJI!$Q$5:$Q$124,GAJI!$B$5:$B$124,"&gt;="&amp;DATE(DASHBOARD!$B$4,12,1),GAJI!$B$5:$B$124,"&lt;"&amp;DATE(DASHBOARD!$B$4,13,1))))</f>
        <v/>
      </c>
      <c r="N15" s="84">
        <f t="shared" ca="1" si="1"/>
        <v>4000000</v>
      </c>
    </row>
    <row r="16" spans="1:14">
      <c r="A16" t="s">
        <v>287</v>
      </c>
      <c r="B16" s="84">
        <f ca="1">IF(1&gt;MASTER!$AF$15,"",SUM(SUMIFS(PENGELUARAN!$K$5:$K$204,PENGELUARAN!$C$5:$C$204,TEXT(DATE(DASHBOARD!$B$4,1,1),"yyyy-mm"),PENGELUARAN!$G$5:$G$204,"Sewa Kantor",PENGELUARAN!$L$5:$L$204,"Kantor")))</f>
        <v>0</v>
      </c>
      <c r="C16" s="84">
        <f ca="1">IF(2&gt;MASTER!$AF$15,"",SUM(SUMIFS(PENGELUARAN!$K$5:$K$204,PENGELUARAN!$C$5:$C$204,TEXT(DATE(DASHBOARD!$B$4,2,1),"yyyy-mm"),PENGELUARAN!$G$5:$G$204,"Sewa Kantor",PENGELUARAN!$L$5:$L$204,"Kantor")))</f>
        <v>0</v>
      </c>
      <c r="D16" s="84">
        <f ca="1">IF(3&gt;MASTER!$AF$15,"",SUM(SUMIFS(PENGELUARAN!$K$5:$K$204,PENGELUARAN!$C$5:$C$204,TEXT(DATE(DASHBOARD!$B$4,3,1),"yyyy-mm"),PENGELUARAN!$G$5:$G$204,"Sewa Kantor",PENGELUARAN!$L$5:$L$204,"Kantor")))</f>
        <v>0</v>
      </c>
      <c r="E16" s="84">
        <f ca="1">IF(4&gt;MASTER!$AF$15,"",SUM(SUMIFS(PENGELUARAN!$K$5:$K$204,PENGELUARAN!$C$5:$C$204,TEXT(DATE(DASHBOARD!$B$4,4,1),"yyyy-mm"),PENGELUARAN!$G$5:$G$204,"Sewa Kantor",PENGELUARAN!$L$5:$L$204,"Kantor")))</f>
        <v>0</v>
      </c>
      <c r="F16" s="84">
        <f ca="1">IF(5&gt;MASTER!$AF$15,"",SUM(SUMIFS(PENGELUARAN!$K$5:$K$204,PENGELUARAN!$C$5:$C$204,TEXT(DATE(DASHBOARD!$B$4,5,1),"yyyy-mm"),PENGELUARAN!$G$5:$G$204,"Sewa Kantor",PENGELUARAN!$L$5:$L$204,"Kantor")))</f>
        <v>0</v>
      </c>
      <c r="G16" s="84">
        <f ca="1">IF(6&gt;MASTER!$AF$15,"",SUM(SUMIFS(PENGELUARAN!$K$5:$K$204,PENGELUARAN!$C$5:$C$204,TEXT(DATE(DASHBOARD!$B$4,6,1),"yyyy-mm"),PENGELUARAN!$G$5:$G$204,"Sewa Kantor",PENGELUARAN!$L$5:$L$204,"Kantor")))</f>
        <v>0</v>
      </c>
      <c r="H16" s="84">
        <f ca="1">IF(7&gt;MASTER!$AF$15,"",SUM(SUMIFS(PENGELUARAN!$K$5:$K$204,PENGELUARAN!$C$5:$C$204,TEXT(DATE(DASHBOARD!$B$4,7,1),"yyyy-mm"),PENGELUARAN!$G$5:$G$204,"Sewa Kantor",PENGELUARAN!$L$5:$L$204,"Kantor")))</f>
        <v>0</v>
      </c>
      <c r="I16" s="84">
        <f ca="1">IF(8&gt;MASTER!$AF$15,"",SUM(SUMIFS(PENGELUARAN!$K$5:$K$204,PENGELUARAN!$C$5:$C$204,TEXT(DATE(DASHBOARD!$B$4,8,1),"yyyy-mm"),PENGELUARAN!$G$5:$G$204,"Sewa Kantor",PENGELUARAN!$L$5:$L$204,"Kantor")))</f>
        <v>0</v>
      </c>
      <c r="J16" s="84" t="str">
        <f ca="1">IF(9&gt;MASTER!$AF$15,"",SUM(SUMIFS(PENGELUARAN!$K$5:$K$204,PENGELUARAN!$C$5:$C$204,TEXT(DATE(DASHBOARD!$B$4,9,1),"yyyy-mm"),PENGELUARAN!$G$5:$G$204,"Sewa Kantor",PENGELUARAN!$L$5:$L$204,"Kantor")))</f>
        <v/>
      </c>
      <c r="K16" s="84" t="str">
        <f ca="1">IF(10&gt;MASTER!$AF$15,"",SUM(SUMIFS(PENGELUARAN!$K$5:$K$204,PENGELUARAN!$C$5:$C$204,TEXT(DATE(DASHBOARD!$B$4,10,1),"yyyy-mm"),PENGELUARAN!$G$5:$G$204,"Sewa Kantor",PENGELUARAN!$L$5:$L$204,"Kantor")))</f>
        <v/>
      </c>
      <c r="L16" s="84" t="str">
        <f ca="1">IF(11&gt;MASTER!$AF$15,"",SUM(SUMIFS(PENGELUARAN!$K$5:$K$204,PENGELUARAN!$C$5:$C$204,TEXT(DATE(DASHBOARD!$B$4,11,1),"yyyy-mm"),PENGELUARAN!$G$5:$G$204,"Sewa Kantor",PENGELUARAN!$L$5:$L$204,"Kantor")))</f>
        <v/>
      </c>
      <c r="M16" s="84" t="str">
        <f ca="1">IF(12&gt;MASTER!$AF$15,"",SUM(SUMIFS(PENGELUARAN!$K$5:$K$204,PENGELUARAN!$C$5:$C$204,TEXT(DATE(DASHBOARD!$B$4,12,1),"yyyy-mm"),PENGELUARAN!$G$5:$G$204,"Sewa Kantor",PENGELUARAN!$L$5:$L$204,"Kantor")))</f>
        <v/>
      </c>
      <c r="N16" s="84">
        <f t="shared" ca="1" si="1"/>
        <v>0</v>
      </c>
    </row>
    <row r="17" spans="1:14">
      <c r="A17" t="s">
        <v>288</v>
      </c>
      <c r="B17" s="84">
        <f ca="1">IF(1&gt;MASTER!$AF$15,"",SUM(SUMIFS(PENGELUARAN!$K$5:$K$204,PENGELUARAN!$C$5:$C$204,TEXT(DATE(DASHBOARD!$B$4,1,1),"yyyy-mm"),PENGELUARAN!$G$5:$G$204,"Transportasi",PENGELUARAN!$L$5:$L$204,"Kantor")))</f>
        <v>0</v>
      </c>
      <c r="C17" s="84">
        <f ca="1">IF(2&gt;MASTER!$AF$15,"",SUM(SUMIFS(PENGELUARAN!$K$5:$K$204,PENGELUARAN!$C$5:$C$204,TEXT(DATE(DASHBOARD!$B$4,2,1),"yyyy-mm"),PENGELUARAN!$G$5:$G$204,"Transportasi",PENGELUARAN!$L$5:$L$204,"Kantor")))</f>
        <v>0</v>
      </c>
      <c r="D17" s="84">
        <f ca="1">IF(3&gt;MASTER!$AF$15,"",SUM(SUMIFS(PENGELUARAN!$K$5:$K$204,PENGELUARAN!$C$5:$C$204,TEXT(DATE(DASHBOARD!$B$4,3,1),"yyyy-mm"),PENGELUARAN!$G$5:$G$204,"Transportasi",PENGELUARAN!$L$5:$L$204,"Kantor")))</f>
        <v>0</v>
      </c>
      <c r="E17" s="84">
        <f ca="1">IF(4&gt;MASTER!$AF$15,"",SUM(SUMIFS(PENGELUARAN!$K$5:$K$204,PENGELUARAN!$C$5:$C$204,TEXT(DATE(DASHBOARD!$B$4,4,1),"yyyy-mm"),PENGELUARAN!$G$5:$G$204,"Transportasi",PENGELUARAN!$L$5:$L$204,"Kantor")))</f>
        <v>0</v>
      </c>
      <c r="F17" s="84">
        <f ca="1">IF(5&gt;MASTER!$AF$15,"",SUM(SUMIFS(PENGELUARAN!$K$5:$K$204,PENGELUARAN!$C$5:$C$204,TEXT(DATE(DASHBOARD!$B$4,5,1),"yyyy-mm"),PENGELUARAN!$G$5:$G$204,"Transportasi",PENGELUARAN!$L$5:$L$204,"Kantor")))</f>
        <v>0</v>
      </c>
      <c r="G17" s="84">
        <f ca="1">IF(6&gt;MASTER!$AF$15,"",SUM(SUMIFS(PENGELUARAN!$K$5:$K$204,PENGELUARAN!$C$5:$C$204,TEXT(DATE(DASHBOARD!$B$4,6,1),"yyyy-mm"),PENGELUARAN!$G$5:$G$204,"Transportasi",PENGELUARAN!$L$5:$L$204,"Kantor")))</f>
        <v>0</v>
      </c>
      <c r="H17" s="84">
        <f ca="1">IF(7&gt;MASTER!$AF$15,"",SUM(SUMIFS(PENGELUARAN!$K$5:$K$204,PENGELUARAN!$C$5:$C$204,TEXT(DATE(DASHBOARD!$B$4,7,1),"yyyy-mm"),PENGELUARAN!$G$5:$G$204,"Transportasi",PENGELUARAN!$L$5:$L$204,"Kantor")))</f>
        <v>0</v>
      </c>
      <c r="I17" s="84">
        <f ca="1">IF(8&gt;MASTER!$AF$15,"",SUM(SUMIFS(PENGELUARAN!$K$5:$K$204,PENGELUARAN!$C$5:$C$204,TEXT(DATE(DASHBOARD!$B$4,8,1),"yyyy-mm"),PENGELUARAN!$G$5:$G$204,"Transportasi",PENGELUARAN!$L$5:$L$204,"Kantor")))</f>
        <v>650000</v>
      </c>
      <c r="J17" s="84" t="str">
        <f ca="1">IF(9&gt;MASTER!$AF$15,"",SUM(SUMIFS(PENGELUARAN!$K$5:$K$204,PENGELUARAN!$C$5:$C$204,TEXT(DATE(DASHBOARD!$B$4,9,1),"yyyy-mm"),PENGELUARAN!$G$5:$G$204,"Transportasi",PENGELUARAN!$L$5:$L$204,"Kantor")))</f>
        <v/>
      </c>
      <c r="K17" s="84" t="str">
        <f ca="1">IF(10&gt;MASTER!$AF$15,"",SUM(SUMIFS(PENGELUARAN!$K$5:$K$204,PENGELUARAN!$C$5:$C$204,TEXT(DATE(DASHBOARD!$B$4,10,1),"yyyy-mm"),PENGELUARAN!$G$5:$G$204,"Transportasi",PENGELUARAN!$L$5:$L$204,"Kantor")))</f>
        <v/>
      </c>
      <c r="L17" s="84" t="str">
        <f ca="1">IF(11&gt;MASTER!$AF$15,"",SUM(SUMIFS(PENGELUARAN!$K$5:$K$204,PENGELUARAN!$C$5:$C$204,TEXT(DATE(DASHBOARD!$B$4,11,1),"yyyy-mm"),PENGELUARAN!$G$5:$G$204,"Transportasi",PENGELUARAN!$L$5:$L$204,"Kantor")))</f>
        <v/>
      </c>
      <c r="M17" s="84" t="str">
        <f ca="1">IF(12&gt;MASTER!$AF$15,"",SUM(SUMIFS(PENGELUARAN!$K$5:$K$204,PENGELUARAN!$C$5:$C$204,TEXT(DATE(DASHBOARD!$B$4,12,1),"yyyy-mm"),PENGELUARAN!$G$5:$G$204,"Transportasi",PENGELUARAN!$L$5:$L$204,"Kantor")))</f>
        <v/>
      </c>
      <c r="N17" s="84">
        <f t="shared" ca="1" si="1"/>
        <v>650000</v>
      </c>
    </row>
    <row r="18" spans="1:14">
      <c r="A18" t="s">
        <v>289</v>
      </c>
      <c r="B18" s="84">
        <f ca="1">IF(1&gt;MASTER!$AF$15,"",SUM(SUMIFS(PENGELUARAN!$K$5:$K$204,PENGELUARAN!$C$5:$C$204,TEXT(DATE(DASHBOARD!$B$4,1,1),"yyyy-mm"),PENGELUARAN!$G$5:$G$204,"Persidangan",PENGELUARAN!$L$5:$L$204,"Kantor")))</f>
        <v>0</v>
      </c>
      <c r="C18" s="84">
        <f ca="1">IF(2&gt;MASTER!$AF$15,"",SUM(SUMIFS(PENGELUARAN!$K$5:$K$204,PENGELUARAN!$C$5:$C$204,TEXT(DATE(DASHBOARD!$B$4,2,1),"yyyy-mm"),PENGELUARAN!$G$5:$G$204,"Persidangan",PENGELUARAN!$L$5:$L$204,"Kantor")))</f>
        <v>0</v>
      </c>
      <c r="D18" s="84">
        <f ca="1">IF(3&gt;MASTER!$AF$15,"",SUM(SUMIFS(PENGELUARAN!$K$5:$K$204,PENGELUARAN!$C$5:$C$204,TEXT(DATE(DASHBOARD!$B$4,3,1),"yyyy-mm"),PENGELUARAN!$G$5:$G$204,"Persidangan",PENGELUARAN!$L$5:$L$204,"Kantor")))</f>
        <v>0</v>
      </c>
      <c r="E18" s="84">
        <f ca="1">IF(4&gt;MASTER!$AF$15,"",SUM(SUMIFS(PENGELUARAN!$K$5:$K$204,PENGELUARAN!$C$5:$C$204,TEXT(DATE(DASHBOARD!$B$4,4,1),"yyyy-mm"),PENGELUARAN!$G$5:$G$204,"Persidangan",PENGELUARAN!$L$5:$L$204,"Kantor")))</f>
        <v>0</v>
      </c>
      <c r="F18" s="84">
        <f ca="1">IF(5&gt;MASTER!$AF$15,"",SUM(SUMIFS(PENGELUARAN!$K$5:$K$204,PENGELUARAN!$C$5:$C$204,TEXT(DATE(DASHBOARD!$B$4,5,1),"yyyy-mm"),PENGELUARAN!$G$5:$G$204,"Persidangan",PENGELUARAN!$L$5:$L$204,"Kantor")))</f>
        <v>0</v>
      </c>
      <c r="G18" s="84">
        <f ca="1">IF(6&gt;MASTER!$AF$15,"",SUM(SUMIFS(PENGELUARAN!$K$5:$K$204,PENGELUARAN!$C$5:$C$204,TEXT(DATE(DASHBOARD!$B$4,6,1),"yyyy-mm"),PENGELUARAN!$G$5:$G$204,"Persidangan",PENGELUARAN!$L$5:$L$204,"Kantor")))</f>
        <v>0</v>
      </c>
      <c r="H18" s="84">
        <f ca="1">IF(7&gt;MASTER!$AF$15,"",SUM(SUMIFS(PENGELUARAN!$K$5:$K$204,PENGELUARAN!$C$5:$C$204,TEXT(DATE(DASHBOARD!$B$4,7,1),"yyyy-mm"),PENGELUARAN!$G$5:$G$204,"Persidangan",PENGELUARAN!$L$5:$L$204,"Kantor")))</f>
        <v>0</v>
      </c>
      <c r="I18" s="84">
        <f ca="1">IF(8&gt;MASTER!$AF$15,"",SUM(SUMIFS(PENGELUARAN!$K$5:$K$204,PENGELUARAN!$C$5:$C$204,TEXT(DATE(DASHBOARD!$B$4,8,1),"yyyy-mm"),PENGELUARAN!$G$5:$G$204,"Persidangan",PENGELUARAN!$L$5:$L$204,"Kantor")))</f>
        <v>0</v>
      </c>
      <c r="J18" s="84" t="str">
        <f ca="1">IF(9&gt;MASTER!$AF$15,"",SUM(SUMIFS(PENGELUARAN!$K$5:$K$204,PENGELUARAN!$C$5:$C$204,TEXT(DATE(DASHBOARD!$B$4,9,1),"yyyy-mm"),PENGELUARAN!$G$5:$G$204,"Persidangan",PENGELUARAN!$L$5:$L$204,"Kantor")))</f>
        <v/>
      </c>
      <c r="K18" s="84" t="str">
        <f ca="1">IF(10&gt;MASTER!$AF$15,"",SUM(SUMIFS(PENGELUARAN!$K$5:$K$204,PENGELUARAN!$C$5:$C$204,TEXT(DATE(DASHBOARD!$B$4,10,1),"yyyy-mm"),PENGELUARAN!$G$5:$G$204,"Persidangan",PENGELUARAN!$L$5:$L$204,"Kantor")))</f>
        <v/>
      </c>
      <c r="L18" s="84" t="str">
        <f ca="1">IF(11&gt;MASTER!$AF$15,"",SUM(SUMIFS(PENGELUARAN!$K$5:$K$204,PENGELUARAN!$C$5:$C$204,TEXT(DATE(DASHBOARD!$B$4,11,1),"yyyy-mm"),PENGELUARAN!$G$5:$G$204,"Persidangan",PENGELUARAN!$L$5:$L$204,"Kantor")))</f>
        <v/>
      </c>
      <c r="M18" s="84" t="str">
        <f ca="1">IF(12&gt;MASTER!$AF$15,"",SUM(SUMIFS(PENGELUARAN!$K$5:$K$204,PENGELUARAN!$C$5:$C$204,TEXT(DATE(DASHBOARD!$B$4,12,1),"yyyy-mm"),PENGELUARAN!$G$5:$G$204,"Persidangan",PENGELUARAN!$L$5:$L$204,"Kantor")))</f>
        <v/>
      </c>
      <c r="N18" s="84">
        <f t="shared" ca="1" si="1"/>
        <v>0</v>
      </c>
    </row>
    <row r="19" spans="1:14">
      <c r="A19" t="s">
        <v>290</v>
      </c>
      <c r="B19" s="84">
        <f ca="1">IF(1&gt;MASTER!$AF$15,"",SUM(SUMIFS(PENGELUARAN!$K$5:$K$204,PENGELUARAN!$C$5:$C$204,TEXT(DATE(DASHBOARD!$B$4,1,1),"yyyy-mm"),PENGELUARAN!$G$5:$G$204,"Notaris",PENGELUARAN!$L$5:$L$204,"Kantor")))</f>
        <v>0</v>
      </c>
      <c r="C19" s="84">
        <f ca="1">IF(2&gt;MASTER!$AF$15,"",SUM(SUMIFS(PENGELUARAN!$K$5:$K$204,PENGELUARAN!$C$5:$C$204,TEXT(DATE(DASHBOARD!$B$4,2,1),"yyyy-mm"),PENGELUARAN!$G$5:$G$204,"Notaris",PENGELUARAN!$L$5:$L$204,"Kantor")))</f>
        <v>0</v>
      </c>
      <c r="D19" s="84">
        <f ca="1">IF(3&gt;MASTER!$AF$15,"",SUM(SUMIFS(PENGELUARAN!$K$5:$K$204,PENGELUARAN!$C$5:$C$204,TEXT(DATE(DASHBOARD!$B$4,3,1),"yyyy-mm"),PENGELUARAN!$G$5:$G$204,"Notaris",PENGELUARAN!$L$5:$L$204,"Kantor")))</f>
        <v>0</v>
      </c>
      <c r="E19" s="84">
        <f ca="1">IF(4&gt;MASTER!$AF$15,"",SUM(SUMIFS(PENGELUARAN!$K$5:$K$204,PENGELUARAN!$C$5:$C$204,TEXT(DATE(DASHBOARD!$B$4,4,1),"yyyy-mm"),PENGELUARAN!$G$5:$G$204,"Notaris",PENGELUARAN!$L$5:$L$204,"Kantor")))</f>
        <v>0</v>
      </c>
      <c r="F19" s="84">
        <f ca="1">IF(5&gt;MASTER!$AF$15,"",SUM(SUMIFS(PENGELUARAN!$K$5:$K$204,PENGELUARAN!$C$5:$C$204,TEXT(DATE(DASHBOARD!$B$4,5,1),"yyyy-mm"),PENGELUARAN!$G$5:$G$204,"Notaris",PENGELUARAN!$L$5:$L$204,"Kantor")))</f>
        <v>0</v>
      </c>
      <c r="G19" s="84">
        <f ca="1">IF(6&gt;MASTER!$AF$15,"",SUM(SUMIFS(PENGELUARAN!$K$5:$K$204,PENGELUARAN!$C$5:$C$204,TEXT(DATE(DASHBOARD!$B$4,6,1),"yyyy-mm"),PENGELUARAN!$G$5:$G$204,"Notaris",PENGELUARAN!$L$5:$L$204,"Kantor")))</f>
        <v>0</v>
      </c>
      <c r="H19" s="84">
        <f ca="1">IF(7&gt;MASTER!$AF$15,"",SUM(SUMIFS(PENGELUARAN!$K$5:$K$204,PENGELUARAN!$C$5:$C$204,TEXT(DATE(DASHBOARD!$B$4,7,1),"yyyy-mm"),PENGELUARAN!$G$5:$G$204,"Notaris",PENGELUARAN!$L$5:$L$204,"Kantor")))</f>
        <v>0</v>
      </c>
      <c r="I19" s="84">
        <f ca="1">IF(8&gt;MASTER!$AF$15,"",SUM(SUMIFS(PENGELUARAN!$K$5:$K$204,PENGELUARAN!$C$5:$C$204,TEXT(DATE(DASHBOARD!$B$4,8,1),"yyyy-mm"),PENGELUARAN!$G$5:$G$204,"Notaris",PENGELUARAN!$L$5:$L$204,"Kantor")))</f>
        <v>0</v>
      </c>
      <c r="J19" s="84" t="str">
        <f ca="1">IF(9&gt;MASTER!$AF$15,"",SUM(SUMIFS(PENGELUARAN!$K$5:$K$204,PENGELUARAN!$C$5:$C$204,TEXT(DATE(DASHBOARD!$B$4,9,1),"yyyy-mm"),PENGELUARAN!$G$5:$G$204,"Notaris",PENGELUARAN!$L$5:$L$204,"Kantor")))</f>
        <v/>
      </c>
      <c r="K19" s="84" t="str">
        <f ca="1">IF(10&gt;MASTER!$AF$15,"",SUM(SUMIFS(PENGELUARAN!$K$5:$K$204,PENGELUARAN!$C$5:$C$204,TEXT(DATE(DASHBOARD!$B$4,10,1),"yyyy-mm"),PENGELUARAN!$G$5:$G$204,"Notaris",PENGELUARAN!$L$5:$L$204,"Kantor")))</f>
        <v/>
      </c>
      <c r="L19" s="84" t="str">
        <f ca="1">IF(11&gt;MASTER!$AF$15,"",SUM(SUMIFS(PENGELUARAN!$K$5:$K$204,PENGELUARAN!$C$5:$C$204,TEXT(DATE(DASHBOARD!$B$4,11,1),"yyyy-mm"),PENGELUARAN!$G$5:$G$204,"Notaris",PENGELUARAN!$L$5:$L$204,"Kantor")))</f>
        <v/>
      </c>
      <c r="M19" s="84" t="str">
        <f ca="1">IF(12&gt;MASTER!$AF$15,"",SUM(SUMIFS(PENGELUARAN!$K$5:$K$204,PENGELUARAN!$C$5:$C$204,TEXT(DATE(DASHBOARD!$B$4,12,1),"yyyy-mm"),PENGELUARAN!$G$5:$G$204,"Notaris",PENGELUARAN!$L$5:$L$204,"Kantor")))</f>
        <v/>
      </c>
      <c r="N19" s="84">
        <f t="shared" ca="1" si="1"/>
        <v>0</v>
      </c>
    </row>
    <row r="20" spans="1:14">
      <c r="A20" t="s">
        <v>291</v>
      </c>
      <c r="B20" s="84">
        <f ca="1">IF(1&gt;MASTER!$AF$15,"",SUM(SUMIFS(PENGELUARAN!$K$5:$K$204,PENGELUARAN!$C$5:$C$204,TEXT(DATE(DASHBOARD!$B$4,1,1),"yyyy-mm"),PENGELUARAN!$G$5:$G$204,"Administrasi Instansi",PENGELUARAN!$L$5:$L$204,"Kantor")))</f>
        <v>0</v>
      </c>
      <c r="C20" s="84">
        <f ca="1">IF(2&gt;MASTER!$AF$15,"",SUM(SUMIFS(PENGELUARAN!$K$5:$K$204,PENGELUARAN!$C$5:$C$204,TEXT(DATE(DASHBOARD!$B$4,2,1),"yyyy-mm"),PENGELUARAN!$G$5:$G$204,"Administrasi Instansi",PENGELUARAN!$L$5:$L$204,"Kantor")))</f>
        <v>0</v>
      </c>
      <c r="D20" s="84">
        <f ca="1">IF(3&gt;MASTER!$AF$15,"",SUM(SUMIFS(PENGELUARAN!$K$5:$K$204,PENGELUARAN!$C$5:$C$204,TEXT(DATE(DASHBOARD!$B$4,3,1),"yyyy-mm"),PENGELUARAN!$G$5:$G$204,"Administrasi Instansi",PENGELUARAN!$L$5:$L$204,"Kantor")))</f>
        <v>0</v>
      </c>
      <c r="E20" s="84">
        <f ca="1">IF(4&gt;MASTER!$AF$15,"",SUM(SUMIFS(PENGELUARAN!$K$5:$K$204,PENGELUARAN!$C$5:$C$204,TEXT(DATE(DASHBOARD!$B$4,4,1),"yyyy-mm"),PENGELUARAN!$G$5:$G$204,"Administrasi Instansi",PENGELUARAN!$L$5:$L$204,"Kantor")))</f>
        <v>0</v>
      </c>
      <c r="F20" s="84">
        <f ca="1">IF(5&gt;MASTER!$AF$15,"",SUM(SUMIFS(PENGELUARAN!$K$5:$K$204,PENGELUARAN!$C$5:$C$204,TEXT(DATE(DASHBOARD!$B$4,5,1),"yyyy-mm"),PENGELUARAN!$G$5:$G$204,"Administrasi Instansi",PENGELUARAN!$L$5:$L$204,"Kantor")))</f>
        <v>0</v>
      </c>
      <c r="G20" s="84">
        <f ca="1">IF(6&gt;MASTER!$AF$15,"",SUM(SUMIFS(PENGELUARAN!$K$5:$K$204,PENGELUARAN!$C$5:$C$204,TEXT(DATE(DASHBOARD!$B$4,6,1),"yyyy-mm"),PENGELUARAN!$G$5:$G$204,"Administrasi Instansi",PENGELUARAN!$L$5:$L$204,"Kantor")))</f>
        <v>0</v>
      </c>
      <c r="H20" s="84">
        <f ca="1">IF(7&gt;MASTER!$AF$15,"",SUM(SUMIFS(PENGELUARAN!$K$5:$K$204,PENGELUARAN!$C$5:$C$204,TEXT(DATE(DASHBOARD!$B$4,7,1),"yyyy-mm"),PENGELUARAN!$G$5:$G$204,"Administrasi Instansi",PENGELUARAN!$L$5:$L$204,"Kantor")))</f>
        <v>0</v>
      </c>
      <c r="I20" s="84">
        <f ca="1">IF(8&gt;MASTER!$AF$15,"",SUM(SUMIFS(PENGELUARAN!$K$5:$K$204,PENGELUARAN!$C$5:$C$204,TEXT(DATE(DASHBOARD!$B$4,8,1),"yyyy-mm"),PENGELUARAN!$G$5:$G$204,"Administrasi Instansi",PENGELUARAN!$L$5:$L$204,"Kantor")))</f>
        <v>0</v>
      </c>
      <c r="J20" s="84" t="str">
        <f ca="1">IF(9&gt;MASTER!$AF$15,"",SUM(SUMIFS(PENGELUARAN!$K$5:$K$204,PENGELUARAN!$C$5:$C$204,TEXT(DATE(DASHBOARD!$B$4,9,1),"yyyy-mm"),PENGELUARAN!$G$5:$G$204,"Administrasi Instansi",PENGELUARAN!$L$5:$L$204,"Kantor")))</f>
        <v/>
      </c>
      <c r="K20" s="84" t="str">
        <f ca="1">IF(10&gt;MASTER!$AF$15,"",SUM(SUMIFS(PENGELUARAN!$K$5:$K$204,PENGELUARAN!$C$5:$C$204,TEXT(DATE(DASHBOARD!$B$4,10,1),"yyyy-mm"),PENGELUARAN!$G$5:$G$204,"Administrasi Instansi",PENGELUARAN!$L$5:$L$204,"Kantor")))</f>
        <v/>
      </c>
      <c r="L20" s="84" t="str">
        <f ca="1">IF(11&gt;MASTER!$AF$15,"",SUM(SUMIFS(PENGELUARAN!$K$5:$K$204,PENGELUARAN!$C$5:$C$204,TEXT(DATE(DASHBOARD!$B$4,11,1),"yyyy-mm"),PENGELUARAN!$G$5:$G$204,"Administrasi Instansi",PENGELUARAN!$L$5:$L$204,"Kantor")))</f>
        <v/>
      </c>
      <c r="M20" s="84" t="str">
        <f ca="1">IF(12&gt;MASTER!$AF$15,"",SUM(SUMIFS(PENGELUARAN!$K$5:$K$204,PENGELUARAN!$C$5:$C$204,TEXT(DATE(DASHBOARD!$B$4,12,1),"yyyy-mm"),PENGELUARAN!$G$5:$G$204,"Administrasi Instansi",PENGELUARAN!$L$5:$L$204,"Kantor")))</f>
        <v/>
      </c>
      <c r="N20" s="84">
        <f t="shared" ca="1" si="1"/>
        <v>0</v>
      </c>
    </row>
    <row r="21" spans="1:14">
      <c r="A21" t="s">
        <v>292</v>
      </c>
      <c r="B21" s="84">
        <f ca="1">IF(1&gt;MASTER!$AF$15,"",SUM(SUMIFS(PENGELUARAN!$K$5:$K$204,PENGELUARAN!$C$5:$C$204,TEXT(DATE(DASHBOARD!$B$4,1,1),"yyyy-mm"),PENGELUARAN!$G$5:$G$204,"ATK",PENGELUARAN!$L$5:$L$204,"Kantor")+SUMIFS(PENGELUARAN!$K$5:$K$204,PENGELUARAN!$C$5:$C$204,TEXT(DATE(DASHBOARD!$B$4,1,1),"yyyy-mm"),PENGELUARAN!$G$5:$G$204,"Operasional Kantor",PENGELUARAN!$L$5:$L$204,"Kantor")+SUMIFS(PENGELUARAN!$K$5:$K$204,PENGELUARAN!$C$5:$C$204,TEXT(DATE(DASHBOARD!$B$4,1,1),"yyyy-mm"),PENGELUARAN!$G$5:$G$204,"Peralatan Kantor",PENGELUARAN!$L$5:$L$204,"Kantor")+SUMIFS(PENGELUARAN!$K$5:$K$204,PENGELUARAN!$C$5:$C$204,TEXT(DATE(DASHBOARD!$B$4,1,1),"yyyy-mm"),PENGELUARAN!$G$5:$G$204,"Internet/Telepon",PENGELUARAN!$L$5:$L$204,"Kantor")))</f>
        <v>0</v>
      </c>
      <c r="C21" s="84">
        <f ca="1">IF(2&gt;MASTER!$AF$15,"",SUM(SUMIFS(PENGELUARAN!$K$5:$K$204,PENGELUARAN!$C$5:$C$204,TEXT(DATE(DASHBOARD!$B$4,2,1),"yyyy-mm"),PENGELUARAN!$G$5:$G$204,"ATK",PENGELUARAN!$L$5:$L$204,"Kantor")+SUMIFS(PENGELUARAN!$K$5:$K$204,PENGELUARAN!$C$5:$C$204,TEXT(DATE(DASHBOARD!$B$4,2,1),"yyyy-mm"),PENGELUARAN!$G$5:$G$204,"Operasional Kantor",PENGELUARAN!$L$5:$L$204,"Kantor")+SUMIFS(PENGELUARAN!$K$5:$K$204,PENGELUARAN!$C$5:$C$204,TEXT(DATE(DASHBOARD!$B$4,2,1),"yyyy-mm"),PENGELUARAN!$G$5:$G$204,"Peralatan Kantor",PENGELUARAN!$L$5:$L$204,"Kantor")+SUMIFS(PENGELUARAN!$K$5:$K$204,PENGELUARAN!$C$5:$C$204,TEXT(DATE(DASHBOARD!$B$4,2,1),"yyyy-mm"),PENGELUARAN!$G$5:$G$204,"Internet/Telepon",PENGELUARAN!$L$5:$L$204,"Kantor")))</f>
        <v>0</v>
      </c>
      <c r="D21" s="84">
        <f ca="1">IF(3&gt;MASTER!$AF$15,"",SUM(SUMIFS(PENGELUARAN!$K$5:$K$204,PENGELUARAN!$C$5:$C$204,TEXT(DATE(DASHBOARD!$B$4,3,1),"yyyy-mm"),PENGELUARAN!$G$5:$G$204,"ATK",PENGELUARAN!$L$5:$L$204,"Kantor")+SUMIFS(PENGELUARAN!$K$5:$K$204,PENGELUARAN!$C$5:$C$204,TEXT(DATE(DASHBOARD!$B$4,3,1),"yyyy-mm"),PENGELUARAN!$G$5:$G$204,"Operasional Kantor",PENGELUARAN!$L$5:$L$204,"Kantor")+SUMIFS(PENGELUARAN!$K$5:$K$204,PENGELUARAN!$C$5:$C$204,TEXT(DATE(DASHBOARD!$B$4,3,1),"yyyy-mm"),PENGELUARAN!$G$5:$G$204,"Peralatan Kantor",PENGELUARAN!$L$5:$L$204,"Kantor")+SUMIFS(PENGELUARAN!$K$5:$K$204,PENGELUARAN!$C$5:$C$204,TEXT(DATE(DASHBOARD!$B$4,3,1),"yyyy-mm"),PENGELUARAN!$G$5:$G$204,"Internet/Telepon",PENGELUARAN!$L$5:$L$204,"Kantor")))</f>
        <v>0</v>
      </c>
      <c r="E21" s="84">
        <f ca="1">IF(4&gt;MASTER!$AF$15,"",SUM(SUMIFS(PENGELUARAN!$K$5:$K$204,PENGELUARAN!$C$5:$C$204,TEXT(DATE(DASHBOARD!$B$4,4,1),"yyyy-mm"),PENGELUARAN!$G$5:$G$204,"ATK",PENGELUARAN!$L$5:$L$204,"Kantor")+SUMIFS(PENGELUARAN!$K$5:$K$204,PENGELUARAN!$C$5:$C$204,TEXT(DATE(DASHBOARD!$B$4,4,1),"yyyy-mm"),PENGELUARAN!$G$5:$G$204,"Operasional Kantor",PENGELUARAN!$L$5:$L$204,"Kantor")+SUMIFS(PENGELUARAN!$K$5:$K$204,PENGELUARAN!$C$5:$C$204,TEXT(DATE(DASHBOARD!$B$4,4,1),"yyyy-mm"),PENGELUARAN!$G$5:$G$204,"Peralatan Kantor",PENGELUARAN!$L$5:$L$204,"Kantor")+SUMIFS(PENGELUARAN!$K$5:$K$204,PENGELUARAN!$C$5:$C$204,TEXT(DATE(DASHBOARD!$B$4,4,1),"yyyy-mm"),PENGELUARAN!$G$5:$G$204,"Internet/Telepon",PENGELUARAN!$L$5:$L$204,"Kantor")))</f>
        <v>0</v>
      </c>
      <c r="F21" s="84">
        <f ca="1">IF(5&gt;MASTER!$AF$15,"",SUM(SUMIFS(PENGELUARAN!$K$5:$K$204,PENGELUARAN!$C$5:$C$204,TEXT(DATE(DASHBOARD!$B$4,5,1),"yyyy-mm"),PENGELUARAN!$G$5:$G$204,"ATK",PENGELUARAN!$L$5:$L$204,"Kantor")+SUMIFS(PENGELUARAN!$K$5:$K$204,PENGELUARAN!$C$5:$C$204,TEXT(DATE(DASHBOARD!$B$4,5,1),"yyyy-mm"),PENGELUARAN!$G$5:$G$204,"Operasional Kantor",PENGELUARAN!$L$5:$L$204,"Kantor")+SUMIFS(PENGELUARAN!$K$5:$K$204,PENGELUARAN!$C$5:$C$204,TEXT(DATE(DASHBOARD!$B$4,5,1),"yyyy-mm"),PENGELUARAN!$G$5:$G$204,"Peralatan Kantor",PENGELUARAN!$L$5:$L$204,"Kantor")+SUMIFS(PENGELUARAN!$K$5:$K$204,PENGELUARAN!$C$5:$C$204,TEXT(DATE(DASHBOARD!$B$4,5,1),"yyyy-mm"),PENGELUARAN!$G$5:$G$204,"Internet/Telepon",PENGELUARAN!$L$5:$L$204,"Kantor")))</f>
        <v>0</v>
      </c>
      <c r="G21" s="84">
        <f ca="1">IF(6&gt;MASTER!$AF$15,"",SUM(SUMIFS(PENGELUARAN!$K$5:$K$204,PENGELUARAN!$C$5:$C$204,TEXT(DATE(DASHBOARD!$B$4,6,1),"yyyy-mm"),PENGELUARAN!$G$5:$G$204,"ATK",PENGELUARAN!$L$5:$L$204,"Kantor")+SUMIFS(PENGELUARAN!$K$5:$K$204,PENGELUARAN!$C$5:$C$204,TEXT(DATE(DASHBOARD!$B$4,6,1),"yyyy-mm"),PENGELUARAN!$G$5:$G$204,"Operasional Kantor",PENGELUARAN!$L$5:$L$204,"Kantor")+SUMIFS(PENGELUARAN!$K$5:$K$204,PENGELUARAN!$C$5:$C$204,TEXT(DATE(DASHBOARD!$B$4,6,1),"yyyy-mm"),PENGELUARAN!$G$5:$G$204,"Peralatan Kantor",PENGELUARAN!$L$5:$L$204,"Kantor")+SUMIFS(PENGELUARAN!$K$5:$K$204,PENGELUARAN!$C$5:$C$204,TEXT(DATE(DASHBOARD!$B$4,6,1),"yyyy-mm"),PENGELUARAN!$G$5:$G$204,"Internet/Telepon",PENGELUARAN!$L$5:$L$204,"Kantor")))</f>
        <v>0</v>
      </c>
      <c r="H21" s="84">
        <f ca="1">IF(7&gt;MASTER!$AF$15,"",SUM(SUMIFS(PENGELUARAN!$K$5:$K$204,PENGELUARAN!$C$5:$C$204,TEXT(DATE(DASHBOARD!$B$4,7,1),"yyyy-mm"),PENGELUARAN!$G$5:$G$204,"ATK",PENGELUARAN!$L$5:$L$204,"Kantor")+SUMIFS(PENGELUARAN!$K$5:$K$204,PENGELUARAN!$C$5:$C$204,TEXT(DATE(DASHBOARD!$B$4,7,1),"yyyy-mm"),PENGELUARAN!$G$5:$G$204,"Operasional Kantor",PENGELUARAN!$L$5:$L$204,"Kantor")+SUMIFS(PENGELUARAN!$K$5:$K$204,PENGELUARAN!$C$5:$C$204,TEXT(DATE(DASHBOARD!$B$4,7,1),"yyyy-mm"),PENGELUARAN!$G$5:$G$204,"Peralatan Kantor",PENGELUARAN!$L$5:$L$204,"Kantor")+SUMIFS(PENGELUARAN!$K$5:$K$204,PENGELUARAN!$C$5:$C$204,TEXT(DATE(DASHBOARD!$B$4,7,1),"yyyy-mm"),PENGELUARAN!$G$5:$G$204,"Internet/Telepon",PENGELUARAN!$L$5:$L$204,"Kantor")))</f>
        <v>2390600</v>
      </c>
      <c r="I21" s="84">
        <f ca="1">IF(8&gt;MASTER!$AF$15,"",SUM(SUMIFS(PENGELUARAN!$K$5:$K$204,PENGELUARAN!$C$5:$C$204,TEXT(DATE(DASHBOARD!$B$4,8,1),"yyyy-mm"),PENGELUARAN!$G$5:$G$204,"ATK",PENGELUARAN!$L$5:$L$204,"Kantor")+SUMIFS(PENGELUARAN!$K$5:$K$204,PENGELUARAN!$C$5:$C$204,TEXT(DATE(DASHBOARD!$B$4,8,1),"yyyy-mm"),PENGELUARAN!$G$5:$G$204,"Operasional Kantor",PENGELUARAN!$L$5:$L$204,"Kantor")+SUMIFS(PENGELUARAN!$K$5:$K$204,PENGELUARAN!$C$5:$C$204,TEXT(DATE(DASHBOARD!$B$4,8,1),"yyyy-mm"),PENGELUARAN!$G$5:$G$204,"Peralatan Kantor",PENGELUARAN!$L$5:$L$204,"Kantor")+SUMIFS(PENGELUARAN!$K$5:$K$204,PENGELUARAN!$C$5:$C$204,TEXT(DATE(DASHBOARD!$B$4,8,1),"yyyy-mm"),PENGELUARAN!$G$5:$G$204,"Internet/Telepon",PENGELUARAN!$L$5:$L$204,"Kantor")))</f>
        <v>0</v>
      </c>
      <c r="J21" s="84" t="str">
        <f ca="1">IF(9&gt;MASTER!$AF$15,"",SUM(SUMIFS(PENGELUARAN!$K$5:$K$204,PENGELUARAN!$C$5:$C$204,TEXT(DATE(DASHBOARD!$B$4,9,1),"yyyy-mm"),PENGELUARAN!$G$5:$G$204,"ATK",PENGELUARAN!$L$5:$L$204,"Kantor")+SUMIFS(PENGELUARAN!$K$5:$K$204,PENGELUARAN!$C$5:$C$204,TEXT(DATE(DASHBOARD!$B$4,9,1),"yyyy-mm"),PENGELUARAN!$G$5:$G$204,"Operasional Kantor",PENGELUARAN!$L$5:$L$204,"Kantor")+SUMIFS(PENGELUARAN!$K$5:$K$204,PENGELUARAN!$C$5:$C$204,TEXT(DATE(DASHBOARD!$B$4,9,1),"yyyy-mm"),PENGELUARAN!$G$5:$G$204,"Peralatan Kantor",PENGELUARAN!$L$5:$L$204,"Kantor")+SUMIFS(PENGELUARAN!$K$5:$K$204,PENGELUARAN!$C$5:$C$204,TEXT(DATE(DASHBOARD!$B$4,9,1),"yyyy-mm"),PENGELUARAN!$G$5:$G$204,"Internet/Telepon",PENGELUARAN!$L$5:$L$204,"Kantor")))</f>
        <v/>
      </c>
      <c r="K21" s="84" t="str">
        <f ca="1">IF(10&gt;MASTER!$AF$15,"",SUM(SUMIFS(PENGELUARAN!$K$5:$K$204,PENGELUARAN!$C$5:$C$204,TEXT(DATE(DASHBOARD!$B$4,10,1),"yyyy-mm"),PENGELUARAN!$G$5:$G$204,"ATK",PENGELUARAN!$L$5:$L$204,"Kantor")+SUMIFS(PENGELUARAN!$K$5:$K$204,PENGELUARAN!$C$5:$C$204,TEXT(DATE(DASHBOARD!$B$4,10,1),"yyyy-mm"),PENGELUARAN!$G$5:$G$204,"Operasional Kantor",PENGELUARAN!$L$5:$L$204,"Kantor")+SUMIFS(PENGELUARAN!$K$5:$K$204,PENGELUARAN!$C$5:$C$204,TEXT(DATE(DASHBOARD!$B$4,10,1),"yyyy-mm"),PENGELUARAN!$G$5:$G$204,"Peralatan Kantor",PENGELUARAN!$L$5:$L$204,"Kantor")+SUMIFS(PENGELUARAN!$K$5:$K$204,PENGELUARAN!$C$5:$C$204,TEXT(DATE(DASHBOARD!$B$4,10,1),"yyyy-mm"),PENGELUARAN!$G$5:$G$204,"Internet/Telepon",PENGELUARAN!$L$5:$L$204,"Kantor")))</f>
        <v/>
      </c>
      <c r="L21" s="84" t="str">
        <f ca="1">IF(11&gt;MASTER!$AF$15,"",SUM(SUMIFS(PENGELUARAN!$K$5:$K$204,PENGELUARAN!$C$5:$C$204,TEXT(DATE(DASHBOARD!$B$4,11,1),"yyyy-mm"),PENGELUARAN!$G$5:$G$204,"ATK",PENGELUARAN!$L$5:$L$204,"Kantor")+SUMIFS(PENGELUARAN!$K$5:$K$204,PENGELUARAN!$C$5:$C$204,TEXT(DATE(DASHBOARD!$B$4,11,1),"yyyy-mm"),PENGELUARAN!$G$5:$G$204,"Operasional Kantor",PENGELUARAN!$L$5:$L$204,"Kantor")+SUMIFS(PENGELUARAN!$K$5:$K$204,PENGELUARAN!$C$5:$C$204,TEXT(DATE(DASHBOARD!$B$4,11,1),"yyyy-mm"),PENGELUARAN!$G$5:$G$204,"Peralatan Kantor",PENGELUARAN!$L$5:$L$204,"Kantor")+SUMIFS(PENGELUARAN!$K$5:$K$204,PENGELUARAN!$C$5:$C$204,TEXT(DATE(DASHBOARD!$B$4,11,1),"yyyy-mm"),PENGELUARAN!$G$5:$G$204,"Internet/Telepon",PENGELUARAN!$L$5:$L$204,"Kantor")))</f>
        <v/>
      </c>
      <c r="M21" s="84" t="str">
        <f ca="1">IF(12&gt;MASTER!$AF$15,"",SUM(SUMIFS(PENGELUARAN!$K$5:$K$204,PENGELUARAN!$C$5:$C$204,TEXT(DATE(DASHBOARD!$B$4,12,1),"yyyy-mm"),PENGELUARAN!$G$5:$G$204,"ATK",PENGELUARAN!$L$5:$L$204,"Kantor")+SUMIFS(PENGELUARAN!$K$5:$K$204,PENGELUARAN!$C$5:$C$204,TEXT(DATE(DASHBOARD!$B$4,12,1),"yyyy-mm"),PENGELUARAN!$G$5:$G$204,"Operasional Kantor",PENGELUARAN!$L$5:$L$204,"Kantor")+SUMIFS(PENGELUARAN!$K$5:$K$204,PENGELUARAN!$C$5:$C$204,TEXT(DATE(DASHBOARD!$B$4,12,1),"yyyy-mm"),PENGELUARAN!$G$5:$G$204,"Peralatan Kantor",PENGELUARAN!$L$5:$L$204,"Kantor")+SUMIFS(PENGELUARAN!$K$5:$K$204,PENGELUARAN!$C$5:$C$204,TEXT(DATE(DASHBOARD!$B$4,12,1),"yyyy-mm"),PENGELUARAN!$G$5:$G$204,"Internet/Telepon",PENGELUARAN!$L$5:$L$204,"Kantor")))</f>
        <v/>
      </c>
      <c r="N21" s="84">
        <f t="shared" ca="1" si="1"/>
        <v>2390600</v>
      </c>
    </row>
    <row r="22" spans="1:14">
      <c r="A22" t="s">
        <v>293</v>
      </c>
      <c r="B22" s="84">
        <f ca="1">IF(1&gt;MASTER!$AF$15,"",SUM(SUMIFS(PENGELUARAN!$K$5:$K$204,PENGELUARAN!$C$5:$C$204,TEXT(DATE(DASHBOARD!$B$4,1,1),"yyyy-mm"),PENGELUARAN!$G$5:$G$204,"Software/Langganan",PENGELUARAN!$L$5:$L$204,"Kantor")))</f>
        <v>0</v>
      </c>
      <c r="C22" s="84">
        <f ca="1">IF(2&gt;MASTER!$AF$15,"",SUM(SUMIFS(PENGELUARAN!$K$5:$K$204,PENGELUARAN!$C$5:$C$204,TEXT(DATE(DASHBOARD!$B$4,2,1),"yyyy-mm"),PENGELUARAN!$G$5:$G$204,"Software/Langganan",PENGELUARAN!$L$5:$L$204,"Kantor")))</f>
        <v>0</v>
      </c>
      <c r="D22" s="84">
        <f ca="1">IF(3&gt;MASTER!$AF$15,"",SUM(SUMIFS(PENGELUARAN!$K$5:$K$204,PENGELUARAN!$C$5:$C$204,TEXT(DATE(DASHBOARD!$B$4,3,1),"yyyy-mm"),PENGELUARAN!$G$5:$G$204,"Software/Langganan",PENGELUARAN!$L$5:$L$204,"Kantor")))</f>
        <v>0</v>
      </c>
      <c r="E22" s="84">
        <f ca="1">IF(4&gt;MASTER!$AF$15,"",SUM(SUMIFS(PENGELUARAN!$K$5:$K$204,PENGELUARAN!$C$5:$C$204,TEXT(DATE(DASHBOARD!$B$4,4,1),"yyyy-mm"),PENGELUARAN!$G$5:$G$204,"Software/Langganan",PENGELUARAN!$L$5:$L$204,"Kantor")))</f>
        <v>0</v>
      </c>
      <c r="F22" s="84">
        <f ca="1">IF(5&gt;MASTER!$AF$15,"",SUM(SUMIFS(PENGELUARAN!$K$5:$K$204,PENGELUARAN!$C$5:$C$204,TEXT(DATE(DASHBOARD!$B$4,5,1),"yyyy-mm"),PENGELUARAN!$G$5:$G$204,"Software/Langganan",PENGELUARAN!$L$5:$L$204,"Kantor")))</f>
        <v>0</v>
      </c>
      <c r="G22" s="84">
        <f ca="1">IF(6&gt;MASTER!$AF$15,"",SUM(SUMIFS(PENGELUARAN!$K$5:$K$204,PENGELUARAN!$C$5:$C$204,TEXT(DATE(DASHBOARD!$B$4,6,1),"yyyy-mm"),PENGELUARAN!$G$5:$G$204,"Software/Langganan",PENGELUARAN!$L$5:$L$204,"Kantor")))</f>
        <v>0</v>
      </c>
      <c r="H22" s="84">
        <f ca="1">IF(7&gt;MASTER!$AF$15,"",SUM(SUMIFS(PENGELUARAN!$K$5:$K$204,PENGELUARAN!$C$5:$C$204,TEXT(DATE(DASHBOARD!$B$4,7,1),"yyyy-mm"),PENGELUARAN!$G$5:$G$204,"Software/Langganan",PENGELUARAN!$L$5:$L$204,"Kantor")))</f>
        <v>0</v>
      </c>
      <c r="I22" s="84">
        <f ca="1">IF(8&gt;MASTER!$AF$15,"",SUM(SUMIFS(PENGELUARAN!$K$5:$K$204,PENGELUARAN!$C$5:$C$204,TEXT(DATE(DASHBOARD!$B$4,8,1),"yyyy-mm"),PENGELUARAN!$G$5:$G$204,"Software/Langganan",PENGELUARAN!$L$5:$L$204,"Kantor")))</f>
        <v>196188</v>
      </c>
      <c r="J22" s="84" t="str">
        <f ca="1">IF(9&gt;MASTER!$AF$15,"",SUM(SUMIFS(PENGELUARAN!$K$5:$K$204,PENGELUARAN!$C$5:$C$204,TEXT(DATE(DASHBOARD!$B$4,9,1),"yyyy-mm"),PENGELUARAN!$G$5:$G$204,"Software/Langganan",PENGELUARAN!$L$5:$L$204,"Kantor")))</f>
        <v/>
      </c>
      <c r="K22" s="84" t="str">
        <f ca="1">IF(10&gt;MASTER!$AF$15,"",SUM(SUMIFS(PENGELUARAN!$K$5:$K$204,PENGELUARAN!$C$5:$C$204,TEXT(DATE(DASHBOARD!$B$4,10,1),"yyyy-mm"),PENGELUARAN!$G$5:$G$204,"Software/Langganan",PENGELUARAN!$L$5:$L$204,"Kantor")))</f>
        <v/>
      </c>
      <c r="L22" s="84" t="str">
        <f ca="1">IF(11&gt;MASTER!$AF$15,"",SUM(SUMIFS(PENGELUARAN!$K$5:$K$204,PENGELUARAN!$C$5:$C$204,TEXT(DATE(DASHBOARD!$B$4,11,1),"yyyy-mm"),PENGELUARAN!$G$5:$G$204,"Software/Langganan",PENGELUARAN!$L$5:$L$204,"Kantor")))</f>
        <v/>
      </c>
      <c r="M22" s="84" t="str">
        <f ca="1">IF(12&gt;MASTER!$AF$15,"",SUM(SUMIFS(PENGELUARAN!$K$5:$K$204,PENGELUARAN!$C$5:$C$204,TEXT(DATE(DASHBOARD!$B$4,12,1),"yyyy-mm"),PENGELUARAN!$G$5:$G$204,"Software/Langganan",PENGELUARAN!$L$5:$L$204,"Kantor")))</f>
        <v/>
      </c>
      <c r="N22" s="84">
        <f t="shared" ca="1" si="1"/>
        <v>196188</v>
      </c>
    </row>
    <row r="23" spans="1:14">
      <c r="A23" t="s">
        <v>294</v>
      </c>
      <c r="B23" s="84">
        <f ca="1">IF(1&gt;MASTER!$AF$15,"",SUM(SUMIFS(PENGELUARAN!$K$5:$K$204,PENGELUARAN!$C$5:$C$204,TEXT(DATE(DASHBOARD!$B$4,1,1),"yyyy-mm"),PENGELUARAN!$G$5:$G$204,"Pemasaran",PENGELUARAN!$L$5:$L$204,"Kantor")))</f>
        <v>0</v>
      </c>
      <c r="C23" s="84">
        <f ca="1">IF(2&gt;MASTER!$AF$15,"",SUM(SUMIFS(PENGELUARAN!$K$5:$K$204,PENGELUARAN!$C$5:$C$204,TEXT(DATE(DASHBOARD!$B$4,2,1),"yyyy-mm"),PENGELUARAN!$G$5:$G$204,"Pemasaran",PENGELUARAN!$L$5:$L$204,"Kantor")))</f>
        <v>0</v>
      </c>
      <c r="D23" s="84">
        <f ca="1">IF(3&gt;MASTER!$AF$15,"",SUM(SUMIFS(PENGELUARAN!$K$5:$K$204,PENGELUARAN!$C$5:$C$204,TEXT(DATE(DASHBOARD!$B$4,3,1),"yyyy-mm"),PENGELUARAN!$G$5:$G$204,"Pemasaran",PENGELUARAN!$L$5:$L$204,"Kantor")))</f>
        <v>0</v>
      </c>
      <c r="E23" s="84">
        <f ca="1">IF(4&gt;MASTER!$AF$15,"",SUM(SUMIFS(PENGELUARAN!$K$5:$K$204,PENGELUARAN!$C$5:$C$204,TEXT(DATE(DASHBOARD!$B$4,4,1),"yyyy-mm"),PENGELUARAN!$G$5:$G$204,"Pemasaran",PENGELUARAN!$L$5:$L$204,"Kantor")))</f>
        <v>0</v>
      </c>
      <c r="F23" s="84">
        <f ca="1">IF(5&gt;MASTER!$AF$15,"",SUM(SUMIFS(PENGELUARAN!$K$5:$K$204,PENGELUARAN!$C$5:$C$204,TEXT(DATE(DASHBOARD!$B$4,5,1),"yyyy-mm"),PENGELUARAN!$G$5:$G$204,"Pemasaran",PENGELUARAN!$L$5:$L$204,"Kantor")))</f>
        <v>0</v>
      </c>
      <c r="G23" s="84">
        <f ca="1">IF(6&gt;MASTER!$AF$15,"",SUM(SUMIFS(PENGELUARAN!$K$5:$K$204,PENGELUARAN!$C$5:$C$204,TEXT(DATE(DASHBOARD!$B$4,6,1),"yyyy-mm"),PENGELUARAN!$G$5:$G$204,"Pemasaran",PENGELUARAN!$L$5:$L$204,"Kantor")))</f>
        <v>0</v>
      </c>
      <c r="H23" s="84">
        <f ca="1">IF(7&gt;MASTER!$AF$15,"",SUM(SUMIFS(PENGELUARAN!$K$5:$K$204,PENGELUARAN!$C$5:$C$204,TEXT(DATE(DASHBOARD!$B$4,7,1),"yyyy-mm"),PENGELUARAN!$G$5:$G$204,"Pemasaran",PENGELUARAN!$L$5:$L$204,"Kantor")))</f>
        <v>0</v>
      </c>
      <c r="I23" s="84">
        <f ca="1">IF(8&gt;MASTER!$AF$15,"",SUM(SUMIFS(PENGELUARAN!$K$5:$K$204,PENGELUARAN!$C$5:$C$204,TEXT(DATE(DASHBOARD!$B$4,8,1),"yyyy-mm"),PENGELUARAN!$G$5:$G$204,"Pemasaran",PENGELUARAN!$L$5:$L$204,"Kantor")))</f>
        <v>0</v>
      </c>
      <c r="J23" s="84" t="str">
        <f ca="1">IF(9&gt;MASTER!$AF$15,"",SUM(SUMIFS(PENGELUARAN!$K$5:$K$204,PENGELUARAN!$C$5:$C$204,TEXT(DATE(DASHBOARD!$B$4,9,1),"yyyy-mm"),PENGELUARAN!$G$5:$G$204,"Pemasaran",PENGELUARAN!$L$5:$L$204,"Kantor")))</f>
        <v/>
      </c>
      <c r="K23" s="84" t="str">
        <f ca="1">IF(10&gt;MASTER!$AF$15,"",SUM(SUMIFS(PENGELUARAN!$K$5:$K$204,PENGELUARAN!$C$5:$C$204,TEXT(DATE(DASHBOARD!$B$4,10,1),"yyyy-mm"),PENGELUARAN!$G$5:$G$204,"Pemasaran",PENGELUARAN!$L$5:$L$204,"Kantor")))</f>
        <v/>
      </c>
      <c r="L23" s="84" t="str">
        <f ca="1">IF(11&gt;MASTER!$AF$15,"",SUM(SUMIFS(PENGELUARAN!$K$5:$K$204,PENGELUARAN!$C$5:$C$204,TEXT(DATE(DASHBOARD!$B$4,11,1),"yyyy-mm"),PENGELUARAN!$G$5:$G$204,"Pemasaran",PENGELUARAN!$L$5:$L$204,"Kantor")))</f>
        <v/>
      </c>
      <c r="M23" s="84" t="str">
        <f ca="1">IF(12&gt;MASTER!$AF$15,"",SUM(SUMIFS(PENGELUARAN!$K$5:$K$204,PENGELUARAN!$C$5:$C$204,TEXT(DATE(DASHBOARD!$B$4,12,1),"yyyy-mm"),PENGELUARAN!$G$5:$G$204,"Pemasaran",PENGELUARAN!$L$5:$L$204,"Kantor")))</f>
        <v/>
      </c>
      <c r="N23" s="84">
        <f t="shared" ca="1" si="1"/>
        <v>0</v>
      </c>
    </row>
    <row r="24" spans="1:14">
      <c r="A24" t="s">
        <v>295</v>
      </c>
      <c r="B24" s="84">
        <f ca="1">IF(1&gt;MASTER!$AF$15,"",SUM(SUMIFS(PENGELUARAN!$K$5:$K$204,PENGELUARAN!$C$5:$C$204,TEXT(DATE(DASHBOARD!$B$4,1,1),"yyyy-mm"),PENGELUARAN!$L$5:$L$204,"Kantor")-SUM(B16:B23)-B25))</f>
        <v>0</v>
      </c>
      <c r="C24" s="84">
        <f ca="1">IF(2&gt;MASTER!$AF$15,"",SUM(SUMIFS(PENGELUARAN!$K$5:$K$204,PENGELUARAN!$C$5:$C$204,TEXT(DATE(DASHBOARD!$B$4,2,1),"yyyy-mm"),PENGELUARAN!$L$5:$L$204,"Kantor")-SUM(C16:C23)-C25))</f>
        <v>0</v>
      </c>
      <c r="D24" s="84">
        <f ca="1">IF(3&gt;MASTER!$AF$15,"",SUM(SUMIFS(PENGELUARAN!$K$5:$K$204,PENGELUARAN!$C$5:$C$204,TEXT(DATE(DASHBOARD!$B$4,3,1),"yyyy-mm"),PENGELUARAN!$L$5:$L$204,"Kantor")-SUM(D16:D23)-D25))</f>
        <v>0</v>
      </c>
      <c r="E24" s="84">
        <f ca="1">IF(4&gt;MASTER!$AF$15,"",SUM(SUMIFS(PENGELUARAN!$K$5:$K$204,PENGELUARAN!$C$5:$C$204,TEXT(DATE(DASHBOARD!$B$4,4,1),"yyyy-mm"),PENGELUARAN!$L$5:$L$204,"Kantor")-SUM(E16:E23)-E25))</f>
        <v>0</v>
      </c>
      <c r="F24" s="84">
        <f ca="1">IF(5&gt;MASTER!$AF$15,"",SUM(SUMIFS(PENGELUARAN!$K$5:$K$204,PENGELUARAN!$C$5:$C$204,TEXT(DATE(DASHBOARD!$B$4,5,1),"yyyy-mm"),PENGELUARAN!$L$5:$L$204,"Kantor")-SUM(F16:F23)-F25))</f>
        <v>0</v>
      </c>
      <c r="G24" s="84">
        <f ca="1">IF(6&gt;MASTER!$AF$15,"",SUM(SUMIFS(PENGELUARAN!$K$5:$K$204,PENGELUARAN!$C$5:$C$204,TEXT(DATE(DASHBOARD!$B$4,6,1),"yyyy-mm"),PENGELUARAN!$L$5:$L$204,"Kantor")-SUM(G16:G23)-G25))</f>
        <v>0</v>
      </c>
      <c r="H24" s="84">
        <f ca="1">IF(7&gt;MASTER!$AF$15,"",SUM(SUMIFS(PENGELUARAN!$K$5:$K$204,PENGELUARAN!$C$5:$C$204,TEXT(DATE(DASHBOARD!$B$4,7,1),"yyyy-mm"),PENGELUARAN!$L$5:$L$204,"Kantor")-SUM(H16:H23)-H25))</f>
        <v>0</v>
      </c>
      <c r="I24" s="84">
        <f ca="1">IF(8&gt;MASTER!$AF$15,"",SUM(SUMIFS(PENGELUARAN!$K$5:$K$204,PENGELUARAN!$C$5:$C$204,TEXT(DATE(DASHBOARD!$B$4,8,1),"yyyy-mm"),PENGELUARAN!$L$5:$L$204,"Kantor")-SUM(I16:I23)-I25))</f>
        <v>0</v>
      </c>
      <c r="J24" s="84" t="str">
        <f ca="1">IF(9&gt;MASTER!$AF$15,"",SUM(SUMIFS(PENGELUARAN!$K$5:$K$204,PENGELUARAN!$C$5:$C$204,TEXT(DATE(DASHBOARD!$B$4,9,1),"yyyy-mm"),PENGELUARAN!$L$5:$L$204,"Kantor")-SUM(J16:J23)-J25))</f>
        <v/>
      </c>
      <c r="K24" s="84" t="str">
        <f ca="1">IF(10&gt;MASTER!$AF$15,"",SUM(SUMIFS(PENGELUARAN!$K$5:$K$204,PENGELUARAN!$C$5:$C$204,TEXT(DATE(DASHBOARD!$B$4,10,1),"yyyy-mm"),PENGELUARAN!$L$5:$L$204,"Kantor")-SUM(K16:K23)-K25))</f>
        <v/>
      </c>
      <c r="L24" s="84" t="str">
        <f ca="1">IF(11&gt;MASTER!$AF$15,"",SUM(SUMIFS(PENGELUARAN!$K$5:$K$204,PENGELUARAN!$C$5:$C$204,TEXT(DATE(DASHBOARD!$B$4,11,1),"yyyy-mm"),PENGELUARAN!$L$5:$L$204,"Kantor")-SUM(L16:L23)-L25))</f>
        <v/>
      </c>
      <c r="M24" s="84" t="str">
        <f ca="1">IF(12&gt;MASTER!$AF$15,"",SUM(SUMIFS(PENGELUARAN!$K$5:$K$204,PENGELUARAN!$C$5:$C$204,TEXT(DATE(DASHBOARD!$B$4,12,1),"yyyy-mm"),PENGELUARAN!$L$5:$L$204,"Kantor")-SUM(M16:M23)-M25))</f>
        <v/>
      </c>
      <c r="N24" s="84">
        <f t="shared" ca="1" si="1"/>
        <v>0</v>
      </c>
    </row>
    <row r="25" spans="1:14">
      <c r="A25" t="s">
        <v>617</v>
      </c>
      <c r="B25" s="84">
        <f ca="1">IF(1&gt;MASTER!$AF$15,"",SUM(SUMIFS(PENGELUARAN!$K$5:$K$204,PENGELUARAN!$C$5:$C$204,TEXT(DATE(DASHBOARD!$B$4,1,1),"yyyy-mm"),PENGELUARAN!$G$5:$G$204,"Konsumsi",PENGELUARAN!$L$5:$L$204,"Kantor")))</f>
        <v>0</v>
      </c>
      <c r="C25" s="84">
        <f ca="1">IF(2&gt;MASTER!$AF$15,"",SUM(SUMIFS(PENGELUARAN!$K$5:$K$204,PENGELUARAN!$C$5:$C$204,TEXT(DATE(DASHBOARD!$B$4,2,1),"yyyy-mm"),PENGELUARAN!$G$5:$G$204,"Konsumsi",PENGELUARAN!$L$5:$L$204,"Kantor")))</f>
        <v>0</v>
      </c>
      <c r="D25" s="84">
        <f ca="1">IF(3&gt;MASTER!$AF$15,"",SUM(SUMIFS(PENGELUARAN!$K$5:$K$204,PENGELUARAN!$C$5:$C$204,TEXT(DATE(DASHBOARD!$B$4,3,1),"yyyy-mm"),PENGELUARAN!$G$5:$G$204,"Konsumsi",PENGELUARAN!$L$5:$L$204,"Kantor")))</f>
        <v>0</v>
      </c>
      <c r="E25" s="84">
        <f ca="1">IF(4&gt;MASTER!$AF$15,"",SUM(SUMIFS(PENGELUARAN!$K$5:$K$204,PENGELUARAN!$C$5:$C$204,TEXT(DATE(DASHBOARD!$B$4,4,1),"yyyy-mm"),PENGELUARAN!$G$5:$G$204,"Konsumsi",PENGELUARAN!$L$5:$L$204,"Kantor")))</f>
        <v>0</v>
      </c>
      <c r="F25" s="84">
        <f ca="1">IF(5&gt;MASTER!$AF$15,"",SUM(SUMIFS(PENGELUARAN!$K$5:$K$204,PENGELUARAN!$C$5:$C$204,TEXT(DATE(DASHBOARD!$B$4,5,1),"yyyy-mm"),PENGELUARAN!$G$5:$G$204,"Konsumsi",PENGELUARAN!$L$5:$L$204,"Kantor")))</f>
        <v>0</v>
      </c>
      <c r="G25" s="84">
        <f ca="1">IF(6&gt;MASTER!$AF$15,"",SUM(SUMIFS(PENGELUARAN!$K$5:$K$204,PENGELUARAN!$C$5:$C$204,TEXT(DATE(DASHBOARD!$B$4,6,1),"yyyy-mm"),PENGELUARAN!$G$5:$G$204,"Konsumsi",PENGELUARAN!$L$5:$L$204,"Kantor")))</f>
        <v>0</v>
      </c>
      <c r="H25" s="84">
        <f ca="1">IF(7&gt;MASTER!$AF$15,"",SUM(SUMIFS(PENGELUARAN!$K$5:$K$204,PENGELUARAN!$C$5:$C$204,TEXT(DATE(DASHBOARD!$B$4,7,1),"yyyy-mm"),PENGELUARAN!$G$5:$G$204,"Konsumsi",PENGELUARAN!$L$5:$L$204,"Kantor")))</f>
        <v>0</v>
      </c>
      <c r="I25" s="84">
        <f ca="1">IF(8&gt;MASTER!$AF$15,"",SUM(SUMIFS(PENGELUARAN!$K$5:$K$204,PENGELUARAN!$C$5:$C$204,TEXT(DATE(DASHBOARD!$B$4,8,1),"yyyy-mm"),PENGELUARAN!$G$5:$G$204,"Konsumsi",PENGELUARAN!$L$5:$L$204,"Kantor")))</f>
        <v>859120</v>
      </c>
      <c r="J25" s="84" t="str">
        <f ca="1">IF(9&gt;MASTER!$AF$15,"",SUM(SUMIFS(PENGELUARAN!$K$5:$K$204,PENGELUARAN!$C$5:$C$204,TEXT(DATE(DASHBOARD!$B$4,9,1),"yyyy-mm"),PENGELUARAN!$G$5:$G$204,"Konsumsi",PENGELUARAN!$L$5:$L$204,"Kantor")))</f>
        <v/>
      </c>
      <c r="K25" s="84" t="str">
        <f ca="1">IF(10&gt;MASTER!$AF$15,"",SUM(SUMIFS(PENGELUARAN!$K$5:$K$204,PENGELUARAN!$C$5:$C$204,TEXT(DATE(DASHBOARD!$B$4,10,1),"yyyy-mm"),PENGELUARAN!$G$5:$G$204,"Konsumsi",PENGELUARAN!$L$5:$L$204,"Kantor")))</f>
        <v/>
      </c>
      <c r="L25" s="84" t="str">
        <f ca="1">IF(11&gt;MASTER!$AF$15,"",SUM(SUMIFS(PENGELUARAN!$K$5:$K$204,PENGELUARAN!$C$5:$C$204,TEXT(DATE(DASHBOARD!$B$4,11,1),"yyyy-mm"),PENGELUARAN!$G$5:$G$204,"Konsumsi",PENGELUARAN!$L$5:$L$204,"Kantor")))</f>
        <v/>
      </c>
      <c r="M25" s="84" t="str">
        <f ca="1">IF(12&gt;MASTER!$AF$15,"",SUM(SUMIFS(PENGELUARAN!$K$5:$K$204,PENGELUARAN!$C$5:$C$204,TEXT(DATE(DASHBOARD!$B$4,12,1),"yyyy-mm"),PENGELUARAN!$G$5:$G$204,"Konsumsi",PENGELUARAN!$L$5:$L$204,"Kantor")))</f>
        <v/>
      </c>
      <c r="N25" s="84">
        <f ca="1">SUM(B25:M25)</f>
        <v>859120</v>
      </c>
    </row>
    <row r="26" spans="1:14">
      <c r="A26" s="20" t="s">
        <v>296</v>
      </c>
      <c r="B26" s="89">
        <v>0</v>
      </c>
      <c r="C26" s="89"/>
      <c r="D26" s="89"/>
      <c r="E26" s="89"/>
      <c r="F26" s="89"/>
      <c r="G26" s="89"/>
      <c r="H26" s="89"/>
      <c r="I26" s="89"/>
      <c r="J26" s="89"/>
      <c r="K26" s="89"/>
      <c r="L26" s="89"/>
      <c r="M26" s="89"/>
      <c r="N26" s="89">
        <f>SUM(B26:M26)</f>
        <v>0</v>
      </c>
    </row>
    <row r="27" spans="1:14">
      <c r="A27" t="s">
        <v>297</v>
      </c>
      <c r="B27" s="87"/>
      <c r="C27" s="87"/>
      <c r="D27" s="87"/>
      <c r="E27" s="87"/>
      <c r="F27" s="87"/>
      <c r="G27" s="87"/>
      <c r="H27" s="87"/>
      <c r="I27" s="87"/>
      <c r="J27" s="87"/>
      <c r="K27" s="87"/>
      <c r="L27" s="87"/>
      <c r="M27" s="87"/>
      <c r="N27" s="87"/>
    </row>
    <row r="29" spans="1:14">
      <c r="A29" s="18" t="s">
        <v>298</v>
      </c>
      <c r="B29" s="19"/>
      <c r="C29" s="19"/>
      <c r="D29" s="19"/>
      <c r="E29" s="19"/>
      <c r="F29" s="19"/>
      <c r="G29" s="19"/>
      <c r="H29" s="19"/>
      <c r="I29" s="19"/>
      <c r="J29" s="19"/>
      <c r="K29" s="19"/>
      <c r="L29" s="19"/>
      <c r="M29" s="19"/>
      <c r="N29" s="19"/>
    </row>
    <row r="30" spans="1:14">
      <c r="A30" t="s">
        <v>299</v>
      </c>
      <c r="B30" s="84">
        <f ca="1">IF(1&gt;MASTER!$AF$15,"",SUM(SUMIFS(PEMASUKAN!$H$5:$H$204,PEMASUKAN!$C$5:$C$204,TEXT(DATE(DASHBOARD!$B$4,1,1),"yyyy-mm"),PEMASUKAN!$M$5:$M$204,"Penggantian Biaya")))</f>
        <v>0</v>
      </c>
      <c r="C30" s="84">
        <f ca="1">IF(2&gt;MASTER!$AF$15,"",SUM(SUMIFS(PEMASUKAN!$H$5:$H$204,PEMASUKAN!$C$5:$C$204,TEXT(DATE(DASHBOARD!$B$4,2,1),"yyyy-mm"),PEMASUKAN!$M$5:$M$204,"Penggantian Biaya")))</f>
        <v>0</v>
      </c>
      <c r="D30" s="84">
        <f ca="1">IF(3&gt;MASTER!$AF$15,"",SUM(SUMIFS(PEMASUKAN!$H$5:$H$204,PEMASUKAN!$C$5:$C$204,TEXT(DATE(DASHBOARD!$B$4,3,1),"yyyy-mm"),PEMASUKAN!$M$5:$M$204,"Penggantian Biaya")))</f>
        <v>0</v>
      </c>
      <c r="E30" s="84">
        <f ca="1">IF(4&gt;MASTER!$AF$15,"",SUM(SUMIFS(PEMASUKAN!$H$5:$H$204,PEMASUKAN!$C$5:$C$204,TEXT(DATE(DASHBOARD!$B$4,4,1),"yyyy-mm"),PEMASUKAN!$M$5:$M$204,"Penggantian Biaya")))</f>
        <v>0</v>
      </c>
      <c r="F30" s="84">
        <f ca="1">IF(5&gt;MASTER!$AF$15,"",SUM(SUMIFS(PEMASUKAN!$H$5:$H$204,PEMASUKAN!$C$5:$C$204,TEXT(DATE(DASHBOARD!$B$4,5,1),"yyyy-mm"),PEMASUKAN!$M$5:$M$204,"Penggantian Biaya")))</f>
        <v>0</v>
      </c>
      <c r="G30" s="84">
        <f ca="1">IF(6&gt;MASTER!$AF$15,"",SUM(SUMIFS(PEMASUKAN!$H$5:$H$204,PEMASUKAN!$C$5:$C$204,TEXT(DATE(DASHBOARD!$B$4,6,1),"yyyy-mm"),PEMASUKAN!$M$5:$M$204,"Penggantian Biaya")))</f>
        <v>0</v>
      </c>
      <c r="H30" s="84">
        <f ca="1">IF(7&gt;MASTER!$AF$15,"",SUM(SUMIFS(PEMASUKAN!$H$5:$H$204,PEMASUKAN!$C$5:$C$204,TEXT(DATE(DASHBOARD!$B$4,7,1),"yyyy-mm"),PEMASUKAN!$M$5:$M$204,"Penggantian Biaya")))</f>
        <v>0</v>
      </c>
      <c r="I30" s="84">
        <f ca="1">IF(8&gt;MASTER!$AF$15,"",SUM(SUMIFS(PEMASUKAN!$H$5:$H$204,PEMASUKAN!$C$5:$C$204,TEXT(DATE(DASHBOARD!$B$4,8,1),"yyyy-mm"),PEMASUKAN!$M$5:$M$204,"Penggantian Biaya")))</f>
        <v>0</v>
      </c>
      <c r="J30" s="84" t="str">
        <f ca="1">IF(9&gt;MASTER!$AF$15,"",SUM(SUMIFS(PEMASUKAN!$H$5:$H$204,PEMASUKAN!$C$5:$C$204,TEXT(DATE(DASHBOARD!$B$4,9,1),"yyyy-mm"),PEMASUKAN!$M$5:$M$204,"Penggantian Biaya")))</f>
        <v/>
      </c>
      <c r="K30" s="84" t="str">
        <f ca="1">IF(10&gt;MASTER!$AF$15,"",SUM(SUMIFS(PEMASUKAN!$H$5:$H$204,PEMASUKAN!$C$5:$C$204,TEXT(DATE(DASHBOARD!$B$4,10,1),"yyyy-mm"),PEMASUKAN!$M$5:$M$204,"Penggantian Biaya")))</f>
        <v/>
      </c>
      <c r="L30" s="84" t="str">
        <f ca="1">IF(11&gt;MASTER!$AF$15,"",SUM(SUMIFS(PEMASUKAN!$H$5:$H$204,PEMASUKAN!$C$5:$C$204,TEXT(DATE(DASHBOARD!$B$4,11,1),"yyyy-mm"),PEMASUKAN!$M$5:$M$204,"Penggantian Biaya")))</f>
        <v/>
      </c>
      <c r="M30" s="84" t="str">
        <f ca="1">IF(12&gt;MASTER!$AF$15,"",SUM(SUMIFS(PEMASUKAN!$H$5:$H$204,PEMASUKAN!$C$5:$C$204,TEXT(DATE(DASHBOARD!$B$4,12,1),"yyyy-mm"),PEMASUKAN!$M$5:$M$204,"Penggantian Biaya")))</f>
        <v/>
      </c>
      <c r="N30" s="84">
        <f ca="1">SUM(B30:M30)</f>
        <v>0</v>
      </c>
    </row>
    <row r="31" spans="1:14">
      <c r="A31" t="s">
        <v>300</v>
      </c>
      <c r="B31" s="84">
        <f ca="1">IF(1&gt;MASTER!$AF$15,"",SUM(SUMIFS(PENGELUARAN!$K$5:$K$204,PENGELUARAN!$C$5:$C$204,TEXT(DATE(DASHBOARD!$B$4,1,1),"yyyy-mm"),PENGELUARAN!$L$5:$L$204,"Klien")))</f>
        <v>0</v>
      </c>
      <c r="C31" s="84">
        <f ca="1">IF(2&gt;MASTER!$AF$15,"",SUM(SUMIFS(PENGELUARAN!$K$5:$K$204,PENGELUARAN!$C$5:$C$204,TEXT(DATE(DASHBOARD!$B$4,2,1),"yyyy-mm"),PENGELUARAN!$L$5:$L$204,"Klien")))</f>
        <v>0</v>
      </c>
      <c r="D31" s="84">
        <f ca="1">IF(3&gt;MASTER!$AF$15,"",SUM(SUMIFS(PENGELUARAN!$K$5:$K$204,PENGELUARAN!$C$5:$C$204,TEXT(DATE(DASHBOARD!$B$4,3,1),"yyyy-mm"),PENGELUARAN!$L$5:$L$204,"Klien")))</f>
        <v>0</v>
      </c>
      <c r="E31" s="84">
        <f ca="1">IF(4&gt;MASTER!$AF$15,"",SUM(SUMIFS(PENGELUARAN!$K$5:$K$204,PENGELUARAN!$C$5:$C$204,TEXT(DATE(DASHBOARD!$B$4,4,1),"yyyy-mm"),PENGELUARAN!$L$5:$L$204,"Klien")))</f>
        <v>0</v>
      </c>
      <c r="F31" s="84">
        <f ca="1">IF(5&gt;MASTER!$AF$15,"",SUM(SUMIFS(PENGELUARAN!$K$5:$K$204,PENGELUARAN!$C$5:$C$204,TEXT(DATE(DASHBOARD!$B$4,5,1),"yyyy-mm"),PENGELUARAN!$L$5:$L$204,"Klien")))</f>
        <v>0</v>
      </c>
      <c r="G31" s="84">
        <f ca="1">IF(6&gt;MASTER!$AF$15,"",SUM(SUMIFS(PENGELUARAN!$K$5:$K$204,PENGELUARAN!$C$5:$C$204,TEXT(DATE(DASHBOARD!$B$4,6,1),"yyyy-mm"),PENGELUARAN!$L$5:$L$204,"Klien")))</f>
        <v>0</v>
      </c>
      <c r="H31" s="84">
        <f ca="1">IF(7&gt;MASTER!$AF$15,"",SUM(SUMIFS(PENGELUARAN!$K$5:$K$204,PENGELUARAN!$C$5:$C$204,TEXT(DATE(DASHBOARD!$B$4,7,1),"yyyy-mm"),PENGELUARAN!$L$5:$L$204,"Klien")))</f>
        <v>0</v>
      </c>
      <c r="I31" s="84">
        <f ca="1">IF(8&gt;MASTER!$AF$15,"",SUM(SUMIFS(PENGELUARAN!$K$5:$K$204,PENGELUARAN!$C$5:$C$204,TEXT(DATE(DASHBOARD!$B$4,8,1),"yyyy-mm"),PENGELUARAN!$L$5:$L$204,"Klien")))</f>
        <v>0</v>
      </c>
      <c r="J31" s="84" t="str">
        <f ca="1">IF(9&gt;MASTER!$AF$15,"",SUM(SUMIFS(PENGELUARAN!$K$5:$K$204,PENGELUARAN!$C$5:$C$204,TEXT(DATE(DASHBOARD!$B$4,9,1),"yyyy-mm"),PENGELUARAN!$L$5:$L$204,"Klien")))</f>
        <v/>
      </c>
      <c r="K31" s="84" t="str">
        <f ca="1">IF(10&gt;MASTER!$AF$15,"",SUM(SUMIFS(PENGELUARAN!$K$5:$K$204,PENGELUARAN!$C$5:$C$204,TEXT(DATE(DASHBOARD!$B$4,10,1),"yyyy-mm"),PENGELUARAN!$L$5:$L$204,"Klien")))</f>
        <v/>
      </c>
      <c r="L31" s="84" t="str">
        <f ca="1">IF(11&gt;MASTER!$AF$15,"",SUM(SUMIFS(PENGELUARAN!$K$5:$K$204,PENGELUARAN!$C$5:$C$204,TEXT(DATE(DASHBOARD!$B$4,11,1),"yyyy-mm"),PENGELUARAN!$L$5:$L$204,"Klien")))</f>
        <v/>
      </c>
      <c r="M31" s="84" t="str">
        <f ca="1">IF(12&gt;MASTER!$AF$15,"",SUM(SUMIFS(PENGELUARAN!$K$5:$K$204,PENGELUARAN!$C$5:$C$204,TEXT(DATE(DASHBOARD!$B$4,12,1),"yyyy-mm"),PENGELUARAN!$L$5:$L$204,"Klien")))</f>
        <v/>
      </c>
      <c r="N31" s="84">
        <f ca="1">SUM(B31:M31)</f>
        <v>0</v>
      </c>
    </row>
    <row r="33" spans="1:14" ht="34.950000000000003" customHeight="1">
      <c r="A33" s="239" t="s">
        <v>618</v>
      </c>
      <c r="B33" s="239"/>
      <c r="C33" s="239"/>
      <c r="D33" s="239"/>
      <c r="E33" s="239"/>
      <c r="F33" s="239"/>
      <c r="G33" s="239"/>
      <c r="H33" s="239"/>
      <c r="I33" s="239"/>
      <c r="J33" s="239"/>
      <c r="K33" s="239"/>
      <c r="L33" s="239"/>
      <c r="M33" s="239"/>
      <c r="N33" s="239"/>
    </row>
    <row r="35" spans="1:14">
      <c r="A35" t="s">
        <v>619</v>
      </c>
      <c r="B35" s="84">
        <f ca="1">IF(1&gt;MASTER!$AF$15,"",SUM(EKUITAS!$I$8))</f>
        <v>0</v>
      </c>
      <c r="C35" s="84">
        <f ca="1">IF(2&gt;MASTER!$AF$15,"",SUM(B39))</f>
        <v>0</v>
      </c>
      <c r="D35" s="84">
        <f ca="1">IF(3&gt;MASTER!$AF$15,"",SUM(C39))</f>
        <v>0</v>
      </c>
      <c r="E35" s="84">
        <f ca="1">IF(4&gt;MASTER!$AF$15,"",SUM(D39))</f>
        <v>0</v>
      </c>
      <c r="F35" s="84">
        <f ca="1">IF(5&gt;MASTER!$AF$15,"",SUM(E39))</f>
        <v>0</v>
      </c>
      <c r="G35" s="84">
        <f ca="1">IF(6&gt;MASTER!$AF$15,"",SUM(F39))</f>
        <v>0</v>
      </c>
      <c r="H35" s="84">
        <f ca="1">IF(7&gt;MASTER!$AF$15,"",SUM(G39))</f>
        <v>0</v>
      </c>
      <c r="I35" s="84">
        <f ca="1">IF(8&gt;MASTER!$AF$15,"",SUM(H39))</f>
        <v>0</v>
      </c>
      <c r="J35" s="84" t="str">
        <f ca="1">IF(9&gt;MASTER!$AF$15,"",SUM(I39))</f>
        <v/>
      </c>
      <c r="K35" s="84" t="str">
        <f ca="1">IF(10&gt;MASTER!$AF$15,"",SUM(J39))</f>
        <v/>
      </c>
      <c r="L35" s="84" t="str">
        <f ca="1">IF(11&gt;MASTER!$AF$15,"",SUM(K39))</f>
        <v/>
      </c>
      <c r="M35" s="84" t="str">
        <f ca="1">IF(12&gt;MASTER!$AF$15,"",SUM(L39))</f>
        <v/>
      </c>
      <c r="N35" s="84">
        <f>EKUITAS!$I$8</f>
        <v>0</v>
      </c>
    </row>
    <row r="36" spans="1:14">
      <c r="A36" t="s">
        <v>620</v>
      </c>
      <c r="B36" s="84">
        <f ca="1">IF(1&gt;MASTER!$AF$15,"",SUM(B7))</f>
        <v>0</v>
      </c>
      <c r="C36" s="84">
        <f ca="1">IF(2&gt;MASTER!$AF$15,"",SUM(C7))</f>
        <v>0</v>
      </c>
      <c r="D36" s="84">
        <f ca="1">IF(3&gt;MASTER!$AF$15,"",SUM(D7))</f>
        <v>0</v>
      </c>
      <c r="E36" s="84">
        <f ca="1">IF(4&gt;MASTER!$AF$15,"",SUM(E7))</f>
        <v>0</v>
      </c>
      <c r="F36" s="84">
        <f ca="1">IF(5&gt;MASTER!$AF$15,"",SUM(F7))</f>
        <v>0</v>
      </c>
      <c r="G36" s="84">
        <f ca="1">IF(6&gt;MASTER!$AF$15,"",SUM(G7))</f>
        <v>0</v>
      </c>
      <c r="H36" s="84">
        <f ca="1">IF(7&gt;MASTER!$AF$15,"",SUM(H7))</f>
        <v>0</v>
      </c>
      <c r="I36" s="84">
        <f ca="1">IF(8&gt;MASTER!$AF$15,"",SUM(I7))</f>
        <v>0</v>
      </c>
      <c r="J36" s="84" t="str">
        <f ca="1">IF(9&gt;MASTER!$AF$15,"",SUM(J7))</f>
        <v/>
      </c>
      <c r="K36" s="84" t="str">
        <f ca="1">IF(10&gt;MASTER!$AF$15,"",SUM(K7))</f>
        <v/>
      </c>
      <c r="L36" s="84" t="str">
        <f ca="1">IF(11&gt;MASTER!$AF$15,"",SUM(L7))</f>
        <v/>
      </c>
      <c r="M36" s="84" t="str">
        <f ca="1">IF(12&gt;MASTER!$AF$15,"",SUM(M7))</f>
        <v/>
      </c>
      <c r="N36" s="84">
        <f>N7</f>
        <v>0</v>
      </c>
    </row>
    <row r="37" spans="1:14">
      <c r="A37" t="s">
        <v>621</v>
      </c>
      <c r="B37" s="84">
        <f ca="1">IF(1&gt;MASTER!$AF$15,"",SUM(B14))</f>
        <v>0</v>
      </c>
      <c r="C37" s="84">
        <f ca="1">IF(2&gt;MASTER!$AF$15,"",SUM(C14))</f>
        <v>0</v>
      </c>
      <c r="D37" s="84">
        <f ca="1">IF(3&gt;MASTER!$AF$15,"",SUM(D14))</f>
        <v>0</v>
      </c>
      <c r="E37" s="84">
        <f ca="1">IF(4&gt;MASTER!$AF$15,"",SUM(E14))</f>
        <v>0</v>
      </c>
      <c r="F37" s="84">
        <f ca="1">IF(5&gt;MASTER!$AF$15,"",SUM(F14))</f>
        <v>0</v>
      </c>
      <c r="G37" s="84">
        <f ca="1">IF(6&gt;MASTER!$AF$15,"",SUM(G14))</f>
        <v>0</v>
      </c>
      <c r="H37" s="84">
        <f ca="1">IF(7&gt;MASTER!$AF$15,"",SUM(H14))</f>
        <v>0</v>
      </c>
      <c r="I37" s="84">
        <f ca="1">IF(8&gt;MASTER!$AF$15,"",SUM(I14))</f>
        <v>0</v>
      </c>
      <c r="J37" s="84" t="str">
        <f ca="1">IF(9&gt;MASTER!$AF$15,"",SUM(J14))</f>
        <v/>
      </c>
      <c r="K37" s="84" t="str">
        <f ca="1">IF(10&gt;MASTER!$AF$15,"",SUM(K14))</f>
        <v/>
      </c>
      <c r="L37" s="84" t="str">
        <f ca="1">IF(11&gt;MASTER!$AF$15,"",SUM(L14))</f>
        <v/>
      </c>
      <c r="M37" s="84" t="str">
        <f ca="1">IF(12&gt;MASTER!$AF$15,"",SUM(M14))</f>
        <v/>
      </c>
      <c r="N37" s="84">
        <f>N14</f>
        <v>0</v>
      </c>
    </row>
    <row r="38" spans="1:14">
      <c r="A38" s="108" t="s">
        <v>622</v>
      </c>
      <c r="B38" s="109">
        <f ca="1">IF(1&gt;MASTER!$AF$15,"",SUM(B26))</f>
        <v>0</v>
      </c>
      <c r="C38" s="109">
        <f ca="1">IF(2&gt;MASTER!$AF$15,"",SUM(C26))</f>
        <v>0</v>
      </c>
      <c r="D38" s="109">
        <f ca="1">IF(3&gt;MASTER!$AF$15,"",SUM(D26))</f>
        <v>0</v>
      </c>
      <c r="E38" s="109">
        <f ca="1">IF(4&gt;MASTER!$AF$15,"",SUM(E26))</f>
        <v>0</v>
      </c>
      <c r="F38" s="109">
        <f ca="1">IF(5&gt;MASTER!$AF$15,"",SUM(F26))</f>
        <v>0</v>
      </c>
      <c r="G38" s="109">
        <f ca="1">IF(6&gt;MASTER!$AF$15,"",SUM(G26))</f>
        <v>0</v>
      </c>
      <c r="H38" s="109">
        <f ca="1">IF(7&gt;MASTER!$AF$15,"",SUM(H26))</f>
        <v>0</v>
      </c>
      <c r="I38" s="109">
        <f ca="1">IF(8&gt;MASTER!$AF$15,"",SUM(I26))</f>
        <v>0</v>
      </c>
      <c r="J38" s="109" t="str">
        <f ca="1">IF(9&gt;MASTER!$AF$15,"",SUM(J26))</f>
        <v/>
      </c>
      <c r="K38" s="109" t="str">
        <f ca="1">IF(10&gt;MASTER!$AF$15,"",SUM(K26))</f>
        <v/>
      </c>
      <c r="L38" s="109" t="str">
        <f ca="1">IF(11&gt;MASTER!$AF$15,"",SUM(L26))</f>
        <v/>
      </c>
      <c r="M38" s="109" t="str">
        <f ca="1">IF(12&gt;MASTER!$AF$15,"",SUM(M26))</f>
        <v/>
      </c>
      <c r="N38" s="109">
        <f>N26</f>
        <v>0</v>
      </c>
    </row>
    <row r="39" spans="1:14">
      <c r="A39" s="99" t="s">
        <v>623</v>
      </c>
      <c r="B39" s="110">
        <f ca="1">IF(1&gt;MASTER!$AF$15,"",SUM(B35+B38))</f>
        <v>0</v>
      </c>
      <c r="C39" s="110">
        <f ca="1">IF(2&gt;MASTER!$AF$15,"",SUM(C35+C38))</f>
        <v>0</v>
      </c>
      <c r="D39" s="110">
        <f ca="1">IF(3&gt;MASTER!$AF$15,"",SUM(D35+D38))</f>
        <v>0</v>
      </c>
      <c r="E39" s="110">
        <f ca="1">IF(4&gt;MASTER!$AF$15,"",SUM(E35+E38))</f>
        <v>0</v>
      </c>
      <c r="F39" s="110">
        <f ca="1">IF(5&gt;MASTER!$AF$15,"",SUM(F35+F38))</f>
        <v>0</v>
      </c>
      <c r="G39" s="110">
        <f ca="1">IF(6&gt;MASTER!$AF$15,"",SUM(G35+G38))</f>
        <v>0</v>
      </c>
      <c r="H39" s="110">
        <f ca="1">IF(7&gt;MASTER!$AF$15,"",SUM(H35+H38))</f>
        <v>0</v>
      </c>
      <c r="I39" s="110">
        <f ca="1">IF(8&gt;MASTER!$AF$15,"",SUM(I35+I38))</f>
        <v>0</v>
      </c>
      <c r="J39" s="110" t="str">
        <f ca="1">IF(9&gt;MASTER!$AF$15,"",SUM(J35+J38))</f>
        <v/>
      </c>
      <c r="K39" s="110" t="str">
        <f ca="1">IF(10&gt;MASTER!$AF$15,"",SUM(K35+K38))</f>
        <v/>
      </c>
      <c r="L39" s="110" t="str">
        <f ca="1">IF(11&gt;MASTER!$AF$15,"",SUM(L35+L38))</f>
        <v/>
      </c>
      <c r="M39" s="110" t="str">
        <f ca="1">IF(12&gt;MASTER!$AF$15,"",SUM(M35+M38))</f>
        <v/>
      </c>
      <c r="N39" s="110">
        <f>N35+N38</f>
        <v>0</v>
      </c>
    </row>
    <row r="40" spans="1:14">
      <c r="B40" s="84"/>
      <c r="C40" s="84"/>
      <c r="D40" s="84"/>
      <c r="E40" s="84"/>
      <c r="F40" s="84"/>
      <c r="G40" s="84"/>
      <c r="H40" s="84"/>
      <c r="I40" s="84"/>
      <c r="J40" s="84"/>
      <c r="K40" s="84"/>
      <c r="L40" s="84"/>
      <c r="M40" s="84"/>
      <c r="N40" s="84"/>
    </row>
    <row r="41" spans="1:14">
      <c r="A41" t="s">
        <v>624</v>
      </c>
      <c r="B41" s="84">
        <f ca="1">IF(1&gt;MASTER!$AF$15,"",SUM(ARUS_KAS!B29))</f>
        <v>0</v>
      </c>
      <c r="C41" s="84">
        <f ca="1">IF(2&gt;MASTER!$AF$15,"",SUM(ARUS_KAS!C29))</f>
        <v>0</v>
      </c>
      <c r="D41" s="84">
        <f ca="1">IF(3&gt;MASTER!$AF$15,"",SUM(ARUS_KAS!D29))</f>
        <v>0</v>
      </c>
      <c r="E41" s="84">
        <f ca="1">IF(4&gt;MASTER!$AF$15,"",SUM(ARUS_KAS!E29))</f>
        <v>0</v>
      </c>
      <c r="F41" s="84">
        <f ca="1">IF(5&gt;MASTER!$AF$15,"",SUM(ARUS_KAS!F29))</f>
        <v>0</v>
      </c>
      <c r="G41" s="84">
        <f ca="1">IF(6&gt;MASTER!$AF$15,"",SUM(ARUS_KAS!G29))</f>
        <v>0</v>
      </c>
      <c r="H41" s="84">
        <f ca="1">IF(7&gt;MASTER!$AF$15,"",SUM(ARUS_KAS!H29))</f>
        <v>0</v>
      </c>
      <c r="I41" s="84">
        <f ca="1">IF(8&gt;MASTER!$AF$15,"",SUM(ARUS_KAS!I29))</f>
        <v>0</v>
      </c>
      <c r="J41" s="84" t="str">
        <f ca="1">IF(9&gt;MASTER!$AF$15,"",SUM(ARUS_KAS!J29))</f>
        <v/>
      </c>
      <c r="K41" s="84" t="str">
        <f ca="1">IF(10&gt;MASTER!$AF$15,"",SUM(ARUS_KAS!K29))</f>
        <v/>
      </c>
      <c r="L41" s="84" t="str">
        <f ca="1">IF(11&gt;MASTER!$AF$15,"",SUM(ARUS_KAS!L29))</f>
        <v/>
      </c>
      <c r="M41" s="84" t="str">
        <f ca="1">IF(12&gt;MASTER!$AF$15,"",SUM(ARUS_KAS!M29))</f>
        <v/>
      </c>
      <c r="N41" s="84">
        <f ca="1">B41</f>
        <v>0</v>
      </c>
    </row>
    <row r="42" spans="1:14">
      <c r="A42" s="111" t="s">
        <v>625</v>
      </c>
      <c r="B42" s="112">
        <f ca="1">IF(1&gt;MASTER!$AF$15,"",SUM(ARUS_KAS!B30))</f>
        <v>0</v>
      </c>
      <c r="C42" s="112">
        <f ca="1">IF(2&gt;MASTER!$AF$15,"",SUM(ARUS_KAS!C30))</f>
        <v>0</v>
      </c>
      <c r="D42" s="112">
        <f ca="1">IF(3&gt;MASTER!$AF$15,"",SUM(ARUS_KAS!D30))</f>
        <v>0</v>
      </c>
      <c r="E42" s="112">
        <f ca="1">IF(4&gt;MASTER!$AF$15,"",SUM(ARUS_KAS!E30))</f>
        <v>0</v>
      </c>
      <c r="F42" s="112">
        <f ca="1">IF(5&gt;MASTER!$AF$15,"",SUM(ARUS_KAS!F30))</f>
        <v>0</v>
      </c>
      <c r="G42" s="112">
        <f ca="1">IF(6&gt;MASTER!$AF$15,"",SUM(ARUS_KAS!G30))</f>
        <v>0</v>
      </c>
      <c r="H42" s="112">
        <f ca="1">IF(7&gt;MASTER!$AF$15,"",SUM(ARUS_KAS!H30))</f>
        <v>0</v>
      </c>
      <c r="I42" s="112">
        <f ca="1">IF(8&gt;MASTER!$AF$15,"",SUM(ARUS_KAS!I30))</f>
        <v>0</v>
      </c>
      <c r="J42" s="112" t="str">
        <f ca="1">IF(9&gt;MASTER!$AF$15,"",SUM(ARUS_KAS!J30))</f>
        <v/>
      </c>
      <c r="K42" s="112" t="str">
        <f ca="1">IF(10&gt;MASTER!$AF$15,"",SUM(ARUS_KAS!K30))</f>
        <v/>
      </c>
      <c r="L42" s="112" t="str">
        <f ca="1">IF(11&gt;MASTER!$AF$15,"",SUM(ARUS_KAS!L30))</f>
        <v/>
      </c>
      <c r="M42" s="112" t="str">
        <f ca="1">IF(12&gt;MASTER!$AF$15,"",SUM(ARUS_KAS!M30))</f>
        <v/>
      </c>
      <c r="N42" s="112">
        <f ca="1">INDEX(B42:M42,1,MASTER!$AF$15)</f>
        <v>0</v>
      </c>
    </row>
    <row r="43" spans="1:14">
      <c r="A43" t="s">
        <v>626</v>
      </c>
      <c r="B43" s="84">
        <f ca="1">TALANGAN_PARTNER!B18</f>
        <v>0</v>
      </c>
      <c r="C43" s="84">
        <f ca="1">TALANGAN_PARTNER!C18</f>
        <v>0</v>
      </c>
      <c r="D43" s="84">
        <f ca="1">TALANGAN_PARTNER!D18</f>
        <v>0</v>
      </c>
      <c r="E43" s="84">
        <f ca="1">TALANGAN_PARTNER!E18</f>
        <v>0</v>
      </c>
      <c r="F43" s="84">
        <f ca="1">TALANGAN_PARTNER!F18</f>
        <v>0</v>
      </c>
      <c r="G43" s="84">
        <f ca="1">TALANGAN_PARTNER!G18</f>
        <v>0</v>
      </c>
      <c r="H43" s="84">
        <f ca="1">TALANGAN_PARTNER!H18</f>
        <v>1000000</v>
      </c>
      <c r="I43" s="84">
        <f ca="1">TALANGAN_PARTNER!I18</f>
        <v>1000000</v>
      </c>
      <c r="J43" s="84" t="str">
        <f ca="1">TALANGAN_PARTNER!J18</f>
        <v/>
      </c>
      <c r="K43" s="84" t="str">
        <f ca="1">TALANGAN_PARTNER!K18</f>
        <v/>
      </c>
      <c r="L43" s="84" t="str">
        <f ca="1">TALANGAN_PARTNER!L18</f>
        <v/>
      </c>
      <c r="M43" s="84" t="str">
        <f ca="1">TALANGAN_PARTNER!M18</f>
        <v/>
      </c>
      <c r="N43" s="84" t="str">
        <f ca="1">M43</f>
        <v/>
      </c>
    </row>
    <row r="44" spans="1:14">
      <c r="A44" s="113" t="s">
        <v>627</v>
      </c>
      <c r="B44" s="114">
        <f>EKUITAS!B23</f>
        <v>-1095908</v>
      </c>
      <c r="C44" s="114">
        <f>EKUITAS!C23</f>
        <v>0</v>
      </c>
      <c r="D44" s="114">
        <f>EKUITAS!D23</f>
        <v>0</v>
      </c>
      <c r="E44" s="114">
        <f>EKUITAS!E23</f>
        <v>0</v>
      </c>
      <c r="F44" s="114">
        <f>EKUITAS!F23</f>
        <v>0</v>
      </c>
      <c r="G44" s="114">
        <f>EKUITAS!G23</f>
        <v>0</v>
      </c>
      <c r="H44" s="114">
        <f>EKUITAS!H23</f>
        <v>0</v>
      </c>
      <c r="I44" s="114">
        <f>EKUITAS!I23</f>
        <v>0</v>
      </c>
      <c r="J44" s="114">
        <f>EKUITAS!J23</f>
        <v>0</v>
      </c>
      <c r="K44" s="114">
        <f>EKUITAS!K23</f>
        <v>0</v>
      </c>
      <c r="L44" s="114">
        <f>EKUITAS!L23</f>
        <v>0</v>
      </c>
      <c r="M44" s="114">
        <f>EKUITAS!M23</f>
        <v>0</v>
      </c>
      <c r="N44" s="114">
        <f>M44</f>
        <v>0</v>
      </c>
    </row>
    <row r="46" spans="1:14">
      <c r="A46" s="369" t="s">
        <v>628</v>
      </c>
      <c r="B46" s="369"/>
      <c r="C46" s="369"/>
      <c r="D46" s="369"/>
      <c r="E46" s="369"/>
      <c r="F46" s="369"/>
      <c r="G46" s="369"/>
      <c r="H46" s="369"/>
      <c r="I46" s="369"/>
      <c r="J46" s="369"/>
      <c r="K46" s="369"/>
      <c r="L46" s="369"/>
      <c r="M46" s="369"/>
      <c r="N46" s="369"/>
    </row>
    <row r="47" spans="1:14">
      <c r="A47" s="369"/>
      <c r="B47" s="369"/>
      <c r="C47" s="369"/>
      <c r="D47" s="369"/>
      <c r="E47" s="369"/>
      <c r="F47" s="369"/>
      <c r="G47" s="369"/>
      <c r="H47" s="369"/>
      <c r="I47" s="369"/>
      <c r="J47" s="369"/>
      <c r="K47" s="369"/>
      <c r="L47" s="369"/>
      <c r="M47" s="369"/>
      <c r="N47" s="369"/>
    </row>
    <row r="49" spans="1:14" ht="34.950000000000003" customHeight="1">
      <c r="A49" s="239" t="s">
        <v>629</v>
      </c>
      <c r="B49" s="239"/>
      <c r="C49" s="239"/>
      <c r="D49" s="239"/>
      <c r="E49" s="239"/>
      <c r="F49" s="239"/>
      <c r="G49" s="239"/>
      <c r="H49" s="239"/>
      <c r="I49" s="239"/>
      <c r="J49" s="239"/>
      <c r="K49" s="239"/>
      <c r="L49" s="239"/>
      <c r="M49" s="239"/>
      <c r="N49" s="239"/>
    </row>
    <row r="50" spans="1:14" ht="34.950000000000003" customHeight="1">
      <c r="A50" s="239" t="s">
        <v>630</v>
      </c>
      <c r="B50" s="239"/>
      <c r="C50" s="239"/>
      <c r="D50" s="239" t="s">
        <v>631</v>
      </c>
      <c r="E50" s="239"/>
      <c r="F50" s="239"/>
      <c r="G50" s="239" t="s">
        <v>632</v>
      </c>
      <c r="H50" s="239"/>
      <c r="I50" s="239"/>
      <c r="J50" s="239"/>
      <c r="K50" s="239" t="s">
        <v>633</v>
      </c>
      <c r="L50" s="239"/>
      <c r="M50" s="239"/>
      <c r="N50" s="239"/>
    </row>
    <row r="51" spans="1:14">
      <c r="A51" s="371" t="str">
        <f ca="1">CHOOSE(MASTER!$AF$15,"Januari","Februari","Maret","April","Mei","Juni","Juli","Agustus","September","Oktober","November","Desember")&amp;" "&amp;DASHBOARD!$B$4</f>
        <v>Agustus 2026</v>
      </c>
      <c r="B51" s="371"/>
      <c r="C51" s="371"/>
      <c r="D51" s="372">
        <f ca="1">INDEX($B$38:$M$38,1,MASTER!$AF$15)</f>
        <v>0</v>
      </c>
      <c r="E51" s="371"/>
      <c r="F51" s="371"/>
      <c r="G51" s="372">
        <f ca="1">INDEX($B$39:$M$39,1,MASTER!$AF$15)</f>
        <v>0</v>
      </c>
      <c r="H51" s="371"/>
      <c r="I51" s="371"/>
      <c r="J51" s="371"/>
      <c r="K51" s="372">
        <f ca="1">INDEX($B$42:$M$42,1,MASTER!$AF$15)</f>
        <v>0</v>
      </c>
      <c r="L51" s="371"/>
      <c r="M51" s="371"/>
      <c r="N51" s="371"/>
    </row>
    <row r="52" spans="1:14">
      <c r="A52" s="371"/>
      <c r="B52" s="371"/>
      <c r="C52" s="371"/>
      <c r="D52" s="371"/>
      <c r="E52" s="371"/>
      <c r="F52" s="371"/>
      <c r="G52" s="371"/>
      <c r="H52" s="371"/>
      <c r="I52" s="371"/>
      <c r="J52" s="371"/>
      <c r="K52" s="371"/>
      <c r="L52" s="371"/>
      <c r="M52" s="371"/>
      <c r="N52" s="371"/>
    </row>
    <row r="54" spans="1:14">
      <c r="A54" s="370" t="str">
        <f ca="1">IF(D51&lt;0,"Bulan terpilih mengalami rugi karena pendapatan bulan itu lebih kecil daripada biayanya. Angka rugi bulanan tidak menghapus laba kumulatif atau saldo kas bulan sebelumnya; gunakan ketiga kartu angka di atas.","Pendapatan dan biaya bulan berjalan tercermin pada laba bulanan. Laba kumulatif dan kas akhir tetap membawa saldo bulan sebelumnya; saldo kas lama bukan pendapatan baru.")</f>
        <v>Pendapatan dan biaya bulan berjalan tercermin pada laba bulanan. Laba kumulatif dan kas akhir tetap membawa saldo bulan sebelumnya; saldo kas lama bukan pendapatan baru.</v>
      </c>
      <c r="B54" s="370"/>
      <c r="C54" s="370"/>
      <c r="D54" s="370"/>
      <c r="E54" s="370"/>
      <c r="F54" s="370"/>
      <c r="G54" s="370"/>
      <c r="H54" s="370"/>
      <c r="I54" s="370"/>
      <c r="J54" s="370"/>
      <c r="K54" s="370"/>
      <c r="L54" s="370"/>
      <c r="M54" s="370"/>
      <c r="N54" s="370"/>
    </row>
    <row r="55" spans="1:14">
      <c r="A55" s="370"/>
      <c r="B55" s="370"/>
      <c r="C55" s="370"/>
      <c r="D55" s="370"/>
      <c r="E55" s="370"/>
      <c r="F55" s="370"/>
      <c r="G55" s="370"/>
      <c r="H55" s="370"/>
      <c r="I55" s="370"/>
      <c r="J55" s="370"/>
      <c r="K55" s="370"/>
      <c r="L55" s="370"/>
      <c r="M55" s="370"/>
      <c r="N55" s="370"/>
    </row>
    <row r="56" spans="1:14">
      <c r="A56" s="370"/>
      <c r="B56" s="370"/>
      <c r="C56" s="370"/>
      <c r="D56" s="370"/>
      <c r="E56" s="370"/>
      <c r="F56" s="370"/>
      <c r="G56" s="370"/>
      <c r="H56" s="370"/>
      <c r="I56" s="370"/>
      <c r="J56" s="370"/>
      <c r="K56" s="370"/>
      <c r="L56" s="370"/>
      <c r="M56" s="370"/>
      <c r="N56" s="370"/>
    </row>
  </sheetData>
  <mergeCells count="14">
    <mergeCell ref="A54:N56"/>
    <mergeCell ref="A50:C50"/>
    <mergeCell ref="D50:F50"/>
    <mergeCell ref="G50:J50"/>
    <mergeCell ref="K50:N50"/>
    <mergeCell ref="A51:C52"/>
    <mergeCell ref="D51:F52"/>
    <mergeCell ref="G51:J52"/>
    <mergeCell ref="K51:N52"/>
    <mergeCell ref="A3:N3"/>
    <mergeCell ref="A1:N2"/>
    <mergeCell ref="A33:N33"/>
    <mergeCell ref="A46:N47"/>
    <mergeCell ref="A49:N4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124"/>
  <sheetViews>
    <sheetView showGridLines="0" workbookViewId="0">
      <selection sqref="A1:W2"/>
    </sheetView>
  </sheetViews>
  <sheetFormatPr defaultRowHeight="13.8"/>
  <cols>
    <col min="1" max="1" width="21" customWidth="1"/>
    <col min="2" max="2" width="15" customWidth="1"/>
    <col min="3" max="3" width="24" customWidth="1"/>
    <col min="4" max="4" width="28" customWidth="1"/>
    <col min="5" max="6" width="21" customWidth="1"/>
    <col min="7" max="7" width="20" customWidth="1"/>
    <col min="8" max="8" width="16" customWidth="1"/>
    <col min="9" max="9" width="18" customWidth="1"/>
    <col min="10" max="10" width="22" customWidth="1"/>
    <col min="11" max="11" width="25" customWidth="1"/>
    <col min="12" max="12" width="26" customWidth="1"/>
    <col min="13" max="13" width="21" customWidth="1"/>
    <col min="14" max="14" width="27" customWidth="1"/>
    <col min="15" max="15" width="37" customWidth="1"/>
    <col min="19" max="22" width="21" customWidth="1"/>
    <col min="23" max="23" width="24" customWidth="1"/>
  </cols>
  <sheetData>
    <row r="1" spans="1:23" ht="25.05" customHeight="1">
      <c r="A1" s="282" t="s">
        <v>316</v>
      </c>
      <c r="B1" s="282" t="s">
        <v>316</v>
      </c>
      <c r="C1" s="282" t="s">
        <v>316</v>
      </c>
      <c r="D1" s="282" t="s">
        <v>316</v>
      </c>
      <c r="E1" s="282" t="s">
        <v>316</v>
      </c>
      <c r="F1" s="282" t="s">
        <v>316</v>
      </c>
      <c r="G1" s="282" t="s">
        <v>316</v>
      </c>
      <c r="H1" s="282" t="s">
        <v>316</v>
      </c>
      <c r="I1" s="282" t="s">
        <v>316</v>
      </c>
      <c r="J1" s="282" t="s">
        <v>316</v>
      </c>
      <c r="K1" s="282" t="s">
        <v>316</v>
      </c>
      <c r="L1" s="282" t="s">
        <v>316</v>
      </c>
      <c r="M1" s="282" t="s">
        <v>316</v>
      </c>
      <c r="N1" s="282" t="s">
        <v>316</v>
      </c>
      <c r="O1" s="282" t="s">
        <v>316</v>
      </c>
      <c r="P1" s="283"/>
      <c r="Q1" s="283"/>
      <c r="R1" s="283"/>
      <c r="S1" s="283"/>
      <c r="T1" s="283"/>
      <c r="U1" s="283"/>
      <c r="V1" s="283"/>
      <c r="W1" s="283"/>
    </row>
    <row r="2" spans="1:23" ht="25.05" customHeight="1">
      <c r="A2" s="282" t="s">
        <v>316</v>
      </c>
      <c r="B2" s="282" t="s">
        <v>316</v>
      </c>
      <c r="C2" s="282" t="s">
        <v>316</v>
      </c>
      <c r="D2" s="282" t="s">
        <v>316</v>
      </c>
      <c r="E2" s="282" t="s">
        <v>316</v>
      </c>
      <c r="F2" s="282" t="s">
        <v>316</v>
      </c>
      <c r="G2" s="282" t="s">
        <v>316</v>
      </c>
      <c r="H2" s="282" t="s">
        <v>316</v>
      </c>
      <c r="I2" s="282" t="s">
        <v>316</v>
      </c>
      <c r="J2" s="282" t="s">
        <v>316</v>
      </c>
      <c r="K2" s="282" t="s">
        <v>316</v>
      </c>
      <c r="L2" s="282" t="s">
        <v>316</v>
      </c>
      <c r="M2" s="282" t="s">
        <v>316</v>
      </c>
      <c r="N2" s="282" t="s">
        <v>316</v>
      </c>
      <c r="O2" s="282" t="s">
        <v>316</v>
      </c>
      <c r="P2" s="283"/>
      <c r="Q2" s="283"/>
      <c r="R2" s="283"/>
      <c r="S2" s="283"/>
      <c r="T2" s="283"/>
      <c r="U2" s="283"/>
      <c r="V2" s="283"/>
      <c r="W2" s="283"/>
    </row>
    <row r="3" spans="1:23" ht="30" customHeight="1">
      <c r="A3" s="284" t="s">
        <v>641</v>
      </c>
      <c r="B3" s="284" t="s">
        <v>317</v>
      </c>
      <c r="C3" s="284" t="s">
        <v>317</v>
      </c>
      <c r="D3" s="284" t="s">
        <v>317</v>
      </c>
      <c r="E3" s="284" t="s">
        <v>317</v>
      </c>
      <c r="F3" s="284" t="s">
        <v>317</v>
      </c>
      <c r="G3" s="284" t="s">
        <v>317</v>
      </c>
      <c r="H3" s="284" t="s">
        <v>317</v>
      </c>
      <c r="I3" s="284" t="s">
        <v>317</v>
      </c>
      <c r="J3" s="284" t="s">
        <v>317</v>
      </c>
      <c r="K3" s="284" t="s">
        <v>317</v>
      </c>
      <c r="L3" s="284" t="s">
        <v>317</v>
      </c>
      <c r="M3" s="284" t="s">
        <v>317</v>
      </c>
      <c r="N3" s="284" t="s">
        <v>317</v>
      </c>
      <c r="O3" s="284" t="s">
        <v>317</v>
      </c>
      <c r="P3" s="285"/>
      <c r="Q3" s="285"/>
      <c r="R3" s="285"/>
      <c r="S3" s="285"/>
      <c r="T3" s="285"/>
      <c r="U3" s="285"/>
      <c r="V3" s="285"/>
      <c r="W3" s="285"/>
    </row>
    <row r="4" spans="1:23" ht="34.950000000000003" customHeight="1">
      <c r="A4" s="7" t="s">
        <v>318</v>
      </c>
      <c r="B4" s="7" t="s">
        <v>84</v>
      </c>
      <c r="C4" s="7" t="s">
        <v>319</v>
      </c>
      <c r="D4" s="7" t="s">
        <v>320</v>
      </c>
      <c r="E4" s="7" t="s">
        <v>321</v>
      </c>
      <c r="F4" s="7" t="s">
        <v>322</v>
      </c>
      <c r="G4" s="7" t="s">
        <v>323</v>
      </c>
      <c r="H4" s="7" t="s">
        <v>154</v>
      </c>
      <c r="I4" s="7" t="s">
        <v>148</v>
      </c>
      <c r="J4" s="7" t="s">
        <v>135</v>
      </c>
      <c r="K4" s="7" t="s">
        <v>180</v>
      </c>
      <c r="L4" s="7" t="s">
        <v>324</v>
      </c>
      <c r="M4" s="7" t="s">
        <v>274</v>
      </c>
      <c r="N4" s="7" t="s">
        <v>325</v>
      </c>
      <c r="O4" s="7" t="s">
        <v>79</v>
      </c>
      <c r="P4" s="66" t="s">
        <v>594</v>
      </c>
      <c r="Q4" s="66" t="s">
        <v>595</v>
      </c>
      <c r="R4" s="66" t="s">
        <v>581</v>
      </c>
      <c r="S4" s="101" t="s">
        <v>587</v>
      </c>
      <c r="T4" s="101" t="s">
        <v>589</v>
      </c>
      <c r="U4" s="101" t="s">
        <v>590</v>
      </c>
      <c r="V4" s="101" t="s">
        <v>591</v>
      </c>
      <c r="W4" s="162" t="s">
        <v>585</v>
      </c>
    </row>
    <row r="5" spans="1:23" ht="30" customHeight="1">
      <c r="A5" s="170" t="str">
        <f t="shared" ref="A5:A36" si="0">IF(B5="","",IFERROR("LIA-"&amp;TEXT(B5,"yyyymm")&amp;"-"&amp;TEXT(ROW()-4,"000"),"PERIODE TIDAK VALID"))</f>
        <v>LIA-202608-001</v>
      </c>
      <c r="B5" s="171">
        <v>46235</v>
      </c>
      <c r="C5" s="172" t="s">
        <v>642</v>
      </c>
      <c r="D5" s="172" t="s">
        <v>643</v>
      </c>
      <c r="E5" s="173">
        <v>1500000</v>
      </c>
      <c r="F5" s="173">
        <v>0</v>
      </c>
      <c r="G5" s="174">
        <f t="shared" ref="G5:G36" si="1">IF(B5="","",MAX(E5-F5,0))</f>
        <v>1500000</v>
      </c>
      <c r="H5" s="175">
        <v>46265</v>
      </c>
      <c r="I5" s="175"/>
      <c r="J5" s="172" t="s">
        <v>182</v>
      </c>
      <c r="K5" s="170" t="str">
        <f ca="1">IF(B5="","",IF(G5=0,"Lunas",IF(H5="","Belum Ada Jatuh Tempo",IF(TODAY()&gt;H5,"Jatuh Tempo",IF(H5-TODAY()&lt;=MASTER!$AF$5,"Segera Jatuh Tempo","Belum Dibayar")))))</f>
        <v>Segera Jatuh Tempo</v>
      </c>
      <c r="L5" s="172"/>
      <c r="M5" s="172" t="s">
        <v>577</v>
      </c>
      <c r="N5" s="172" t="s">
        <v>644</v>
      </c>
      <c r="O5" s="172" t="s">
        <v>645</v>
      </c>
      <c r="P5" s="176"/>
      <c r="Q5" s="164" t="str">
        <f>IF(P5="","",IFERROR(INDEX(PERKARA!$B$5:$B$104,MATCH(P5,PERKARA!$A$5:$A$104,0)),"ID TIDAK TERDAFTAR"))</f>
        <v/>
      </c>
      <c r="R5" s="164" t="str">
        <f t="shared" ref="R5:R36" si="2">IF(B5="","",IF(F5&gt;E5,"PEMBAYARAN MELEBIHI KEWAJIBAN",IF(AND(F5&gt;0,J5=""),"AKUN PEMBAYARAN BELUM DIISI",IF(AND(F5&gt;0,I5=""),"TANGGAL PEMBAYARAN BELUM DIISI",IF(AND(P5&lt;&gt;"",Q5="ID TIDAK TERDAFTAR"),"PERKARA TIDAK VALID",IF(AND(F5&gt;0,OR(S5&lt;&gt;"Disetujui",T5="")),"DIBAYAR TANPA OTORISASI","OK"))))))</f>
        <v>OK</v>
      </c>
      <c r="S5" s="176" t="s">
        <v>646</v>
      </c>
      <c r="T5" s="176" t="s">
        <v>577</v>
      </c>
      <c r="U5" s="177">
        <v>46257</v>
      </c>
      <c r="V5" s="176" t="s">
        <v>647</v>
      </c>
      <c r="W5" s="163" t="str">
        <f t="shared" ref="W5:W36" si="3">IF(B5="","",IF(S5="Ditolak","DITOLAK",IF(AND(S5="Disetujui",T5&lt;&gt;""),"LENGKAP",IF(S5="Disetujui","NAMA PENYETUJU BELUM DIISI","MENUNGGU PERSETUJUAN MANUAL"))))</f>
        <v>LENGKAP</v>
      </c>
    </row>
    <row r="6" spans="1:23" ht="30" customHeight="1">
      <c r="A6" s="170" t="str">
        <f t="shared" si="0"/>
        <v>LIA-202608-002</v>
      </c>
      <c r="B6" s="171">
        <v>46236</v>
      </c>
      <c r="C6" s="172" t="s">
        <v>642</v>
      </c>
      <c r="D6" s="172" t="s">
        <v>648</v>
      </c>
      <c r="E6" s="173">
        <v>1500000</v>
      </c>
      <c r="F6" s="173">
        <v>0</v>
      </c>
      <c r="G6" s="174">
        <f t="shared" si="1"/>
        <v>1500000</v>
      </c>
      <c r="H6" s="175">
        <v>46265</v>
      </c>
      <c r="I6" s="175"/>
      <c r="J6" s="172" t="s">
        <v>182</v>
      </c>
      <c r="K6" s="170" t="str">
        <f ca="1">IF(B6="","",IF(G6=0,"Lunas",IF(H6="","Belum Ada Jatuh Tempo",IF(TODAY()&gt;H6,"Jatuh Tempo",IF(H6-TODAY()&lt;=MASTER!$AF$5,"Segera Jatuh Tempo","Belum Dibayar")))))</f>
        <v>Segera Jatuh Tempo</v>
      </c>
      <c r="L6" s="172"/>
      <c r="M6" s="172" t="s">
        <v>577</v>
      </c>
      <c r="N6" s="172" t="s">
        <v>649</v>
      </c>
      <c r="O6" s="172" t="s">
        <v>645</v>
      </c>
      <c r="P6" s="176"/>
      <c r="Q6" s="164" t="str">
        <f>IF(P6="","",IFERROR(INDEX(PERKARA!$B$5:$B$104,MATCH(P6,PERKARA!$A$5:$A$104,0)),"ID TIDAK TERDAFTAR"))</f>
        <v/>
      </c>
      <c r="R6" s="164" t="str">
        <f t="shared" si="2"/>
        <v>OK</v>
      </c>
      <c r="S6" s="176" t="s">
        <v>646</v>
      </c>
      <c r="T6" s="176" t="s">
        <v>577</v>
      </c>
      <c r="U6" s="177">
        <v>46257</v>
      </c>
      <c r="V6" s="176" t="s">
        <v>647</v>
      </c>
      <c r="W6" s="163" t="str">
        <f t="shared" si="3"/>
        <v>LENGKAP</v>
      </c>
    </row>
    <row r="7" spans="1:23">
      <c r="A7" s="9" t="str">
        <f t="shared" si="0"/>
        <v/>
      </c>
      <c r="B7" s="82"/>
      <c r="C7" s="6"/>
      <c r="D7" s="6"/>
      <c r="E7" s="11"/>
      <c r="F7" s="11"/>
      <c r="G7" s="12" t="str">
        <f t="shared" si="1"/>
        <v/>
      </c>
      <c r="H7" s="10"/>
      <c r="I7" s="10"/>
      <c r="J7" s="6"/>
      <c r="K7" s="9" t="str">
        <f ca="1">IF(B7="","",IF(G7=0,"Lunas",IF(H7="","Belum Ada Jatuh Tempo",IF(TODAY()&gt;H7,"Jatuh Tempo",IF(H7-TODAY()&lt;=MASTER!$AF$5,"Segera Jatuh Tempo","Belum Dibayar")))))</f>
        <v/>
      </c>
      <c r="L7" s="6"/>
      <c r="M7" s="6"/>
      <c r="N7" s="6"/>
      <c r="O7" s="6"/>
      <c r="P7" s="64"/>
      <c r="Q7" s="67" t="str">
        <f>IF(P7="","",IFERROR(INDEX(PERKARA!$B$5:$B$104,MATCH(P7,PERKARA!$A$5:$A$104,0)),"ID TIDAK TERDAFTAR"))</f>
        <v/>
      </c>
      <c r="R7" s="67" t="str">
        <f t="shared" si="2"/>
        <v/>
      </c>
      <c r="S7" s="98"/>
      <c r="T7" s="98"/>
      <c r="U7" s="105"/>
      <c r="V7" s="98"/>
      <c r="W7" s="163" t="str">
        <f t="shared" si="3"/>
        <v/>
      </c>
    </row>
    <row r="8" spans="1:23">
      <c r="A8" s="9" t="str">
        <f t="shared" si="0"/>
        <v/>
      </c>
      <c r="B8" s="82"/>
      <c r="C8" s="6"/>
      <c r="D8" s="6"/>
      <c r="E8" s="11"/>
      <c r="F8" s="11"/>
      <c r="G8" s="12" t="str">
        <f t="shared" si="1"/>
        <v/>
      </c>
      <c r="H8" s="10"/>
      <c r="I8" s="10"/>
      <c r="J8" s="6"/>
      <c r="K8" s="9" t="str">
        <f ca="1">IF(B8="","",IF(G8=0,"Lunas",IF(H8="","Belum Ada Jatuh Tempo",IF(TODAY()&gt;H8,"Jatuh Tempo",IF(H8-TODAY()&lt;=MASTER!$AF$5,"Segera Jatuh Tempo","Belum Dibayar")))))</f>
        <v/>
      </c>
      <c r="L8" s="6"/>
      <c r="M8" s="6"/>
      <c r="N8" s="6"/>
      <c r="O8" s="6"/>
      <c r="P8" s="64"/>
      <c r="Q8" s="67" t="str">
        <f>IF(P8="","",IFERROR(INDEX(PERKARA!$B$5:$B$104,MATCH(P8,PERKARA!$A$5:$A$104,0)),"ID TIDAK TERDAFTAR"))</f>
        <v/>
      </c>
      <c r="R8" s="67" t="str">
        <f t="shared" si="2"/>
        <v/>
      </c>
      <c r="S8" s="98"/>
      <c r="T8" s="98"/>
      <c r="U8" s="105"/>
      <c r="V8" s="98"/>
      <c r="W8" s="163" t="str">
        <f t="shared" si="3"/>
        <v/>
      </c>
    </row>
    <row r="9" spans="1:23">
      <c r="A9" s="9" t="str">
        <f t="shared" si="0"/>
        <v/>
      </c>
      <c r="B9" s="82"/>
      <c r="C9" s="6"/>
      <c r="D9" s="6"/>
      <c r="E9" s="11"/>
      <c r="F9" s="11"/>
      <c r="G9" s="12" t="str">
        <f t="shared" si="1"/>
        <v/>
      </c>
      <c r="H9" s="10"/>
      <c r="I9" s="10"/>
      <c r="J9" s="6"/>
      <c r="K9" s="9" t="str">
        <f ca="1">IF(B9="","",IF(G9=0,"Lunas",IF(H9="","Belum Ada Jatuh Tempo",IF(TODAY()&gt;H9,"Jatuh Tempo",IF(H9-TODAY()&lt;=MASTER!$AF$5,"Segera Jatuh Tempo","Belum Dibayar")))))</f>
        <v/>
      </c>
      <c r="L9" s="6"/>
      <c r="M9" s="6"/>
      <c r="N9" s="6"/>
      <c r="O9" s="6"/>
      <c r="P9" s="64"/>
      <c r="Q9" s="67" t="str">
        <f>IF(P9="","",IFERROR(INDEX(PERKARA!$B$5:$B$104,MATCH(P9,PERKARA!$A$5:$A$104,0)),"ID TIDAK TERDAFTAR"))</f>
        <v/>
      </c>
      <c r="R9" s="67" t="str">
        <f t="shared" si="2"/>
        <v/>
      </c>
      <c r="S9" s="98"/>
      <c r="T9" s="98"/>
      <c r="U9" s="105"/>
      <c r="V9" s="98"/>
      <c r="W9" s="163" t="str">
        <f t="shared" si="3"/>
        <v/>
      </c>
    </row>
    <row r="10" spans="1:23">
      <c r="A10" s="9" t="str">
        <f t="shared" si="0"/>
        <v/>
      </c>
      <c r="B10" s="82"/>
      <c r="C10" s="6"/>
      <c r="D10" s="6"/>
      <c r="E10" s="11"/>
      <c r="F10" s="11"/>
      <c r="G10" s="12" t="str">
        <f t="shared" si="1"/>
        <v/>
      </c>
      <c r="H10" s="10"/>
      <c r="I10" s="10"/>
      <c r="J10" s="6"/>
      <c r="K10" s="9" t="str">
        <f ca="1">IF(B10="","",IF(G10=0,"Lunas",IF(H10="","Belum Ada Jatuh Tempo",IF(TODAY()&gt;H10,"Jatuh Tempo",IF(H10-TODAY()&lt;=MASTER!$AF$5,"Segera Jatuh Tempo","Belum Dibayar")))))</f>
        <v/>
      </c>
      <c r="L10" s="6"/>
      <c r="M10" s="6"/>
      <c r="N10" s="6"/>
      <c r="O10" s="6"/>
      <c r="P10" s="64"/>
      <c r="Q10" s="67" t="str">
        <f>IF(P10="","",IFERROR(INDEX(PERKARA!$B$5:$B$104,MATCH(P10,PERKARA!$A$5:$A$104,0)),"ID TIDAK TERDAFTAR"))</f>
        <v/>
      </c>
      <c r="R10" s="67" t="str">
        <f t="shared" si="2"/>
        <v/>
      </c>
      <c r="S10" s="98"/>
      <c r="T10" s="98"/>
      <c r="U10" s="105"/>
      <c r="V10" s="98"/>
      <c r="W10" s="163" t="str">
        <f t="shared" si="3"/>
        <v/>
      </c>
    </row>
    <row r="11" spans="1:23">
      <c r="A11" s="9" t="str">
        <f t="shared" si="0"/>
        <v/>
      </c>
      <c r="B11" s="82"/>
      <c r="C11" s="6"/>
      <c r="D11" s="6"/>
      <c r="E11" s="11"/>
      <c r="F11" s="11"/>
      <c r="G11" s="12" t="str">
        <f t="shared" si="1"/>
        <v/>
      </c>
      <c r="H11" s="10"/>
      <c r="I11" s="10"/>
      <c r="J11" s="6"/>
      <c r="K11" s="9" t="str">
        <f ca="1">IF(B11="","",IF(G11=0,"Lunas",IF(H11="","Belum Ada Jatuh Tempo",IF(TODAY()&gt;H11,"Jatuh Tempo",IF(H11-TODAY()&lt;=MASTER!$AF$5,"Segera Jatuh Tempo","Belum Dibayar")))))</f>
        <v/>
      </c>
      <c r="L11" s="6"/>
      <c r="M11" s="6"/>
      <c r="N11" s="6"/>
      <c r="O11" s="6"/>
      <c r="P11" s="64"/>
      <c r="Q11" s="67" t="str">
        <f>IF(P11="","",IFERROR(INDEX(PERKARA!$B$5:$B$104,MATCH(P11,PERKARA!$A$5:$A$104,0)),"ID TIDAK TERDAFTAR"))</f>
        <v/>
      </c>
      <c r="R11" s="67" t="str">
        <f t="shared" si="2"/>
        <v/>
      </c>
      <c r="S11" s="98"/>
      <c r="T11" s="98"/>
      <c r="U11" s="105"/>
      <c r="V11" s="98"/>
      <c r="W11" s="163" t="str">
        <f t="shared" si="3"/>
        <v/>
      </c>
    </row>
    <row r="12" spans="1:23">
      <c r="A12" s="9" t="str">
        <f t="shared" si="0"/>
        <v/>
      </c>
      <c r="B12" s="82"/>
      <c r="C12" s="6"/>
      <c r="D12" s="6"/>
      <c r="E12" s="11"/>
      <c r="F12" s="11"/>
      <c r="G12" s="12" t="str">
        <f t="shared" si="1"/>
        <v/>
      </c>
      <c r="H12" s="10"/>
      <c r="I12" s="10"/>
      <c r="J12" s="6"/>
      <c r="K12" s="9" t="str">
        <f ca="1">IF(B12="","",IF(G12=0,"Lunas",IF(H12="","Belum Ada Jatuh Tempo",IF(TODAY()&gt;H12,"Jatuh Tempo",IF(H12-TODAY()&lt;=MASTER!$AF$5,"Segera Jatuh Tempo","Belum Dibayar")))))</f>
        <v/>
      </c>
      <c r="L12" s="6"/>
      <c r="M12" s="6"/>
      <c r="N12" s="6"/>
      <c r="O12" s="6"/>
      <c r="P12" s="64"/>
      <c r="Q12" s="67" t="str">
        <f>IF(P12="","",IFERROR(INDEX(PERKARA!$B$5:$B$104,MATCH(P12,PERKARA!$A$5:$A$104,0)),"ID TIDAK TERDAFTAR"))</f>
        <v/>
      </c>
      <c r="R12" s="67" t="str">
        <f t="shared" si="2"/>
        <v/>
      </c>
      <c r="S12" s="98"/>
      <c r="T12" s="98"/>
      <c r="U12" s="105"/>
      <c r="V12" s="98"/>
      <c r="W12" s="163" t="str">
        <f t="shared" si="3"/>
        <v/>
      </c>
    </row>
    <row r="13" spans="1:23">
      <c r="A13" s="9" t="str">
        <f t="shared" si="0"/>
        <v/>
      </c>
      <c r="B13" s="82"/>
      <c r="C13" s="6"/>
      <c r="D13" s="6"/>
      <c r="E13" s="11"/>
      <c r="F13" s="11"/>
      <c r="G13" s="12" t="str">
        <f t="shared" si="1"/>
        <v/>
      </c>
      <c r="H13" s="10"/>
      <c r="I13" s="10"/>
      <c r="J13" s="6"/>
      <c r="K13" s="9" t="str">
        <f ca="1">IF(B13="","",IF(G13=0,"Lunas",IF(H13="","Belum Ada Jatuh Tempo",IF(TODAY()&gt;H13,"Jatuh Tempo",IF(H13-TODAY()&lt;=MASTER!$AF$5,"Segera Jatuh Tempo","Belum Dibayar")))))</f>
        <v/>
      </c>
      <c r="L13" s="6"/>
      <c r="M13" s="6"/>
      <c r="N13" s="6"/>
      <c r="O13" s="6"/>
      <c r="P13" s="64"/>
      <c r="Q13" s="67" t="str">
        <f>IF(P13="","",IFERROR(INDEX(PERKARA!$B$5:$B$104,MATCH(P13,PERKARA!$A$5:$A$104,0)),"ID TIDAK TERDAFTAR"))</f>
        <v/>
      </c>
      <c r="R13" s="67" t="str">
        <f t="shared" si="2"/>
        <v/>
      </c>
      <c r="S13" s="98"/>
      <c r="T13" s="98"/>
      <c r="U13" s="105"/>
      <c r="V13" s="98"/>
      <c r="W13" s="163" t="str">
        <f t="shared" si="3"/>
        <v/>
      </c>
    </row>
    <row r="14" spans="1:23">
      <c r="A14" s="9" t="str">
        <f t="shared" si="0"/>
        <v/>
      </c>
      <c r="B14" s="82"/>
      <c r="C14" s="6"/>
      <c r="D14" s="6"/>
      <c r="E14" s="11"/>
      <c r="F14" s="11"/>
      <c r="G14" s="12" t="str">
        <f t="shared" si="1"/>
        <v/>
      </c>
      <c r="H14" s="10"/>
      <c r="I14" s="10"/>
      <c r="J14" s="6"/>
      <c r="K14" s="9" t="str">
        <f ca="1">IF(B14="","",IF(G14=0,"Lunas",IF(H14="","Belum Ada Jatuh Tempo",IF(TODAY()&gt;H14,"Jatuh Tempo",IF(H14-TODAY()&lt;=MASTER!$AF$5,"Segera Jatuh Tempo","Belum Dibayar")))))</f>
        <v/>
      </c>
      <c r="L14" s="6"/>
      <c r="M14" s="6"/>
      <c r="N14" s="6"/>
      <c r="O14" s="6"/>
      <c r="P14" s="64"/>
      <c r="Q14" s="67" t="str">
        <f>IF(P14="","",IFERROR(INDEX(PERKARA!$B$5:$B$104,MATCH(P14,PERKARA!$A$5:$A$104,0)),"ID TIDAK TERDAFTAR"))</f>
        <v/>
      </c>
      <c r="R14" s="67" t="str">
        <f t="shared" si="2"/>
        <v/>
      </c>
      <c r="S14" s="98"/>
      <c r="T14" s="98"/>
      <c r="U14" s="105"/>
      <c r="V14" s="98"/>
      <c r="W14" s="163" t="str">
        <f t="shared" si="3"/>
        <v/>
      </c>
    </row>
    <row r="15" spans="1:23">
      <c r="A15" s="9" t="str">
        <f t="shared" si="0"/>
        <v/>
      </c>
      <c r="B15" s="82"/>
      <c r="C15" s="6"/>
      <c r="D15" s="6"/>
      <c r="E15" s="11"/>
      <c r="F15" s="11"/>
      <c r="G15" s="12" t="str">
        <f t="shared" si="1"/>
        <v/>
      </c>
      <c r="H15" s="10"/>
      <c r="I15" s="10"/>
      <c r="J15" s="6"/>
      <c r="K15" s="9" t="str">
        <f ca="1">IF(B15="","",IF(G15=0,"Lunas",IF(H15="","Belum Ada Jatuh Tempo",IF(TODAY()&gt;H15,"Jatuh Tempo",IF(H15-TODAY()&lt;=MASTER!$AF$5,"Segera Jatuh Tempo","Belum Dibayar")))))</f>
        <v/>
      </c>
      <c r="L15" s="6"/>
      <c r="M15" s="6"/>
      <c r="N15" s="6"/>
      <c r="O15" s="6"/>
      <c r="P15" s="64"/>
      <c r="Q15" s="67" t="str">
        <f>IF(P15="","",IFERROR(INDEX(PERKARA!$B$5:$B$104,MATCH(P15,PERKARA!$A$5:$A$104,0)),"ID TIDAK TERDAFTAR"))</f>
        <v/>
      </c>
      <c r="R15" s="67" t="str">
        <f t="shared" si="2"/>
        <v/>
      </c>
      <c r="S15" s="98"/>
      <c r="T15" s="98"/>
      <c r="U15" s="105"/>
      <c r="V15" s="98"/>
      <c r="W15" s="163" t="str">
        <f t="shared" si="3"/>
        <v/>
      </c>
    </row>
    <row r="16" spans="1:23">
      <c r="A16" s="9" t="str">
        <f t="shared" si="0"/>
        <v/>
      </c>
      <c r="B16" s="82"/>
      <c r="C16" s="6"/>
      <c r="D16" s="6"/>
      <c r="E16" s="11"/>
      <c r="F16" s="11"/>
      <c r="G16" s="12" t="str">
        <f t="shared" si="1"/>
        <v/>
      </c>
      <c r="H16" s="10"/>
      <c r="I16" s="10"/>
      <c r="J16" s="6"/>
      <c r="K16" s="9" t="str">
        <f ca="1">IF(B16="","",IF(G16=0,"Lunas",IF(H16="","Belum Ada Jatuh Tempo",IF(TODAY()&gt;H16,"Jatuh Tempo",IF(H16-TODAY()&lt;=MASTER!$AF$5,"Segera Jatuh Tempo","Belum Dibayar")))))</f>
        <v/>
      </c>
      <c r="L16" s="6"/>
      <c r="M16" s="6"/>
      <c r="N16" s="6"/>
      <c r="O16" s="6"/>
      <c r="P16" s="64"/>
      <c r="Q16" s="67" t="str">
        <f>IF(P16="","",IFERROR(INDEX(PERKARA!$B$5:$B$104,MATCH(P16,PERKARA!$A$5:$A$104,0)),"ID TIDAK TERDAFTAR"))</f>
        <v/>
      </c>
      <c r="R16" s="67" t="str">
        <f t="shared" si="2"/>
        <v/>
      </c>
      <c r="S16" s="98"/>
      <c r="T16" s="98"/>
      <c r="U16" s="105"/>
      <c r="V16" s="98"/>
      <c r="W16" s="163" t="str">
        <f t="shared" si="3"/>
        <v/>
      </c>
    </row>
    <row r="17" spans="1:23">
      <c r="A17" s="9" t="str">
        <f t="shared" si="0"/>
        <v/>
      </c>
      <c r="B17" s="82"/>
      <c r="C17" s="6"/>
      <c r="D17" s="6"/>
      <c r="E17" s="11"/>
      <c r="F17" s="11"/>
      <c r="G17" s="12" t="str">
        <f t="shared" si="1"/>
        <v/>
      </c>
      <c r="H17" s="10"/>
      <c r="I17" s="10"/>
      <c r="J17" s="6"/>
      <c r="K17" s="9" t="str">
        <f ca="1">IF(B17="","",IF(G17=0,"Lunas",IF(H17="","Belum Ada Jatuh Tempo",IF(TODAY()&gt;H17,"Jatuh Tempo",IF(H17-TODAY()&lt;=MASTER!$AF$5,"Segera Jatuh Tempo","Belum Dibayar")))))</f>
        <v/>
      </c>
      <c r="L17" s="6"/>
      <c r="M17" s="6"/>
      <c r="N17" s="6"/>
      <c r="O17" s="6"/>
      <c r="P17" s="64"/>
      <c r="Q17" s="67" t="str">
        <f>IF(P17="","",IFERROR(INDEX(PERKARA!$B$5:$B$104,MATCH(P17,PERKARA!$A$5:$A$104,0)),"ID TIDAK TERDAFTAR"))</f>
        <v/>
      </c>
      <c r="R17" s="67" t="str">
        <f t="shared" si="2"/>
        <v/>
      </c>
      <c r="S17" s="98"/>
      <c r="T17" s="98"/>
      <c r="U17" s="105"/>
      <c r="V17" s="98"/>
      <c r="W17" s="163" t="str">
        <f t="shared" si="3"/>
        <v/>
      </c>
    </row>
    <row r="18" spans="1:23">
      <c r="A18" s="9" t="str">
        <f t="shared" si="0"/>
        <v/>
      </c>
      <c r="B18" s="82"/>
      <c r="C18" s="6"/>
      <c r="D18" s="6"/>
      <c r="E18" s="11"/>
      <c r="F18" s="11"/>
      <c r="G18" s="12" t="str">
        <f t="shared" si="1"/>
        <v/>
      </c>
      <c r="H18" s="10"/>
      <c r="I18" s="10"/>
      <c r="J18" s="6"/>
      <c r="K18" s="9" t="str">
        <f ca="1">IF(B18="","",IF(G18=0,"Lunas",IF(H18="","Belum Ada Jatuh Tempo",IF(TODAY()&gt;H18,"Jatuh Tempo",IF(H18-TODAY()&lt;=MASTER!$AF$5,"Segera Jatuh Tempo","Belum Dibayar")))))</f>
        <v/>
      </c>
      <c r="L18" s="6"/>
      <c r="M18" s="6"/>
      <c r="N18" s="6"/>
      <c r="O18" s="6"/>
      <c r="P18" s="64"/>
      <c r="Q18" s="67" t="str">
        <f>IF(P18="","",IFERROR(INDEX(PERKARA!$B$5:$B$104,MATCH(P18,PERKARA!$A$5:$A$104,0)),"ID TIDAK TERDAFTAR"))</f>
        <v/>
      </c>
      <c r="R18" s="67" t="str">
        <f t="shared" si="2"/>
        <v/>
      </c>
      <c r="S18" s="98"/>
      <c r="T18" s="98"/>
      <c r="U18" s="105"/>
      <c r="V18" s="98"/>
      <c r="W18" s="163" t="str">
        <f t="shared" si="3"/>
        <v/>
      </c>
    </row>
    <row r="19" spans="1:23">
      <c r="A19" s="9" t="str">
        <f t="shared" si="0"/>
        <v/>
      </c>
      <c r="B19" s="82"/>
      <c r="C19" s="6"/>
      <c r="D19" s="6"/>
      <c r="E19" s="11"/>
      <c r="F19" s="11"/>
      <c r="G19" s="12" t="str">
        <f t="shared" si="1"/>
        <v/>
      </c>
      <c r="H19" s="10"/>
      <c r="I19" s="10"/>
      <c r="J19" s="6"/>
      <c r="K19" s="9" t="str">
        <f ca="1">IF(B19="","",IF(G19=0,"Lunas",IF(H19="","Belum Ada Jatuh Tempo",IF(TODAY()&gt;H19,"Jatuh Tempo",IF(H19-TODAY()&lt;=MASTER!$AF$5,"Segera Jatuh Tempo","Belum Dibayar")))))</f>
        <v/>
      </c>
      <c r="L19" s="6"/>
      <c r="M19" s="6"/>
      <c r="N19" s="6"/>
      <c r="O19" s="6"/>
      <c r="P19" s="64"/>
      <c r="Q19" s="67" t="str">
        <f>IF(P19="","",IFERROR(INDEX(PERKARA!$B$5:$B$104,MATCH(P19,PERKARA!$A$5:$A$104,0)),"ID TIDAK TERDAFTAR"))</f>
        <v/>
      </c>
      <c r="R19" s="67" t="str">
        <f t="shared" si="2"/>
        <v/>
      </c>
      <c r="S19" s="98"/>
      <c r="T19" s="98"/>
      <c r="U19" s="105"/>
      <c r="V19" s="98"/>
      <c r="W19" s="163" t="str">
        <f t="shared" si="3"/>
        <v/>
      </c>
    </row>
    <row r="20" spans="1:23">
      <c r="A20" s="9" t="str">
        <f t="shared" si="0"/>
        <v/>
      </c>
      <c r="B20" s="82"/>
      <c r="C20" s="6"/>
      <c r="D20" s="6"/>
      <c r="E20" s="11"/>
      <c r="F20" s="11"/>
      <c r="G20" s="12" t="str">
        <f t="shared" si="1"/>
        <v/>
      </c>
      <c r="H20" s="10"/>
      <c r="I20" s="10"/>
      <c r="J20" s="6"/>
      <c r="K20" s="9" t="str">
        <f ca="1">IF(B20="","",IF(G20=0,"Lunas",IF(H20="","Belum Ada Jatuh Tempo",IF(TODAY()&gt;H20,"Jatuh Tempo",IF(H20-TODAY()&lt;=MASTER!$AF$5,"Segera Jatuh Tempo","Belum Dibayar")))))</f>
        <v/>
      </c>
      <c r="L20" s="6"/>
      <c r="M20" s="6"/>
      <c r="N20" s="6"/>
      <c r="O20" s="6"/>
      <c r="P20" s="64"/>
      <c r="Q20" s="67" t="str">
        <f>IF(P20="","",IFERROR(INDEX(PERKARA!$B$5:$B$104,MATCH(P20,PERKARA!$A$5:$A$104,0)),"ID TIDAK TERDAFTAR"))</f>
        <v/>
      </c>
      <c r="R20" s="67" t="str">
        <f t="shared" si="2"/>
        <v/>
      </c>
      <c r="S20" s="98"/>
      <c r="T20" s="98"/>
      <c r="U20" s="105"/>
      <c r="V20" s="98"/>
      <c r="W20" s="163" t="str">
        <f t="shared" si="3"/>
        <v/>
      </c>
    </row>
    <row r="21" spans="1:23">
      <c r="A21" s="9" t="str">
        <f t="shared" si="0"/>
        <v/>
      </c>
      <c r="B21" s="82"/>
      <c r="C21" s="6"/>
      <c r="D21" s="6"/>
      <c r="E21" s="11"/>
      <c r="F21" s="11"/>
      <c r="G21" s="12" t="str">
        <f t="shared" si="1"/>
        <v/>
      </c>
      <c r="H21" s="10"/>
      <c r="I21" s="10"/>
      <c r="J21" s="6"/>
      <c r="K21" s="9" t="str">
        <f ca="1">IF(B21="","",IF(G21=0,"Lunas",IF(H21="","Belum Ada Jatuh Tempo",IF(TODAY()&gt;H21,"Jatuh Tempo",IF(H21-TODAY()&lt;=MASTER!$AF$5,"Segera Jatuh Tempo","Belum Dibayar")))))</f>
        <v/>
      </c>
      <c r="L21" s="6"/>
      <c r="M21" s="6"/>
      <c r="N21" s="6"/>
      <c r="O21" s="6"/>
      <c r="P21" s="64"/>
      <c r="Q21" s="67" t="str">
        <f>IF(P21="","",IFERROR(INDEX(PERKARA!$B$5:$B$104,MATCH(P21,PERKARA!$A$5:$A$104,0)),"ID TIDAK TERDAFTAR"))</f>
        <v/>
      </c>
      <c r="R21" s="67" t="str">
        <f t="shared" si="2"/>
        <v/>
      </c>
      <c r="S21" s="98"/>
      <c r="T21" s="98"/>
      <c r="U21" s="105"/>
      <c r="V21" s="98"/>
      <c r="W21" s="163" t="str">
        <f t="shared" si="3"/>
        <v/>
      </c>
    </row>
    <row r="22" spans="1:23">
      <c r="A22" s="9" t="str">
        <f t="shared" si="0"/>
        <v/>
      </c>
      <c r="B22" s="82"/>
      <c r="C22" s="6"/>
      <c r="D22" s="6"/>
      <c r="E22" s="11"/>
      <c r="F22" s="11"/>
      <c r="G22" s="12" t="str">
        <f t="shared" si="1"/>
        <v/>
      </c>
      <c r="H22" s="10"/>
      <c r="I22" s="10"/>
      <c r="J22" s="6"/>
      <c r="K22" s="9" t="str">
        <f ca="1">IF(B22="","",IF(G22=0,"Lunas",IF(H22="","Belum Ada Jatuh Tempo",IF(TODAY()&gt;H22,"Jatuh Tempo",IF(H22-TODAY()&lt;=MASTER!$AF$5,"Segera Jatuh Tempo","Belum Dibayar")))))</f>
        <v/>
      </c>
      <c r="L22" s="6"/>
      <c r="M22" s="6"/>
      <c r="N22" s="6"/>
      <c r="O22" s="6"/>
      <c r="P22" s="64"/>
      <c r="Q22" s="67" t="str">
        <f>IF(P22="","",IFERROR(INDEX(PERKARA!$B$5:$B$104,MATCH(P22,PERKARA!$A$5:$A$104,0)),"ID TIDAK TERDAFTAR"))</f>
        <v/>
      </c>
      <c r="R22" s="67" t="str">
        <f t="shared" si="2"/>
        <v/>
      </c>
      <c r="S22" s="98"/>
      <c r="T22" s="98"/>
      <c r="U22" s="105"/>
      <c r="V22" s="98"/>
      <c r="W22" s="163" t="str">
        <f t="shared" si="3"/>
        <v/>
      </c>
    </row>
    <row r="23" spans="1:23">
      <c r="A23" s="9" t="str">
        <f t="shared" si="0"/>
        <v/>
      </c>
      <c r="B23" s="82"/>
      <c r="C23" s="6"/>
      <c r="D23" s="6"/>
      <c r="E23" s="11"/>
      <c r="F23" s="11"/>
      <c r="G23" s="12" t="str">
        <f t="shared" si="1"/>
        <v/>
      </c>
      <c r="H23" s="10"/>
      <c r="I23" s="10"/>
      <c r="J23" s="6"/>
      <c r="K23" s="9" t="str">
        <f ca="1">IF(B23="","",IF(G23=0,"Lunas",IF(H23="","Belum Ada Jatuh Tempo",IF(TODAY()&gt;H23,"Jatuh Tempo",IF(H23-TODAY()&lt;=MASTER!$AF$5,"Segera Jatuh Tempo","Belum Dibayar")))))</f>
        <v/>
      </c>
      <c r="L23" s="6"/>
      <c r="M23" s="6"/>
      <c r="N23" s="6"/>
      <c r="O23" s="6"/>
      <c r="P23" s="64"/>
      <c r="Q23" s="67" t="str">
        <f>IF(P23="","",IFERROR(INDEX(PERKARA!$B$5:$B$104,MATCH(P23,PERKARA!$A$5:$A$104,0)),"ID TIDAK TERDAFTAR"))</f>
        <v/>
      </c>
      <c r="R23" s="67" t="str">
        <f t="shared" si="2"/>
        <v/>
      </c>
      <c r="S23" s="98"/>
      <c r="T23" s="98"/>
      <c r="U23" s="105"/>
      <c r="V23" s="98"/>
      <c r="W23" s="163" t="str">
        <f t="shared" si="3"/>
        <v/>
      </c>
    </row>
    <row r="24" spans="1:23">
      <c r="A24" s="9" t="str">
        <f t="shared" si="0"/>
        <v/>
      </c>
      <c r="B24" s="82"/>
      <c r="C24" s="6"/>
      <c r="D24" s="6"/>
      <c r="E24" s="11"/>
      <c r="F24" s="11"/>
      <c r="G24" s="12" t="str">
        <f t="shared" si="1"/>
        <v/>
      </c>
      <c r="H24" s="10"/>
      <c r="I24" s="10"/>
      <c r="J24" s="6"/>
      <c r="K24" s="9" t="str">
        <f ca="1">IF(B24="","",IF(G24=0,"Lunas",IF(H24="","Belum Ada Jatuh Tempo",IF(TODAY()&gt;H24,"Jatuh Tempo",IF(H24-TODAY()&lt;=MASTER!$AF$5,"Segera Jatuh Tempo","Belum Dibayar")))))</f>
        <v/>
      </c>
      <c r="L24" s="6"/>
      <c r="M24" s="6"/>
      <c r="N24" s="6"/>
      <c r="O24" s="6"/>
      <c r="P24" s="64"/>
      <c r="Q24" s="67" t="str">
        <f>IF(P24="","",IFERROR(INDEX(PERKARA!$B$5:$B$104,MATCH(P24,PERKARA!$A$5:$A$104,0)),"ID TIDAK TERDAFTAR"))</f>
        <v/>
      </c>
      <c r="R24" s="67" t="str">
        <f t="shared" si="2"/>
        <v/>
      </c>
      <c r="S24" s="98"/>
      <c r="T24" s="98"/>
      <c r="U24" s="105"/>
      <c r="V24" s="98"/>
      <c r="W24" s="163" t="str">
        <f t="shared" si="3"/>
        <v/>
      </c>
    </row>
    <row r="25" spans="1:23">
      <c r="A25" s="9" t="str">
        <f t="shared" si="0"/>
        <v/>
      </c>
      <c r="B25" s="82"/>
      <c r="C25" s="6"/>
      <c r="D25" s="6"/>
      <c r="E25" s="11"/>
      <c r="F25" s="11"/>
      <c r="G25" s="12" t="str">
        <f t="shared" si="1"/>
        <v/>
      </c>
      <c r="H25" s="10"/>
      <c r="I25" s="10"/>
      <c r="J25" s="6"/>
      <c r="K25" s="9" t="str">
        <f ca="1">IF(B25="","",IF(G25=0,"Lunas",IF(H25="","Belum Ada Jatuh Tempo",IF(TODAY()&gt;H25,"Jatuh Tempo",IF(H25-TODAY()&lt;=MASTER!$AF$5,"Segera Jatuh Tempo","Belum Dibayar")))))</f>
        <v/>
      </c>
      <c r="L25" s="6"/>
      <c r="M25" s="6"/>
      <c r="N25" s="6"/>
      <c r="O25" s="6"/>
      <c r="P25" s="64"/>
      <c r="Q25" s="67" t="str">
        <f>IF(P25="","",IFERROR(INDEX(PERKARA!$B$5:$B$104,MATCH(P25,PERKARA!$A$5:$A$104,0)),"ID TIDAK TERDAFTAR"))</f>
        <v/>
      </c>
      <c r="R25" s="67" t="str">
        <f t="shared" si="2"/>
        <v/>
      </c>
      <c r="S25" s="98"/>
      <c r="T25" s="98"/>
      <c r="U25" s="105"/>
      <c r="V25" s="98"/>
      <c r="W25" s="163" t="str">
        <f t="shared" si="3"/>
        <v/>
      </c>
    </row>
    <row r="26" spans="1:23">
      <c r="A26" s="9" t="str">
        <f t="shared" si="0"/>
        <v/>
      </c>
      <c r="B26" s="82"/>
      <c r="C26" s="6"/>
      <c r="D26" s="6"/>
      <c r="E26" s="11"/>
      <c r="F26" s="11"/>
      <c r="G26" s="12" t="str">
        <f t="shared" si="1"/>
        <v/>
      </c>
      <c r="H26" s="10"/>
      <c r="I26" s="10"/>
      <c r="J26" s="6"/>
      <c r="K26" s="9" t="str">
        <f ca="1">IF(B26="","",IF(G26=0,"Lunas",IF(H26="","Belum Ada Jatuh Tempo",IF(TODAY()&gt;H26,"Jatuh Tempo",IF(H26-TODAY()&lt;=MASTER!$AF$5,"Segera Jatuh Tempo","Belum Dibayar")))))</f>
        <v/>
      </c>
      <c r="L26" s="6"/>
      <c r="M26" s="6"/>
      <c r="N26" s="6"/>
      <c r="O26" s="6"/>
      <c r="P26" s="64"/>
      <c r="Q26" s="67" t="str">
        <f>IF(P26="","",IFERROR(INDEX(PERKARA!$B$5:$B$104,MATCH(P26,PERKARA!$A$5:$A$104,0)),"ID TIDAK TERDAFTAR"))</f>
        <v/>
      </c>
      <c r="R26" s="67" t="str">
        <f t="shared" si="2"/>
        <v/>
      </c>
      <c r="S26" s="98"/>
      <c r="T26" s="98"/>
      <c r="U26" s="105"/>
      <c r="V26" s="98"/>
      <c r="W26" s="163" t="str">
        <f t="shared" si="3"/>
        <v/>
      </c>
    </row>
    <row r="27" spans="1:23">
      <c r="A27" s="9" t="str">
        <f t="shared" si="0"/>
        <v/>
      </c>
      <c r="B27" s="82"/>
      <c r="C27" s="6"/>
      <c r="D27" s="6"/>
      <c r="E27" s="11"/>
      <c r="F27" s="11"/>
      <c r="G27" s="12" t="str">
        <f t="shared" si="1"/>
        <v/>
      </c>
      <c r="H27" s="10"/>
      <c r="I27" s="10"/>
      <c r="J27" s="6"/>
      <c r="K27" s="9" t="str">
        <f ca="1">IF(B27="","",IF(G27=0,"Lunas",IF(H27="","Belum Ada Jatuh Tempo",IF(TODAY()&gt;H27,"Jatuh Tempo",IF(H27-TODAY()&lt;=MASTER!$AF$5,"Segera Jatuh Tempo","Belum Dibayar")))))</f>
        <v/>
      </c>
      <c r="L27" s="6"/>
      <c r="M27" s="6"/>
      <c r="N27" s="6"/>
      <c r="O27" s="6"/>
      <c r="P27" s="64"/>
      <c r="Q27" s="67" t="str">
        <f>IF(P27="","",IFERROR(INDEX(PERKARA!$B$5:$B$104,MATCH(P27,PERKARA!$A$5:$A$104,0)),"ID TIDAK TERDAFTAR"))</f>
        <v/>
      </c>
      <c r="R27" s="67" t="str">
        <f t="shared" si="2"/>
        <v/>
      </c>
      <c r="S27" s="98"/>
      <c r="T27" s="98"/>
      <c r="U27" s="105"/>
      <c r="V27" s="98"/>
      <c r="W27" s="163" t="str">
        <f t="shared" si="3"/>
        <v/>
      </c>
    </row>
    <row r="28" spans="1:23">
      <c r="A28" s="9" t="str">
        <f t="shared" si="0"/>
        <v/>
      </c>
      <c r="B28" s="82"/>
      <c r="C28" s="6"/>
      <c r="D28" s="6"/>
      <c r="E28" s="11"/>
      <c r="F28" s="11"/>
      <c r="G28" s="12" t="str">
        <f t="shared" si="1"/>
        <v/>
      </c>
      <c r="H28" s="10"/>
      <c r="I28" s="10"/>
      <c r="J28" s="6"/>
      <c r="K28" s="9" t="str">
        <f ca="1">IF(B28="","",IF(G28=0,"Lunas",IF(H28="","Belum Ada Jatuh Tempo",IF(TODAY()&gt;H28,"Jatuh Tempo",IF(H28-TODAY()&lt;=MASTER!$AF$5,"Segera Jatuh Tempo","Belum Dibayar")))))</f>
        <v/>
      </c>
      <c r="L28" s="6"/>
      <c r="M28" s="6"/>
      <c r="N28" s="6"/>
      <c r="O28" s="6"/>
      <c r="P28" s="64"/>
      <c r="Q28" s="67" t="str">
        <f>IF(P28="","",IFERROR(INDEX(PERKARA!$B$5:$B$104,MATCH(P28,PERKARA!$A$5:$A$104,0)),"ID TIDAK TERDAFTAR"))</f>
        <v/>
      </c>
      <c r="R28" s="67" t="str">
        <f t="shared" si="2"/>
        <v/>
      </c>
      <c r="S28" s="98"/>
      <c r="T28" s="98"/>
      <c r="U28" s="105"/>
      <c r="V28" s="98"/>
      <c r="W28" s="163" t="str">
        <f t="shared" si="3"/>
        <v/>
      </c>
    </row>
    <row r="29" spans="1:23">
      <c r="A29" s="9" t="str">
        <f t="shared" si="0"/>
        <v/>
      </c>
      <c r="B29" s="82"/>
      <c r="C29" s="6"/>
      <c r="D29" s="6"/>
      <c r="E29" s="11"/>
      <c r="F29" s="11"/>
      <c r="G29" s="12" t="str">
        <f t="shared" si="1"/>
        <v/>
      </c>
      <c r="H29" s="10"/>
      <c r="I29" s="10"/>
      <c r="J29" s="6"/>
      <c r="K29" s="9" t="str">
        <f ca="1">IF(B29="","",IF(G29=0,"Lunas",IF(H29="","Belum Ada Jatuh Tempo",IF(TODAY()&gt;H29,"Jatuh Tempo",IF(H29-TODAY()&lt;=MASTER!$AF$5,"Segera Jatuh Tempo","Belum Dibayar")))))</f>
        <v/>
      </c>
      <c r="L29" s="6"/>
      <c r="M29" s="6"/>
      <c r="N29" s="6"/>
      <c r="O29" s="6"/>
      <c r="P29" s="64"/>
      <c r="Q29" s="67" t="str">
        <f>IF(P29="","",IFERROR(INDEX(PERKARA!$B$5:$B$104,MATCH(P29,PERKARA!$A$5:$A$104,0)),"ID TIDAK TERDAFTAR"))</f>
        <v/>
      </c>
      <c r="R29" s="67" t="str">
        <f t="shared" si="2"/>
        <v/>
      </c>
      <c r="S29" s="98"/>
      <c r="T29" s="98"/>
      <c r="U29" s="105"/>
      <c r="V29" s="98"/>
      <c r="W29" s="163" t="str">
        <f t="shared" si="3"/>
        <v/>
      </c>
    </row>
    <row r="30" spans="1:23">
      <c r="A30" s="9" t="str">
        <f t="shared" si="0"/>
        <v/>
      </c>
      <c r="B30" s="82"/>
      <c r="C30" s="6"/>
      <c r="D30" s="6"/>
      <c r="E30" s="11"/>
      <c r="F30" s="11"/>
      <c r="G30" s="12" t="str">
        <f t="shared" si="1"/>
        <v/>
      </c>
      <c r="H30" s="10"/>
      <c r="I30" s="10"/>
      <c r="J30" s="6"/>
      <c r="K30" s="9" t="str">
        <f ca="1">IF(B30="","",IF(G30=0,"Lunas",IF(H30="","Belum Ada Jatuh Tempo",IF(TODAY()&gt;H30,"Jatuh Tempo",IF(H30-TODAY()&lt;=MASTER!$AF$5,"Segera Jatuh Tempo","Belum Dibayar")))))</f>
        <v/>
      </c>
      <c r="L30" s="6"/>
      <c r="M30" s="6"/>
      <c r="N30" s="6"/>
      <c r="O30" s="6"/>
      <c r="P30" s="64"/>
      <c r="Q30" s="67" t="str">
        <f>IF(P30="","",IFERROR(INDEX(PERKARA!$B$5:$B$104,MATCH(P30,PERKARA!$A$5:$A$104,0)),"ID TIDAK TERDAFTAR"))</f>
        <v/>
      </c>
      <c r="R30" s="67" t="str">
        <f t="shared" si="2"/>
        <v/>
      </c>
      <c r="S30" s="98"/>
      <c r="T30" s="98"/>
      <c r="U30" s="105"/>
      <c r="V30" s="98"/>
      <c r="W30" s="163" t="str">
        <f t="shared" si="3"/>
        <v/>
      </c>
    </row>
    <row r="31" spans="1:23">
      <c r="A31" s="9" t="str">
        <f t="shared" si="0"/>
        <v/>
      </c>
      <c r="B31" s="82"/>
      <c r="C31" s="6"/>
      <c r="D31" s="6"/>
      <c r="E31" s="11"/>
      <c r="F31" s="11"/>
      <c r="G31" s="12" t="str">
        <f t="shared" si="1"/>
        <v/>
      </c>
      <c r="H31" s="10"/>
      <c r="I31" s="10"/>
      <c r="J31" s="6"/>
      <c r="K31" s="9" t="str">
        <f ca="1">IF(B31="","",IF(G31=0,"Lunas",IF(H31="","Belum Ada Jatuh Tempo",IF(TODAY()&gt;H31,"Jatuh Tempo",IF(H31-TODAY()&lt;=MASTER!$AF$5,"Segera Jatuh Tempo","Belum Dibayar")))))</f>
        <v/>
      </c>
      <c r="L31" s="6"/>
      <c r="M31" s="6"/>
      <c r="N31" s="6"/>
      <c r="O31" s="6"/>
      <c r="P31" s="64"/>
      <c r="Q31" s="67" t="str">
        <f>IF(P31="","",IFERROR(INDEX(PERKARA!$B$5:$B$104,MATCH(P31,PERKARA!$A$5:$A$104,0)),"ID TIDAK TERDAFTAR"))</f>
        <v/>
      </c>
      <c r="R31" s="67" t="str">
        <f t="shared" si="2"/>
        <v/>
      </c>
      <c r="S31" s="98"/>
      <c r="T31" s="98"/>
      <c r="U31" s="105"/>
      <c r="V31" s="98"/>
      <c r="W31" s="163" t="str">
        <f t="shared" si="3"/>
        <v/>
      </c>
    </row>
    <row r="32" spans="1:23">
      <c r="A32" s="9" t="str">
        <f t="shared" si="0"/>
        <v/>
      </c>
      <c r="B32" s="82"/>
      <c r="C32" s="6"/>
      <c r="D32" s="6"/>
      <c r="E32" s="11"/>
      <c r="F32" s="11"/>
      <c r="G32" s="12" t="str">
        <f t="shared" si="1"/>
        <v/>
      </c>
      <c r="H32" s="10"/>
      <c r="I32" s="10"/>
      <c r="J32" s="6"/>
      <c r="K32" s="9" t="str">
        <f ca="1">IF(B32="","",IF(G32=0,"Lunas",IF(H32="","Belum Ada Jatuh Tempo",IF(TODAY()&gt;H32,"Jatuh Tempo",IF(H32-TODAY()&lt;=MASTER!$AF$5,"Segera Jatuh Tempo","Belum Dibayar")))))</f>
        <v/>
      </c>
      <c r="L32" s="6"/>
      <c r="M32" s="6"/>
      <c r="N32" s="6"/>
      <c r="O32" s="6"/>
      <c r="P32" s="64"/>
      <c r="Q32" s="67" t="str">
        <f>IF(P32="","",IFERROR(INDEX(PERKARA!$B$5:$B$104,MATCH(P32,PERKARA!$A$5:$A$104,0)),"ID TIDAK TERDAFTAR"))</f>
        <v/>
      </c>
      <c r="R32" s="67" t="str">
        <f t="shared" si="2"/>
        <v/>
      </c>
      <c r="S32" s="98"/>
      <c r="T32" s="98"/>
      <c r="U32" s="105"/>
      <c r="V32" s="98"/>
      <c r="W32" s="163" t="str">
        <f t="shared" si="3"/>
        <v/>
      </c>
    </row>
    <row r="33" spans="1:23">
      <c r="A33" s="9" t="str">
        <f t="shared" si="0"/>
        <v/>
      </c>
      <c r="B33" s="82"/>
      <c r="C33" s="6"/>
      <c r="D33" s="6"/>
      <c r="E33" s="11"/>
      <c r="F33" s="11"/>
      <c r="G33" s="12" t="str">
        <f t="shared" si="1"/>
        <v/>
      </c>
      <c r="H33" s="10"/>
      <c r="I33" s="10"/>
      <c r="J33" s="6"/>
      <c r="K33" s="9" t="str">
        <f ca="1">IF(B33="","",IF(G33=0,"Lunas",IF(H33="","Belum Ada Jatuh Tempo",IF(TODAY()&gt;H33,"Jatuh Tempo",IF(H33-TODAY()&lt;=MASTER!$AF$5,"Segera Jatuh Tempo","Belum Dibayar")))))</f>
        <v/>
      </c>
      <c r="L33" s="6"/>
      <c r="M33" s="6"/>
      <c r="N33" s="6"/>
      <c r="O33" s="6"/>
      <c r="P33" s="64"/>
      <c r="Q33" s="67" t="str">
        <f>IF(P33="","",IFERROR(INDEX(PERKARA!$B$5:$B$104,MATCH(P33,PERKARA!$A$5:$A$104,0)),"ID TIDAK TERDAFTAR"))</f>
        <v/>
      </c>
      <c r="R33" s="67" t="str">
        <f t="shared" si="2"/>
        <v/>
      </c>
      <c r="S33" s="98"/>
      <c r="T33" s="98"/>
      <c r="U33" s="105"/>
      <c r="V33" s="98"/>
      <c r="W33" s="163" t="str">
        <f t="shared" si="3"/>
        <v/>
      </c>
    </row>
    <row r="34" spans="1:23">
      <c r="A34" s="9" t="str">
        <f t="shared" si="0"/>
        <v/>
      </c>
      <c r="B34" s="82"/>
      <c r="C34" s="6"/>
      <c r="D34" s="6"/>
      <c r="E34" s="11"/>
      <c r="F34" s="11"/>
      <c r="G34" s="12" t="str">
        <f t="shared" si="1"/>
        <v/>
      </c>
      <c r="H34" s="10"/>
      <c r="I34" s="10"/>
      <c r="J34" s="6"/>
      <c r="K34" s="9" t="str">
        <f ca="1">IF(B34="","",IF(G34=0,"Lunas",IF(H34="","Belum Ada Jatuh Tempo",IF(TODAY()&gt;H34,"Jatuh Tempo",IF(H34-TODAY()&lt;=MASTER!$AF$5,"Segera Jatuh Tempo","Belum Dibayar")))))</f>
        <v/>
      </c>
      <c r="L34" s="6"/>
      <c r="M34" s="6"/>
      <c r="N34" s="6"/>
      <c r="O34" s="6"/>
      <c r="P34" s="64"/>
      <c r="Q34" s="67" t="str">
        <f>IF(P34="","",IFERROR(INDEX(PERKARA!$B$5:$B$104,MATCH(P34,PERKARA!$A$5:$A$104,0)),"ID TIDAK TERDAFTAR"))</f>
        <v/>
      </c>
      <c r="R34" s="67" t="str">
        <f t="shared" si="2"/>
        <v/>
      </c>
      <c r="S34" s="98"/>
      <c r="T34" s="98"/>
      <c r="U34" s="105"/>
      <c r="V34" s="98"/>
      <c r="W34" s="163" t="str">
        <f t="shared" si="3"/>
        <v/>
      </c>
    </row>
    <row r="35" spans="1:23">
      <c r="A35" s="9" t="str">
        <f t="shared" si="0"/>
        <v/>
      </c>
      <c r="B35" s="82"/>
      <c r="C35" s="6"/>
      <c r="D35" s="6"/>
      <c r="E35" s="11"/>
      <c r="F35" s="11"/>
      <c r="G35" s="12" t="str">
        <f t="shared" si="1"/>
        <v/>
      </c>
      <c r="H35" s="10"/>
      <c r="I35" s="10"/>
      <c r="J35" s="6"/>
      <c r="K35" s="9" t="str">
        <f ca="1">IF(B35="","",IF(G35=0,"Lunas",IF(H35="","Belum Ada Jatuh Tempo",IF(TODAY()&gt;H35,"Jatuh Tempo",IF(H35-TODAY()&lt;=MASTER!$AF$5,"Segera Jatuh Tempo","Belum Dibayar")))))</f>
        <v/>
      </c>
      <c r="L35" s="6"/>
      <c r="M35" s="6"/>
      <c r="N35" s="6"/>
      <c r="O35" s="6"/>
      <c r="P35" s="64"/>
      <c r="Q35" s="67" t="str">
        <f>IF(P35="","",IFERROR(INDEX(PERKARA!$B$5:$B$104,MATCH(P35,PERKARA!$A$5:$A$104,0)),"ID TIDAK TERDAFTAR"))</f>
        <v/>
      </c>
      <c r="R35" s="67" t="str">
        <f t="shared" si="2"/>
        <v/>
      </c>
      <c r="S35" s="98"/>
      <c r="T35" s="98"/>
      <c r="U35" s="105"/>
      <c r="V35" s="98"/>
      <c r="W35" s="163" t="str">
        <f t="shared" si="3"/>
        <v/>
      </c>
    </row>
    <row r="36" spans="1:23">
      <c r="A36" s="9" t="str">
        <f t="shared" si="0"/>
        <v/>
      </c>
      <c r="B36" s="82"/>
      <c r="C36" s="6"/>
      <c r="D36" s="6"/>
      <c r="E36" s="11"/>
      <c r="F36" s="11"/>
      <c r="G36" s="12" t="str">
        <f t="shared" si="1"/>
        <v/>
      </c>
      <c r="H36" s="10"/>
      <c r="I36" s="10"/>
      <c r="J36" s="6"/>
      <c r="K36" s="9" t="str">
        <f ca="1">IF(B36="","",IF(G36=0,"Lunas",IF(H36="","Belum Ada Jatuh Tempo",IF(TODAY()&gt;H36,"Jatuh Tempo",IF(H36-TODAY()&lt;=MASTER!$AF$5,"Segera Jatuh Tempo","Belum Dibayar")))))</f>
        <v/>
      </c>
      <c r="L36" s="6"/>
      <c r="M36" s="6"/>
      <c r="N36" s="6"/>
      <c r="O36" s="6"/>
      <c r="P36" s="64"/>
      <c r="Q36" s="67" t="str">
        <f>IF(P36="","",IFERROR(INDEX(PERKARA!$B$5:$B$104,MATCH(P36,PERKARA!$A$5:$A$104,0)),"ID TIDAK TERDAFTAR"))</f>
        <v/>
      </c>
      <c r="R36" s="67" t="str">
        <f t="shared" si="2"/>
        <v/>
      </c>
      <c r="S36" s="98"/>
      <c r="T36" s="98"/>
      <c r="U36" s="105"/>
      <c r="V36" s="98"/>
      <c r="W36" s="163" t="str">
        <f t="shared" si="3"/>
        <v/>
      </c>
    </row>
    <row r="37" spans="1:23">
      <c r="A37" s="9" t="str">
        <f t="shared" ref="A37:A68" si="4">IF(B37="","",IFERROR("LIA-"&amp;TEXT(B37,"yyyymm")&amp;"-"&amp;TEXT(ROW()-4,"000"),"PERIODE TIDAK VALID"))</f>
        <v/>
      </c>
      <c r="B37" s="82"/>
      <c r="C37" s="6"/>
      <c r="D37" s="6"/>
      <c r="E37" s="11"/>
      <c r="F37" s="11"/>
      <c r="G37" s="12" t="str">
        <f t="shared" ref="G37:G68" si="5">IF(B37="","",MAX(E37-F37,0))</f>
        <v/>
      </c>
      <c r="H37" s="10"/>
      <c r="I37" s="10"/>
      <c r="J37" s="6"/>
      <c r="K37" s="9" t="str">
        <f ca="1">IF(B37="","",IF(G37=0,"Lunas",IF(H37="","Belum Ada Jatuh Tempo",IF(TODAY()&gt;H37,"Jatuh Tempo",IF(H37-TODAY()&lt;=MASTER!$AF$5,"Segera Jatuh Tempo","Belum Dibayar")))))</f>
        <v/>
      </c>
      <c r="L37" s="6"/>
      <c r="M37" s="6"/>
      <c r="N37" s="6"/>
      <c r="O37" s="6"/>
      <c r="P37" s="64"/>
      <c r="Q37" s="67" t="str">
        <f>IF(P37="","",IFERROR(INDEX(PERKARA!$B$5:$B$104,MATCH(P37,PERKARA!$A$5:$A$104,0)),"ID TIDAK TERDAFTAR"))</f>
        <v/>
      </c>
      <c r="R37" s="67" t="str">
        <f t="shared" ref="R37:R68" si="6">IF(B37="","",IF(F37&gt;E37,"PEMBAYARAN MELEBIHI KEWAJIBAN",IF(AND(F37&gt;0,J37=""),"AKUN PEMBAYARAN BELUM DIISI",IF(AND(F37&gt;0,I37=""),"TANGGAL PEMBAYARAN BELUM DIISI",IF(AND(P37&lt;&gt;"",Q37="ID TIDAK TERDAFTAR"),"PERKARA TIDAK VALID",IF(AND(F37&gt;0,OR(S37&lt;&gt;"Disetujui",T37="")),"DIBAYAR TANPA OTORISASI","OK"))))))</f>
        <v/>
      </c>
      <c r="S37" s="98"/>
      <c r="T37" s="98"/>
      <c r="U37" s="105"/>
      <c r="V37" s="98"/>
      <c r="W37" s="163" t="str">
        <f t="shared" ref="W37:W68" si="7">IF(B37="","",IF(S37="Ditolak","DITOLAK",IF(AND(S37="Disetujui",T37&lt;&gt;""),"LENGKAP",IF(S37="Disetujui","NAMA PENYETUJU BELUM DIISI","MENUNGGU PERSETUJUAN MANUAL"))))</f>
        <v/>
      </c>
    </row>
    <row r="38" spans="1:23">
      <c r="A38" s="9" t="str">
        <f t="shared" si="4"/>
        <v/>
      </c>
      <c r="B38" s="82"/>
      <c r="C38" s="6"/>
      <c r="D38" s="6"/>
      <c r="E38" s="11"/>
      <c r="F38" s="11"/>
      <c r="G38" s="12" t="str">
        <f t="shared" si="5"/>
        <v/>
      </c>
      <c r="H38" s="10"/>
      <c r="I38" s="10"/>
      <c r="J38" s="6"/>
      <c r="K38" s="9" t="str">
        <f ca="1">IF(B38="","",IF(G38=0,"Lunas",IF(H38="","Belum Ada Jatuh Tempo",IF(TODAY()&gt;H38,"Jatuh Tempo",IF(H38-TODAY()&lt;=MASTER!$AF$5,"Segera Jatuh Tempo","Belum Dibayar")))))</f>
        <v/>
      </c>
      <c r="L38" s="6"/>
      <c r="M38" s="6"/>
      <c r="N38" s="6"/>
      <c r="O38" s="6"/>
      <c r="P38" s="64"/>
      <c r="Q38" s="67" t="str">
        <f>IF(P38="","",IFERROR(INDEX(PERKARA!$B$5:$B$104,MATCH(P38,PERKARA!$A$5:$A$104,0)),"ID TIDAK TERDAFTAR"))</f>
        <v/>
      </c>
      <c r="R38" s="67" t="str">
        <f t="shared" si="6"/>
        <v/>
      </c>
      <c r="S38" s="98"/>
      <c r="T38" s="98"/>
      <c r="U38" s="105"/>
      <c r="V38" s="98"/>
      <c r="W38" s="163" t="str">
        <f t="shared" si="7"/>
        <v/>
      </c>
    </row>
    <row r="39" spans="1:23">
      <c r="A39" s="9" t="str">
        <f t="shared" si="4"/>
        <v/>
      </c>
      <c r="B39" s="82"/>
      <c r="C39" s="6"/>
      <c r="D39" s="6"/>
      <c r="E39" s="11"/>
      <c r="F39" s="11"/>
      <c r="G39" s="12" t="str">
        <f t="shared" si="5"/>
        <v/>
      </c>
      <c r="H39" s="10"/>
      <c r="I39" s="10"/>
      <c r="J39" s="6"/>
      <c r="K39" s="9" t="str">
        <f ca="1">IF(B39="","",IF(G39=0,"Lunas",IF(H39="","Belum Ada Jatuh Tempo",IF(TODAY()&gt;H39,"Jatuh Tempo",IF(H39-TODAY()&lt;=MASTER!$AF$5,"Segera Jatuh Tempo","Belum Dibayar")))))</f>
        <v/>
      </c>
      <c r="L39" s="6"/>
      <c r="M39" s="6"/>
      <c r="N39" s="6"/>
      <c r="O39" s="6"/>
      <c r="P39" s="64"/>
      <c r="Q39" s="67" t="str">
        <f>IF(P39="","",IFERROR(INDEX(PERKARA!$B$5:$B$104,MATCH(P39,PERKARA!$A$5:$A$104,0)),"ID TIDAK TERDAFTAR"))</f>
        <v/>
      </c>
      <c r="R39" s="67" t="str">
        <f t="shared" si="6"/>
        <v/>
      </c>
      <c r="S39" s="98"/>
      <c r="T39" s="98"/>
      <c r="U39" s="105"/>
      <c r="V39" s="98"/>
      <c r="W39" s="163" t="str">
        <f t="shared" si="7"/>
        <v/>
      </c>
    </row>
    <row r="40" spans="1:23">
      <c r="A40" s="9" t="str">
        <f t="shared" si="4"/>
        <v/>
      </c>
      <c r="B40" s="82"/>
      <c r="C40" s="6"/>
      <c r="D40" s="6"/>
      <c r="E40" s="11"/>
      <c r="F40" s="11"/>
      <c r="G40" s="12" t="str">
        <f t="shared" si="5"/>
        <v/>
      </c>
      <c r="H40" s="10"/>
      <c r="I40" s="10"/>
      <c r="J40" s="6"/>
      <c r="K40" s="9" t="str">
        <f ca="1">IF(B40="","",IF(G40=0,"Lunas",IF(H40="","Belum Ada Jatuh Tempo",IF(TODAY()&gt;H40,"Jatuh Tempo",IF(H40-TODAY()&lt;=MASTER!$AF$5,"Segera Jatuh Tempo","Belum Dibayar")))))</f>
        <v/>
      </c>
      <c r="L40" s="6"/>
      <c r="M40" s="6"/>
      <c r="N40" s="6"/>
      <c r="O40" s="6"/>
      <c r="P40" s="64"/>
      <c r="Q40" s="67" t="str">
        <f>IF(P40="","",IFERROR(INDEX(PERKARA!$B$5:$B$104,MATCH(P40,PERKARA!$A$5:$A$104,0)),"ID TIDAK TERDAFTAR"))</f>
        <v/>
      </c>
      <c r="R40" s="67" t="str">
        <f t="shared" si="6"/>
        <v/>
      </c>
      <c r="S40" s="98"/>
      <c r="T40" s="98"/>
      <c r="U40" s="105"/>
      <c r="V40" s="98"/>
      <c r="W40" s="163" t="str">
        <f t="shared" si="7"/>
        <v/>
      </c>
    </row>
    <row r="41" spans="1:23">
      <c r="A41" s="9" t="str">
        <f t="shared" si="4"/>
        <v/>
      </c>
      <c r="B41" s="82"/>
      <c r="C41" s="6"/>
      <c r="D41" s="6"/>
      <c r="E41" s="11"/>
      <c r="F41" s="11"/>
      <c r="G41" s="12" t="str">
        <f t="shared" si="5"/>
        <v/>
      </c>
      <c r="H41" s="10"/>
      <c r="I41" s="10"/>
      <c r="J41" s="6"/>
      <c r="K41" s="9" t="str">
        <f ca="1">IF(B41="","",IF(G41=0,"Lunas",IF(H41="","Belum Ada Jatuh Tempo",IF(TODAY()&gt;H41,"Jatuh Tempo",IF(H41-TODAY()&lt;=MASTER!$AF$5,"Segera Jatuh Tempo","Belum Dibayar")))))</f>
        <v/>
      </c>
      <c r="L41" s="6"/>
      <c r="M41" s="6"/>
      <c r="N41" s="6"/>
      <c r="O41" s="6"/>
      <c r="P41" s="64"/>
      <c r="Q41" s="67" t="str">
        <f>IF(P41="","",IFERROR(INDEX(PERKARA!$B$5:$B$104,MATCH(P41,PERKARA!$A$5:$A$104,0)),"ID TIDAK TERDAFTAR"))</f>
        <v/>
      </c>
      <c r="R41" s="67" t="str">
        <f t="shared" si="6"/>
        <v/>
      </c>
      <c r="S41" s="98"/>
      <c r="T41" s="98"/>
      <c r="U41" s="105"/>
      <c r="V41" s="98"/>
      <c r="W41" s="163" t="str">
        <f t="shared" si="7"/>
        <v/>
      </c>
    </row>
    <row r="42" spans="1:23">
      <c r="A42" s="9" t="str">
        <f t="shared" si="4"/>
        <v/>
      </c>
      <c r="B42" s="82"/>
      <c r="C42" s="6"/>
      <c r="D42" s="6"/>
      <c r="E42" s="11"/>
      <c r="F42" s="11"/>
      <c r="G42" s="12" t="str">
        <f t="shared" si="5"/>
        <v/>
      </c>
      <c r="H42" s="10"/>
      <c r="I42" s="10"/>
      <c r="J42" s="6"/>
      <c r="K42" s="9" t="str">
        <f ca="1">IF(B42="","",IF(G42=0,"Lunas",IF(H42="","Belum Ada Jatuh Tempo",IF(TODAY()&gt;H42,"Jatuh Tempo",IF(H42-TODAY()&lt;=MASTER!$AF$5,"Segera Jatuh Tempo","Belum Dibayar")))))</f>
        <v/>
      </c>
      <c r="L42" s="6"/>
      <c r="M42" s="6"/>
      <c r="N42" s="6"/>
      <c r="O42" s="6"/>
      <c r="P42" s="64"/>
      <c r="Q42" s="67" t="str">
        <f>IF(P42="","",IFERROR(INDEX(PERKARA!$B$5:$B$104,MATCH(P42,PERKARA!$A$5:$A$104,0)),"ID TIDAK TERDAFTAR"))</f>
        <v/>
      </c>
      <c r="R42" s="67" t="str">
        <f t="shared" si="6"/>
        <v/>
      </c>
      <c r="S42" s="98"/>
      <c r="T42" s="98"/>
      <c r="U42" s="105"/>
      <c r="V42" s="98"/>
      <c r="W42" s="163" t="str">
        <f t="shared" si="7"/>
        <v/>
      </c>
    </row>
    <row r="43" spans="1:23">
      <c r="A43" s="9" t="str">
        <f t="shared" si="4"/>
        <v/>
      </c>
      <c r="B43" s="82"/>
      <c r="C43" s="6"/>
      <c r="D43" s="6"/>
      <c r="E43" s="11"/>
      <c r="F43" s="11"/>
      <c r="G43" s="12" t="str">
        <f t="shared" si="5"/>
        <v/>
      </c>
      <c r="H43" s="10"/>
      <c r="I43" s="10"/>
      <c r="J43" s="6"/>
      <c r="K43" s="9" t="str">
        <f ca="1">IF(B43="","",IF(G43=0,"Lunas",IF(H43="","Belum Ada Jatuh Tempo",IF(TODAY()&gt;H43,"Jatuh Tempo",IF(H43-TODAY()&lt;=MASTER!$AF$5,"Segera Jatuh Tempo","Belum Dibayar")))))</f>
        <v/>
      </c>
      <c r="L43" s="6"/>
      <c r="M43" s="6"/>
      <c r="N43" s="6"/>
      <c r="O43" s="6"/>
      <c r="P43" s="64"/>
      <c r="Q43" s="67" t="str">
        <f>IF(P43="","",IFERROR(INDEX(PERKARA!$B$5:$B$104,MATCH(P43,PERKARA!$A$5:$A$104,0)),"ID TIDAK TERDAFTAR"))</f>
        <v/>
      </c>
      <c r="R43" s="67" t="str">
        <f t="shared" si="6"/>
        <v/>
      </c>
      <c r="S43" s="98"/>
      <c r="T43" s="98"/>
      <c r="U43" s="105"/>
      <c r="V43" s="98"/>
      <c r="W43" s="163" t="str">
        <f t="shared" si="7"/>
        <v/>
      </c>
    </row>
    <row r="44" spans="1:23">
      <c r="A44" s="9" t="str">
        <f t="shared" si="4"/>
        <v/>
      </c>
      <c r="B44" s="82"/>
      <c r="C44" s="6"/>
      <c r="D44" s="6"/>
      <c r="E44" s="11"/>
      <c r="F44" s="11"/>
      <c r="G44" s="12" t="str">
        <f t="shared" si="5"/>
        <v/>
      </c>
      <c r="H44" s="10"/>
      <c r="I44" s="10"/>
      <c r="J44" s="6"/>
      <c r="K44" s="9" t="str">
        <f ca="1">IF(B44="","",IF(G44=0,"Lunas",IF(H44="","Belum Ada Jatuh Tempo",IF(TODAY()&gt;H44,"Jatuh Tempo",IF(H44-TODAY()&lt;=MASTER!$AF$5,"Segera Jatuh Tempo","Belum Dibayar")))))</f>
        <v/>
      </c>
      <c r="L44" s="6"/>
      <c r="M44" s="6"/>
      <c r="N44" s="6"/>
      <c r="O44" s="6"/>
      <c r="P44" s="64"/>
      <c r="Q44" s="67" t="str">
        <f>IF(P44="","",IFERROR(INDEX(PERKARA!$B$5:$B$104,MATCH(P44,PERKARA!$A$5:$A$104,0)),"ID TIDAK TERDAFTAR"))</f>
        <v/>
      </c>
      <c r="R44" s="67" t="str">
        <f t="shared" si="6"/>
        <v/>
      </c>
      <c r="S44" s="98"/>
      <c r="T44" s="98"/>
      <c r="U44" s="105"/>
      <c r="V44" s="98"/>
      <c r="W44" s="163" t="str">
        <f t="shared" si="7"/>
        <v/>
      </c>
    </row>
    <row r="45" spans="1:23">
      <c r="A45" s="9" t="str">
        <f t="shared" si="4"/>
        <v/>
      </c>
      <c r="B45" s="82"/>
      <c r="C45" s="6"/>
      <c r="D45" s="6"/>
      <c r="E45" s="11"/>
      <c r="F45" s="11"/>
      <c r="G45" s="12" t="str">
        <f t="shared" si="5"/>
        <v/>
      </c>
      <c r="H45" s="10"/>
      <c r="I45" s="10"/>
      <c r="J45" s="6"/>
      <c r="K45" s="9" t="str">
        <f ca="1">IF(B45="","",IF(G45=0,"Lunas",IF(H45="","Belum Ada Jatuh Tempo",IF(TODAY()&gt;H45,"Jatuh Tempo",IF(H45-TODAY()&lt;=MASTER!$AF$5,"Segera Jatuh Tempo","Belum Dibayar")))))</f>
        <v/>
      </c>
      <c r="L45" s="6"/>
      <c r="M45" s="6"/>
      <c r="N45" s="6"/>
      <c r="O45" s="6"/>
      <c r="P45" s="64"/>
      <c r="Q45" s="67" t="str">
        <f>IF(P45="","",IFERROR(INDEX(PERKARA!$B$5:$B$104,MATCH(P45,PERKARA!$A$5:$A$104,0)),"ID TIDAK TERDAFTAR"))</f>
        <v/>
      </c>
      <c r="R45" s="67" t="str">
        <f t="shared" si="6"/>
        <v/>
      </c>
      <c r="S45" s="98"/>
      <c r="T45" s="98"/>
      <c r="U45" s="105"/>
      <c r="V45" s="98"/>
      <c r="W45" s="163" t="str">
        <f t="shared" si="7"/>
        <v/>
      </c>
    </row>
    <row r="46" spans="1:23">
      <c r="A46" s="9" t="str">
        <f t="shared" si="4"/>
        <v/>
      </c>
      <c r="B46" s="82"/>
      <c r="C46" s="6"/>
      <c r="D46" s="6"/>
      <c r="E46" s="11"/>
      <c r="F46" s="11"/>
      <c r="G46" s="12" t="str">
        <f t="shared" si="5"/>
        <v/>
      </c>
      <c r="H46" s="10"/>
      <c r="I46" s="10"/>
      <c r="J46" s="6"/>
      <c r="K46" s="9" t="str">
        <f ca="1">IF(B46="","",IF(G46=0,"Lunas",IF(H46="","Belum Ada Jatuh Tempo",IF(TODAY()&gt;H46,"Jatuh Tempo",IF(H46-TODAY()&lt;=MASTER!$AF$5,"Segera Jatuh Tempo","Belum Dibayar")))))</f>
        <v/>
      </c>
      <c r="L46" s="6"/>
      <c r="M46" s="6"/>
      <c r="N46" s="6"/>
      <c r="O46" s="6"/>
      <c r="P46" s="64"/>
      <c r="Q46" s="67" t="str">
        <f>IF(P46="","",IFERROR(INDEX(PERKARA!$B$5:$B$104,MATCH(P46,PERKARA!$A$5:$A$104,0)),"ID TIDAK TERDAFTAR"))</f>
        <v/>
      </c>
      <c r="R46" s="67" t="str">
        <f t="shared" si="6"/>
        <v/>
      </c>
      <c r="S46" s="98"/>
      <c r="T46" s="98"/>
      <c r="U46" s="105"/>
      <c r="V46" s="98"/>
      <c r="W46" s="163" t="str">
        <f t="shared" si="7"/>
        <v/>
      </c>
    </row>
    <row r="47" spans="1:23">
      <c r="A47" s="9" t="str">
        <f t="shared" si="4"/>
        <v/>
      </c>
      <c r="B47" s="82"/>
      <c r="C47" s="6"/>
      <c r="D47" s="6"/>
      <c r="E47" s="11"/>
      <c r="F47" s="11"/>
      <c r="G47" s="12" t="str">
        <f t="shared" si="5"/>
        <v/>
      </c>
      <c r="H47" s="10"/>
      <c r="I47" s="10"/>
      <c r="J47" s="6"/>
      <c r="K47" s="9" t="str">
        <f ca="1">IF(B47="","",IF(G47=0,"Lunas",IF(H47="","Belum Ada Jatuh Tempo",IF(TODAY()&gt;H47,"Jatuh Tempo",IF(H47-TODAY()&lt;=MASTER!$AF$5,"Segera Jatuh Tempo","Belum Dibayar")))))</f>
        <v/>
      </c>
      <c r="L47" s="6"/>
      <c r="M47" s="6"/>
      <c r="N47" s="6"/>
      <c r="O47" s="6"/>
      <c r="P47" s="64"/>
      <c r="Q47" s="67" t="str">
        <f>IF(P47="","",IFERROR(INDEX(PERKARA!$B$5:$B$104,MATCH(P47,PERKARA!$A$5:$A$104,0)),"ID TIDAK TERDAFTAR"))</f>
        <v/>
      </c>
      <c r="R47" s="67" t="str">
        <f t="shared" si="6"/>
        <v/>
      </c>
      <c r="S47" s="98"/>
      <c r="T47" s="98"/>
      <c r="U47" s="105"/>
      <c r="V47" s="98"/>
      <c r="W47" s="163" t="str">
        <f t="shared" si="7"/>
        <v/>
      </c>
    </row>
    <row r="48" spans="1:23">
      <c r="A48" s="9" t="str">
        <f t="shared" si="4"/>
        <v/>
      </c>
      <c r="B48" s="82"/>
      <c r="C48" s="6"/>
      <c r="D48" s="6"/>
      <c r="E48" s="11"/>
      <c r="F48" s="11"/>
      <c r="G48" s="12" t="str">
        <f t="shared" si="5"/>
        <v/>
      </c>
      <c r="H48" s="10"/>
      <c r="I48" s="10"/>
      <c r="J48" s="6"/>
      <c r="K48" s="9" t="str">
        <f ca="1">IF(B48="","",IF(G48=0,"Lunas",IF(H48="","Belum Ada Jatuh Tempo",IF(TODAY()&gt;H48,"Jatuh Tempo",IF(H48-TODAY()&lt;=MASTER!$AF$5,"Segera Jatuh Tempo","Belum Dibayar")))))</f>
        <v/>
      </c>
      <c r="L48" s="6"/>
      <c r="M48" s="6"/>
      <c r="N48" s="6"/>
      <c r="O48" s="6"/>
      <c r="P48" s="64"/>
      <c r="Q48" s="67" t="str">
        <f>IF(P48="","",IFERROR(INDEX(PERKARA!$B$5:$B$104,MATCH(P48,PERKARA!$A$5:$A$104,0)),"ID TIDAK TERDAFTAR"))</f>
        <v/>
      </c>
      <c r="R48" s="67" t="str">
        <f t="shared" si="6"/>
        <v/>
      </c>
      <c r="S48" s="98"/>
      <c r="T48" s="98"/>
      <c r="U48" s="105"/>
      <c r="V48" s="98"/>
      <c r="W48" s="163" t="str">
        <f t="shared" si="7"/>
        <v/>
      </c>
    </row>
    <row r="49" spans="1:23">
      <c r="A49" s="9" t="str">
        <f t="shared" si="4"/>
        <v/>
      </c>
      <c r="B49" s="82"/>
      <c r="C49" s="6"/>
      <c r="D49" s="6"/>
      <c r="E49" s="11"/>
      <c r="F49" s="11"/>
      <c r="G49" s="12" t="str">
        <f t="shared" si="5"/>
        <v/>
      </c>
      <c r="H49" s="10"/>
      <c r="I49" s="10"/>
      <c r="J49" s="6"/>
      <c r="K49" s="9" t="str">
        <f ca="1">IF(B49="","",IF(G49=0,"Lunas",IF(H49="","Belum Ada Jatuh Tempo",IF(TODAY()&gt;H49,"Jatuh Tempo",IF(H49-TODAY()&lt;=MASTER!$AF$5,"Segera Jatuh Tempo","Belum Dibayar")))))</f>
        <v/>
      </c>
      <c r="L49" s="6"/>
      <c r="M49" s="6"/>
      <c r="N49" s="6"/>
      <c r="O49" s="6"/>
      <c r="P49" s="64"/>
      <c r="Q49" s="67" t="str">
        <f>IF(P49="","",IFERROR(INDEX(PERKARA!$B$5:$B$104,MATCH(P49,PERKARA!$A$5:$A$104,0)),"ID TIDAK TERDAFTAR"))</f>
        <v/>
      </c>
      <c r="R49" s="67" t="str">
        <f t="shared" si="6"/>
        <v/>
      </c>
      <c r="S49" s="98"/>
      <c r="T49" s="98"/>
      <c r="U49" s="105"/>
      <c r="V49" s="98"/>
      <c r="W49" s="163" t="str">
        <f t="shared" si="7"/>
        <v/>
      </c>
    </row>
    <row r="50" spans="1:23">
      <c r="A50" s="9" t="str">
        <f t="shared" si="4"/>
        <v/>
      </c>
      <c r="B50" s="82"/>
      <c r="C50" s="6"/>
      <c r="D50" s="6"/>
      <c r="E50" s="11"/>
      <c r="F50" s="11"/>
      <c r="G50" s="12" t="str">
        <f t="shared" si="5"/>
        <v/>
      </c>
      <c r="H50" s="10"/>
      <c r="I50" s="10"/>
      <c r="J50" s="6"/>
      <c r="K50" s="9" t="str">
        <f ca="1">IF(B50="","",IF(G50=0,"Lunas",IF(H50="","Belum Ada Jatuh Tempo",IF(TODAY()&gt;H50,"Jatuh Tempo",IF(H50-TODAY()&lt;=MASTER!$AF$5,"Segera Jatuh Tempo","Belum Dibayar")))))</f>
        <v/>
      </c>
      <c r="L50" s="6"/>
      <c r="M50" s="6"/>
      <c r="N50" s="6"/>
      <c r="O50" s="6"/>
      <c r="P50" s="64"/>
      <c r="Q50" s="67" t="str">
        <f>IF(P50="","",IFERROR(INDEX(PERKARA!$B$5:$B$104,MATCH(P50,PERKARA!$A$5:$A$104,0)),"ID TIDAK TERDAFTAR"))</f>
        <v/>
      </c>
      <c r="R50" s="67" t="str">
        <f t="shared" si="6"/>
        <v/>
      </c>
      <c r="S50" s="98"/>
      <c r="T50" s="98"/>
      <c r="U50" s="105"/>
      <c r="V50" s="98"/>
      <c r="W50" s="163" t="str">
        <f t="shared" si="7"/>
        <v/>
      </c>
    </row>
    <row r="51" spans="1:23">
      <c r="A51" s="9" t="str">
        <f t="shared" si="4"/>
        <v/>
      </c>
      <c r="B51" s="82"/>
      <c r="C51" s="6"/>
      <c r="D51" s="6"/>
      <c r="E51" s="11"/>
      <c r="F51" s="11"/>
      <c r="G51" s="12" t="str">
        <f t="shared" si="5"/>
        <v/>
      </c>
      <c r="H51" s="10"/>
      <c r="I51" s="10"/>
      <c r="J51" s="6"/>
      <c r="K51" s="9" t="str">
        <f ca="1">IF(B51="","",IF(G51=0,"Lunas",IF(H51="","Belum Ada Jatuh Tempo",IF(TODAY()&gt;H51,"Jatuh Tempo",IF(H51-TODAY()&lt;=MASTER!$AF$5,"Segera Jatuh Tempo","Belum Dibayar")))))</f>
        <v/>
      </c>
      <c r="L51" s="6"/>
      <c r="M51" s="6"/>
      <c r="N51" s="6"/>
      <c r="O51" s="6"/>
      <c r="P51" s="64"/>
      <c r="Q51" s="67" t="str">
        <f>IF(P51="","",IFERROR(INDEX(PERKARA!$B$5:$B$104,MATCH(P51,PERKARA!$A$5:$A$104,0)),"ID TIDAK TERDAFTAR"))</f>
        <v/>
      </c>
      <c r="R51" s="67" t="str">
        <f t="shared" si="6"/>
        <v/>
      </c>
      <c r="S51" s="98"/>
      <c r="T51" s="98"/>
      <c r="U51" s="105"/>
      <c r="V51" s="98"/>
      <c r="W51" s="163" t="str">
        <f t="shared" si="7"/>
        <v/>
      </c>
    </row>
    <row r="52" spans="1:23">
      <c r="A52" s="9" t="str">
        <f t="shared" si="4"/>
        <v/>
      </c>
      <c r="B52" s="82"/>
      <c r="C52" s="6"/>
      <c r="D52" s="6"/>
      <c r="E52" s="11"/>
      <c r="F52" s="11"/>
      <c r="G52" s="12" t="str">
        <f t="shared" si="5"/>
        <v/>
      </c>
      <c r="H52" s="10"/>
      <c r="I52" s="10"/>
      <c r="J52" s="6"/>
      <c r="K52" s="9" t="str">
        <f ca="1">IF(B52="","",IF(G52=0,"Lunas",IF(H52="","Belum Ada Jatuh Tempo",IF(TODAY()&gt;H52,"Jatuh Tempo",IF(H52-TODAY()&lt;=MASTER!$AF$5,"Segera Jatuh Tempo","Belum Dibayar")))))</f>
        <v/>
      </c>
      <c r="L52" s="6"/>
      <c r="M52" s="6"/>
      <c r="N52" s="6"/>
      <c r="O52" s="6"/>
      <c r="P52" s="64"/>
      <c r="Q52" s="67" t="str">
        <f>IF(P52="","",IFERROR(INDEX(PERKARA!$B$5:$B$104,MATCH(P52,PERKARA!$A$5:$A$104,0)),"ID TIDAK TERDAFTAR"))</f>
        <v/>
      </c>
      <c r="R52" s="67" t="str">
        <f t="shared" si="6"/>
        <v/>
      </c>
      <c r="S52" s="98"/>
      <c r="T52" s="98"/>
      <c r="U52" s="105"/>
      <c r="V52" s="98"/>
      <c r="W52" s="163" t="str">
        <f t="shared" si="7"/>
        <v/>
      </c>
    </row>
    <row r="53" spans="1:23">
      <c r="A53" s="9" t="str">
        <f t="shared" si="4"/>
        <v/>
      </c>
      <c r="B53" s="82"/>
      <c r="C53" s="6"/>
      <c r="D53" s="6"/>
      <c r="E53" s="11"/>
      <c r="F53" s="11"/>
      <c r="G53" s="12" t="str">
        <f t="shared" si="5"/>
        <v/>
      </c>
      <c r="H53" s="10"/>
      <c r="I53" s="10"/>
      <c r="J53" s="6"/>
      <c r="K53" s="9" t="str">
        <f ca="1">IF(B53="","",IF(G53=0,"Lunas",IF(H53="","Belum Ada Jatuh Tempo",IF(TODAY()&gt;H53,"Jatuh Tempo",IF(H53-TODAY()&lt;=MASTER!$AF$5,"Segera Jatuh Tempo","Belum Dibayar")))))</f>
        <v/>
      </c>
      <c r="L53" s="6"/>
      <c r="M53" s="6"/>
      <c r="N53" s="6"/>
      <c r="O53" s="6"/>
      <c r="P53" s="64"/>
      <c r="Q53" s="67" t="str">
        <f>IF(P53="","",IFERROR(INDEX(PERKARA!$B$5:$B$104,MATCH(P53,PERKARA!$A$5:$A$104,0)),"ID TIDAK TERDAFTAR"))</f>
        <v/>
      </c>
      <c r="R53" s="67" t="str">
        <f t="shared" si="6"/>
        <v/>
      </c>
      <c r="S53" s="98"/>
      <c r="T53" s="98"/>
      <c r="U53" s="105"/>
      <c r="V53" s="98"/>
      <c r="W53" s="163" t="str">
        <f t="shared" si="7"/>
        <v/>
      </c>
    </row>
    <row r="54" spans="1:23">
      <c r="A54" s="9" t="str">
        <f t="shared" si="4"/>
        <v/>
      </c>
      <c r="B54" s="82"/>
      <c r="C54" s="6"/>
      <c r="D54" s="6"/>
      <c r="E54" s="11"/>
      <c r="F54" s="11"/>
      <c r="G54" s="12" t="str">
        <f t="shared" si="5"/>
        <v/>
      </c>
      <c r="H54" s="10"/>
      <c r="I54" s="10"/>
      <c r="J54" s="6"/>
      <c r="K54" s="9" t="str">
        <f ca="1">IF(B54="","",IF(G54=0,"Lunas",IF(H54="","Belum Ada Jatuh Tempo",IF(TODAY()&gt;H54,"Jatuh Tempo",IF(H54-TODAY()&lt;=MASTER!$AF$5,"Segera Jatuh Tempo","Belum Dibayar")))))</f>
        <v/>
      </c>
      <c r="L54" s="6"/>
      <c r="M54" s="6"/>
      <c r="N54" s="6"/>
      <c r="O54" s="6"/>
      <c r="P54" s="64"/>
      <c r="Q54" s="67" t="str">
        <f>IF(P54="","",IFERROR(INDEX(PERKARA!$B$5:$B$104,MATCH(P54,PERKARA!$A$5:$A$104,0)),"ID TIDAK TERDAFTAR"))</f>
        <v/>
      </c>
      <c r="R54" s="67" t="str">
        <f t="shared" si="6"/>
        <v/>
      </c>
      <c r="S54" s="98"/>
      <c r="T54" s="98"/>
      <c r="U54" s="105"/>
      <c r="V54" s="98"/>
      <c r="W54" s="163" t="str">
        <f t="shared" si="7"/>
        <v/>
      </c>
    </row>
    <row r="55" spans="1:23">
      <c r="A55" s="9" t="str">
        <f t="shared" si="4"/>
        <v/>
      </c>
      <c r="B55" s="82"/>
      <c r="C55" s="6"/>
      <c r="D55" s="6"/>
      <c r="E55" s="11"/>
      <c r="F55" s="11"/>
      <c r="G55" s="12" t="str">
        <f t="shared" si="5"/>
        <v/>
      </c>
      <c r="H55" s="10"/>
      <c r="I55" s="10"/>
      <c r="J55" s="6"/>
      <c r="K55" s="9" t="str">
        <f ca="1">IF(B55="","",IF(G55=0,"Lunas",IF(H55="","Belum Ada Jatuh Tempo",IF(TODAY()&gt;H55,"Jatuh Tempo",IF(H55-TODAY()&lt;=MASTER!$AF$5,"Segera Jatuh Tempo","Belum Dibayar")))))</f>
        <v/>
      </c>
      <c r="L55" s="6"/>
      <c r="M55" s="6"/>
      <c r="N55" s="6"/>
      <c r="O55" s="6"/>
      <c r="P55" s="64"/>
      <c r="Q55" s="67" t="str">
        <f>IF(P55="","",IFERROR(INDEX(PERKARA!$B$5:$B$104,MATCH(P55,PERKARA!$A$5:$A$104,0)),"ID TIDAK TERDAFTAR"))</f>
        <v/>
      </c>
      <c r="R55" s="67" t="str">
        <f t="shared" si="6"/>
        <v/>
      </c>
      <c r="S55" s="98"/>
      <c r="T55" s="98"/>
      <c r="U55" s="105"/>
      <c r="V55" s="98"/>
      <c r="W55" s="163" t="str">
        <f t="shared" si="7"/>
        <v/>
      </c>
    </row>
    <row r="56" spans="1:23">
      <c r="A56" s="9" t="str">
        <f t="shared" si="4"/>
        <v/>
      </c>
      <c r="B56" s="82"/>
      <c r="C56" s="6"/>
      <c r="D56" s="6"/>
      <c r="E56" s="11"/>
      <c r="F56" s="11"/>
      <c r="G56" s="12" t="str">
        <f t="shared" si="5"/>
        <v/>
      </c>
      <c r="H56" s="10"/>
      <c r="I56" s="10"/>
      <c r="J56" s="6"/>
      <c r="K56" s="9" t="str">
        <f ca="1">IF(B56="","",IF(G56=0,"Lunas",IF(H56="","Belum Ada Jatuh Tempo",IF(TODAY()&gt;H56,"Jatuh Tempo",IF(H56-TODAY()&lt;=MASTER!$AF$5,"Segera Jatuh Tempo","Belum Dibayar")))))</f>
        <v/>
      </c>
      <c r="L56" s="6"/>
      <c r="M56" s="6"/>
      <c r="N56" s="6"/>
      <c r="O56" s="6"/>
      <c r="P56" s="64"/>
      <c r="Q56" s="67" t="str">
        <f>IF(P56="","",IFERROR(INDEX(PERKARA!$B$5:$B$104,MATCH(P56,PERKARA!$A$5:$A$104,0)),"ID TIDAK TERDAFTAR"))</f>
        <v/>
      </c>
      <c r="R56" s="67" t="str">
        <f t="shared" si="6"/>
        <v/>
      </c>
      <c r="S56" s="98"/>
      <c r="T56" s="98"/>
      <c r="U56" s="105"/>
      <c r="V56" s="98"/>
      <c r="W56" s="163" t="str">
        <f t="shared" si="7"/>
        <v/>
      </c>
    </row>
    <row r="57" spans="1:23">
      <c r="A57" s="9" t="str">
        <f t="shared" si="4"/>
        <v/>
      </c>
      <c r="B57" s="82"/>
      <c r="C57" s="6"/>
      <c r="D57" s="6"/>
      <c r="E57" s="11"/>
      <c r="F57" s="11"/>
      <c r="G57" s="12" t="str">
        <f t="shared" si="5"/>
        <v/>
      </c>
      <c r="H57" s="10"/>
      <c r="I57" s="10"/>
      <c r="J57" s="6"/>
      <c r="K57" s="9" t="str">
        <f ca="1">IF(B57="","",IF(G57=0,"Lunas",IF(H57="","Belum Ada Jatuh Tempo",IF(TODAY()&gt;H57,"Jatuh Tempo",IF(H57-TODAY()&lt;=MASTER!$AF$5,"Segera Jatuh Tempo","Belum Dibayar")))))</f>
        <v/>
      </c>
      <c r="L57" s="6"/>
      <c r="M57" s="6"/>
      <c r="N57" s="6"/>
      <c r="O57" s="6"/>
      <c r="P57" s="64"/>
      <c r="Q57" s="67" t="str">
        <f>IF(P57="","",IFERROR(INDEX(PERKARA!$B$5:$B$104,MATCH(P57,PERKARA!$A$5:$A$104,0)),"ID TIDAK TERDAFTAR"))</f>
        <v/>
      </c>
      <c r="R57" s="67" t="str">
        <f t="shared" si="6"/>
        <v/>
      </c>
      <c r="S57" s="98"/>
      <c r="T57" s="98"/>
      <c r="U57" s="105"/>
      <c r="V57" s="98"/>
      <c r="W57" s="163" t="str">
        <f t="shared" si="7"/>
        <v/>
      </c>
    </row>
    <row r="58" spans="1:23">
      <c r="A58" s="9" t="str">
        <f t="shared" si="4"/>
        <v/>
      </c>
      <c r="B58" s="82"/>
      <c r="C58" s="6"/>
      <c r="D58" s="6"/>
      <c r="E58" s="11"/>
      <c r="F58" s="11"/>
      <c r="G58" s="12" t="str">
        <f t="shared" si="5"/>
        <v/>
      </c>
      <c r="H58" s="10"/>
      <c r="I58" s="10"/>
      <c r="J58" s="6"/>
      <c r="K58" s="9" t="str">
        <f ca="1">IF(B58="","",IF(G58=0,"Lunas",IF(H58="","Belum Ada Jatuh Tempo",IF(TODAY()&gt;H58,"Jatuh Tempo",IF(H58-TODAY()&lt;=MASTER!$AF$5,"Segera Jatuh Tempo","Belum Dibayar")))))</f>
        <v/>
      </c>
      <c r="L58" s="6"/>
      <c r="M58" s="6"/>
      <c r="N58" s="6"/>
      <c r="O58" s="6"/>
      <c r="P58" s="64"/>
      <c r="Q58" s="67" t="str">
        <f>IF(P58="","",IFERROR(INDEX(PERKARA!$B$5:$B$104,MATCH(P58,PERKARA!$A$5:$A$104,0)),"ID TIDAK TERDAFTAR"))</f>
        <v/>
      </c>
      <c r="R58" s="67" t="str">
        <f t="shared" si="6"/>
        <v/>
      </c>
      <c r="S58" s="98"/>
      <c r="T58" s="98"/>
      <c r="U58" s="105"/>
      <c r="V58" s="98"/>
      <c r="W58" s="163" t="str">
        <f t="shared" si="7"/>
        <v/>
      </c>
    </row>
    <row r="59" spans="1:23">
      <c r="A59" s="9" t="str">
        <f t="shared" si="4"/>
        <v/>
      </c>
      <c r="B59" s="82"/>
      <c r="C59" s="6"/>
      <c r="D59" s="6"/>
      <c r="E59" s="11"/>
      <c r="F59" s="11"/>
      <c r="G59" s="12" t="str">
        <f t="shared" si="5"/>
        <v/>
      </c>
      <c r="H59" s="10"/>
      <c r="I59" s="10"/>
      <c r="J59" s="6"/>
      <c r="K59" s="9" t="str">
        <f ca="1">IF(B59="","",IF(G59=0,"Lunas",IF(H59="","Belum Ada Jatuh Tempo",IF(TODAY()&gt;H59,"Jatuh Tempo",IF(H59-TODAY()&lt;=MASTER!$AF$5,"Segera Jatuh Tempo","Belum Dibayar")))))</f>
        <v/>
      </c>
      <c r="L59" s="6"/>
      <c r="M59" s="6"/>
      <c r="N59" s="6"/>
      <c r="O59" s="6"/>
      <c r="P59" s="64"/>
      <c r="Q59" s="67" t="str">
        <f>IF(P59="","",IFERROR(INDEX(PERKARA!$B$5:$B$104,MATCH(P59,PERKARA!$A$5:$A$104,0)),"ID TIDAK TERDAFTAR"))</f>
        <v/>
      </c>
      <c r="R59" s="67" t="str">
        <f t="shared" si="6"/>
        <v/>
      </c>
      <c r="S59" s="98"/>
      <c r="T59" s="98"/>
      <c r="U59" s="105"/>
      <c r="V59" s="98"/>
      <c r="W59" s="163" t="str">
        <f t="shared" si="7"/>
        <v/>
      </c>
    </row>
    <row r="60" spans="1:23">
      <c r="A60" s="9" t="str">
        <f t="shared" si="4"/>
        <v/>
      </c>
      <c r="B60" s="82"/>
      <c r="C60" s="6"/>
      <c r="D60" s="6"/>
      <c r="E60" s="11"/>
      <c r="F60" s="11"/>
      <c r="G60" s="12" t="str">
        <f t="shared" si="5"/>
        <v/>
      </c>
      <c r="H60" s="10"/>
      <c r="I60" s="10"/>
      <c r="J60" s="6"/>
      <c r="K60" s="9" t="str">
        <f ca="1">IF(B60="","",IF(G60=0,"Lunas",IF(H60="","Belum Ada Jatuh Tempo",IF(TODAY()&gt;H60,"Jatuh Tempo",IF(H60-TODAY()&lt;=MASTER!$AF$5,"Segera Jatuh Tempo","Belum Dibayar")))))</f>
        <v/>
      </c>
      <c r="L60" s="6"/>
      <c r="M60" s="6"/>
      <c r="N60" s="6"/>
      <c r="O60" s="6"/>
      <c r="P60" s="64"/>
      <c r="Q60" s="67" t="str">
        <f>IF(P60="","",IFERROR(INDEX(PERKARA!$B$5:$B$104,MATCH(P60,PERKARA!$A$5:$A$104,0)),"ID TIDAK TERDAFTAR"))</f>
        <v/>
      </c>
      <c r="R60" s="67" t="str">
        <f t="shared" si="6"/>
        <v/>
      </c>
      <c r="S60" s="98"/>
      <c r="T60" s="98"/>
      <c r="U60" s="105"/>
      <c r="V60" s="98"/>
      <c r="W60" s="163" t="str">
        <f t="shared" si="7"/>
        <v/>
      </c>
    </row>
    <row r="61" spans="1:23">
      <c r="A61" s="9" t="str">
        <f t="shared" si="4"/>
        <v/>
      </c>
      <c r="B61" s="82"/>
      <c r="C61" s="6"/>
      <c r="D61" s="6"/>
      <c r="E61" s="11"/>
      <c r="F61" s="11"/>
      <c r="G61" s="12" t="str">
        <f t="shared" si="5"/>
        <v/>
      </c>
      <c r="H61" s="10"/>
      <c r="I61" s="10"/>
      <c r="J61" s="6"/>
      <c r="K61" s="9" t="str">
        <f ca="1">IF(B61="","",IF(G61=0,"Lunas",IF(H61="","Belum Ada Jatuh Tempo",IF(TODAY()&gt;H61,"Jatuh Tempo",IF(H61-TODAY()&lt;=MASTER!$AF$5,"Segera Jatuh Tempo","Belum Dibayar")))))</f>
        <v/>
      </c>
      <c r="L61" s="6"/>
      <c r="M61" s="6"/>
      <c r="N61" s="6"/>
      <c r="O61" s="6"/>
      <c r="P61" s="64"/>
      <c r="Q61" s="67" t="str">
        <f>IF(P61="","",IFERROR(INDEX(PERKARA!$B$5:$B$104,MATCH(P61,PERKARA!$A$5:$A$104,0)),"ID TIDAK TERDAFTAR"))</f>
        <v/>
      </c>
      <c r="R61" s="67" t="str">
        <f t="shared" si="6"/>
        <v/>
      </c>
      <c r="S61" s="98"/>
      <c r="T61" s="98"/>
      <c r="U61" s="105"/>
      <c r="V61" s="98"/>
      <c r="W61" s="163" t="str">
        <f t="shared" si="7"/>
        <v/>
      </c>
    </row>
    <row r="62" spans="1:23">
      <c r="A62" s="9" t="str">
        <f t="shared" si="4"/>
        <v/>
      </c>
      <c r="B62" s="82"/>
      <c r="C62" s="6"/>
      <c r="D62" s="6"/>
      <c r="E62" s="11"/>
      <c r="F62" s="11"/>
      <c r="G62" s="12" t="str">
        <f t="shared" si="5"/>
        <v/>
      </c>
      <c r="H62" s="10"/>
      <c r="I62" s="10"/>
      <c r="J62" s="6"/>
      <c r="K62" s="9" t="str">
        <f ca="1">IF(B62="","",IF(G62=0,"Lunas",IF(H62="","Belum Ada Jatuh Tempo",IF(TODAY()&gt;H62,"Jatuh Tempo",IF(H62-TODAY()&lt;=MASTER!$AF$5,"Segera Jatuh Tempo","Belum Dibayar")))))</f>
        <v/>
      </c>
      <c r="L62" s="6"/>
      <c r="M62" s="6"/>
      <c r="N62" s="6"/>
      <c r="O62" s="6"/>
      <c r="P62" s="64"/>
      <c r="Q62" s="67" t="str">
        <f>IF(P62="","",IFERROR(INDEX(PERKARA!$B$5:$B$104,MATCH(P62,PERKARA!$A$5:$A$104,0)),"ID TIDAK TERDAFTAR"))</f>
        <v/>
      </c>
      <c r="R62" s="67" t="str">
        <f t="shared" si="6"/>
        <v/>
      </c>
      <c r="S62" s="98"/>
      <c r="T62" s="98"/>
      <c r="U62" s="105"/>
      <c r="V62" s="98"/>
      <c r="W62" s="163" t="str">
        <f t="shared" si="7"/>
        <v/>
      </c>
    </row>
    <row r="63" spans="1:23">
      <c r="A63" s="9" t="str">
        <f t="shared" si="4"/>
        <v/>
      </c>
      <c r="B63" s="82"/>
      <c r="C63" s="6"/>
      <c r="D63" s="6"/>
      <c r="E63" s="11"/>
      <c r="F63" s="11"/>
      <c r="G63" s="12" t="str">
        <f t="shared" si="5"/>
        <v/>
      </c>
      <c r="H63" s="10"/>
      <c r="I63" s="10"/>
      <c r="J63" s="6"/>
      <c r="K63" s="9" t="str">
        <f ca="1">IF(B63="","",IF(G63=0,"Lunas",IF(H63="","Belum Ada Jatuh Tempo",IF(TODAY()&gt;H63,"Jatuh Tempo",IF(H63-TODAY()&lt;=MASTER!$AF$5,"Segera Jatuh Tempo","Belum Dibayar")))))</f>
        <v/>
      </c>
      <c r="L63" s="6"/>
      <c r="M63" s="6"/>
      <c r="N63" s="6"/>
      <c r="O63" s="6"/>
      <c r="P63" s="64"/>
      <c r="Q63" s="67" t="str">
        <f>IF(P63="","",IFERROR(INDEX(PERKARA!$B$5:$B$104,MATCH(P63,PERKARA!$A$5:$A$104,0)),"ID TIDAK TERDAFTAR"))</f>
        <v/>
      </c>
      <c r="R63" s="67" t="str">
        <f t="shared" si="6"/>
        <v/>
      </c>
      <c r="S63" s="98"/>
      <c r="T63" s="98"/>
      <c r="U63" s="105"/>
      <c r="V63" s="98"/>
      <c r="W63" s="163" t="str">
        <f t="shared" si="7"/>
        <v/>
      </c>
    </row>
    <row r="64" spans="1:23">
      <c r="A64" s="9" t="str">
        <f t="shared" si="4"/>
        <v/>
      </c>
      <c r="B64" s="82"/>
      <c r="C64" s="6"/>
      <c r="D64" s="6"/>
      <c r="E64" s="11"/>
      <c r="F64" s="11"/>
      <c r="G64" s="12" t="str">
        <f t="shared" si="5"/>
        <v/>
      </c>
      <c r="H64" s="10"/>
      <c r="I64" s="10"/>
      <c r="J64" s="6"/>
      <c r="K64" s="9" t="str">
        <f ca="1">IF(B64="","",IF(G64=0,"Lunas",IF(H64="","Belum Ada Jatuh Tempo",IF(TODAY()&gt;H64,"Jatuh Tempo",IF(H64-TODAY()&lt;=MASTER!$AF$5,"Segera Jatuh Tempo","Belum Dibayar")))))</f>
        <v/>
      </c>
      <c r="L64" s="6"/>
      <c r="M64" s="6"/>
      <c r="N64" s="6"/>
      <c r="O64" s="6"/>
      <c r="P64" s="64"/>
      <c r="Q64" s="67" t="str">
        <f>IF(P64="","",IFERROR(INDEX(PERKARA!$B$5:$B$104,MATCH(P64,PERKARA!$A$5:$A$104,0)),"ID TIDAK TERDAFTAR"))</f>
        <v/>
      </c>
      <c r="R64" s="67" t="str">
        <f t="shared" si="6"/>
        <v/>
      </c>
      <c r="S64" s="98"/>
      <c r="T64" s="98"/>
      <c r="U64" s="105"/>
      <c r="V64" s="98"/>
      <c r="W64" s="163" t="str">
        <f t="shared" si="7"/>
        <v/>
      </c>
    </row>
    <row r="65" spans="1:23">
      <c r="A65" s="9" t="str">
        <f t="shared" si="4"/>
        <v/>
      </c>
      <c r="B65" s="82"/>
      <c r="C65" s="6"/>
      <c r="D65" s="6"/>
      <c r="E65" s="11"/>
      <c r="F65" s="11"/>
      <c r="G65" s="12" t="str">
        <f t="shared" si="5"/>
        <v/>
      </c>
      <c r="H65" s="10"/>
      <c r="I65" s="10"/>
      <c r="J65" s="6"/>
      <c r="K65" s="9" t="str">
        <f ca="1">IF(B65="","",IF(G65=0,"Lunas",IF(H65="","Belum Ada Jatuh Tempo",IF(TODAY()&gt;H65,"Jatuh Tempo",IF(H65-TODAY()&lt;=MASTER!$AF$5,"Segera Jatuh Tempo","Belum Dibayar")))))</f>
        <v/>
      </c>
      <c r="L65" s="6"/>
      <c r="M65" s="6"/>
      <c r="N65" s="6"/>
      <c r="O65" s="6"/>
      <c r="P65" s="64"/>
      <c r="Q65" s="67" t="str">
        <f>IF(P65="","",IFERROR(INDEX(PERKARA!$B$5:$B$104,MATCH(P65,PERKARA!$A$5:$A$104,0)),"ID TIDAK TERDAFTAR"))</f>
        <v/>
      </c>
      <c r="R65" s="67" t="str">
        <f t="shared" si="6"/>
        <v/>
      </c>
      <c r="S65" s="98"/>
      <c r="T65" s="98"/>
      <c r="U65" s="105"/>
      <c r="V65" s="98"/>
      <c r="W65" s="163" t="str">
        <f t="shared" si="7"/>
        <v/>
      </c>
    </row>
    <row r="66" spans="1:23">
      <c r="A66" s="9" t="str">
        <f t="shared" si="4"/>
        <v/>
      </c>
      <c r="B66" s="82"/>
      <c r="C66" s="6"/>
      <c r="D66" s="6"/>
      <c r="E66" s="11"/>
      <c r="F66" s="11"/>
      <c r="G66" s="12" t="str">
        <f t="shared" si="5"/>
        <v/>
      </c>
      <c r="H66" s="10"/>
      <c r="I66" s="10"/>
      <c r="J66" s="6"/>
      <c r="K66" s="9" t="str">
        <f ca="1">IF(B66="","",IF(G66=0,"Lunas",IF(H66="","Belum Ada Jatuh Tempo",IF(TODAY()&gt;H66,"Jatuh Tempo",IF(H66-TODAY()&lt;=MASTER!$AF$5,"Segera Jatuh Tempo","Belum Dibayar")))))</f>
        <v/>
      </c>
      <c r="L66" s="6"/>
      <c r="M66" s="6"/>
      <c r="N66" s="6"/>
      <c r="O66" s="6"/>
      <c r="P66" s="64"/>
      <c r="Q66" s="67" t="str">
        <f>IF(P66="","",IFERROR(INDEX(PERKARA!$B$5:$B$104,MATCH(P66,PERKARA!$A$5:$A$104,0)),"ID TIDAK TERDAFTAR"))</f>
        <v/>
      </c>
      <c r="R66" s="67" t="str">
        <f t="shared" si="6"/>
        <v/>
      </c>
      <c r="S66" s="98"/>
      <c r="T66" s="98"/>
      <c r="U66" s="105"/>
      <c r="V66" s="98"/>
      <c r="W66" s="163" t="str">
        <f t="shared" si="7"/>
        <v/>
      </c>
    </row>
    <row r="67" spans="1:23">
      <c r="A67" s="9" t="str">
        <f t="shared" si="4"/>
        <v/>
      </c>
      <c r="B67" s="82"/>
      <c r="C67" s="6"/>
      <c r="D67" s="6"/>
      <c r="E67" s="11"/>
      <c r="F67" s="11"/>
      <c r="G67" s="12" t="str">
        <f t="shared" si="5"/>
        <v/>
      </c>
      <c r="H67" s="10"/>
      <c r="I67" s="10"/>
      <c r="J67" s="6"/>
      <c r="K67" s="9" t="str">
        <f ca="1">IF(B67="","",IF(G67=0,"Lunas",IF(H67="","Belum Ada Jatuh Tempo",IF(TODAY()&gt;H67,"Jatuh Tempo",IF(H67-TODAY()&lt;=MASTER!$AF$5,"Segera Jatuh Tempo","Belum Dibayar")))))</f>
        <v/>
      </c>
      <c r="L67" s="6"/>
      <c r="M67" s="6"/>
      <c r="N67" s="6"/>
      <c r="O67" s="6"/>
      <c r="P67" s="64"/>
      <c r="Q67" s="67" t="str">
        <f>IF(P67="","",IFERROR(INDEX(PERKARA!$B$5:$B$104,MATCH(P67,PERKARA!$A$5:$A$104,0)),"ID TIDAK TERDAFTAR"))</f>
        <v/>
      </c>
      <c r="R67" s="67" t="str">
        <f t="shared" si="6"/>
        <v/>
      </c>
      <c r="S67" s="98"/>
      <c r="T67" s="98"/>
      <c r="U67" s="105"/>
      <c r="V67" s="98"/>
      <c r="W67" s="163" t="str">
        <f t="shared" si="7"/>
        <v/>
      </c>
    </row>
    <row r="68" spans="1:23">
      <c r="A68" s="9" t="str">
        <f t="shared" si="4"/>
        <v/>
      </c>
      <c r="B68" s="82"/>
      <c r="C68" s="6"/>
      <c r="D68" s="6"/>
      <c r="E68" s="11"/>
      <c r="F68" s="11"/>
      <c r="G68" s="12" t="str">
        <f t="shared" si="5"/>
        <v/>
      </c>
      <c r="H68" s="10"/>
      <c r="I68" s="10"/>
      <c r="J68" s="6"/>
      <c r="K68" s="9" t="str">
        <f ca="1">IF(B68="","",IF(G68=0,"Lunas",IF(H68="","Belum Ada Jatuh Tempo",IF(TODAY()&gt;H68,"Jatuh Tempo",IF(H68-TODAY()&lt;=MASTER!$AF$5,"Segera Jatuh Tempo","Belum Dibayar")))))</f>
        <v/>
      </c>
      <c r="L68" s="6"/>
      <c r="M68" s="6"/>
      <c r="N68" s="6"/>
      <c r="O68" s="6"/>
      <c r="P68" s="64"/>
      <c r="Q68" s="67" t="str">
        <f>IF(P68="","",IFERROR(INDEX(PERKARA!$B$5:$B$104,MATCH(P68,PERKARA!$A$5:$A$104,0)),"ID TIDAK TERDAFTAR"))</f>
        <v/>
      </c>
      <c r="R68" s="67" t="str">
        <f t="shared" si="6"/>
        <v/>
      </c>
      <c r="S68" s="98"/>
      <c r="T68" s="98"/>
      <c r="U68" s="105"/>
      <c r="V68" s="98"/>
      <c r="W68" s="163" t="str">
        <f t="shared" si="7"/>
        <v/>
      </c>
    </row>
    <row r="69" spans="1:23">
      <c r="A69" s="9" t="str">
        <f t="shared" ref="A69:A100" si="8">IF(B69="","",IFERROR("LIA-"&amp;TEXT(B69,"yyyymm")&amp;"-"&amp;TEXT(ROW()-4,"000"),"PERIODE TIDAK VALID"))</f>
        <v/>
      </c>
      <c r="B69" s="82"/>
      <c r="C69" s="6"/>
      <c r="D69" s="6"/>
      <c r="E69" s="11"/>
      <c r="F69" s="11"/>
      <c r="G69" s="12" t="str">
        <f t="shared" ref="G69:G100" si="9">IF(B69="","",MAX(E69-F69,0))</f>
        <v/>
      </c>
      <c r="H69" s="10"/>
      <c r="I69" s="10"/>
      <c r="J69" s="6"/>
      <c r="K69" s="9" t="str">
        <f ca="1">IF(B69="","",IF(G69=0,"Lunas",IF(H69="","Belum Ada Jatuh Tempo",IF(TODAY()&gt;H69,"Jatuh Tempo",IF(H69-TODAY()&lt;=MASTER!$AF$5,"Segera Jatuh Tempo","Belum Dibayar")))))</f>
        <v/>
      </c>
      <c r="L69" s="6"/>
      <c r="M69" s="6"/>
      <c r="N69" s="6"/>
      <c r="O69" s="6"/>
      <c r="P69" s="64"/>
      <c r="Q69" s="67" t="str">
        <f>IF(P69="","",IFERROR(INDEX(PERKARA!$B$5:$B$104,MATCH(P69,PERKARA!$A$5:$A$104,0)),"ID TIDAK TERDAFTAR"))</f>
        <v/>
      </c>
      <c r="R69" s="67" t="str">
        <f t="shared" ref="R69:R100" si="10">IF(B69="","",IF(F69&gt;E69,"PEMBAYARAN MELEBIHI KEWAJIBAN",IF(AND(F69&gt;0,J69=""),"AKUN PEMBAYARAN BELUM DIISI",IF(AND(F69&gt;0,I69=""),"TANGGAL PEMBAYARAN BELUM DIISI",IF(AND(P69&lt;&gt;"",Q69="ID TIDAK TERDAFTAR"),"PERKARA TIDAK VALID",IF(AND(F69&gt;0,OR(S69&lt;&gt;"Disetujui",T69="")),"DIBAYAR TANPA OTORISASI","OK"))))))</f>
        <v/>
      </c>
      <c r="S69" s="98"/>
      <c r="T69" s="98"/>
      <c r="U69" s="105"/>
      <c r="V69" s="98"/>
      <c r="W69" s="163" t="str">
        <f t="shared" ref="W69:W100" si="11">IF(B69="","",IF(S69="Ditolak","DITOLAK",IF(AND(S69="Disetujui",T69&lt;&gt;""),"LENGKAP",IF(S69="Disetujui","NAMA PENYETUJU BELUM DIISI","MENUNGGU PERSETUJUAN MANUAL"))))</f>
        <v/>
      </c>
    </row>
    <row r="70" spans="1:23">
      <c r="A70" s="9" t="str">
        <f t="shared" si="8"/>
        <v/>
      </c>
      <c r="B70" s="82"/>
      <c r="C70" s="6"/>
      <c r="D70" s="6"/>
      <c r="E70" s="11"/>
      <c r="F70" s="11"/>
      <c r="G70" s="12" t="str">
        <f t="shared" si="9"/>
        <v/>
      </c>
      <c r="H70" s="10"/>
      <c r="I70" s="10"/>
      <c r="J70" s="6"/>
      <c r="K70" s="9" t="str">
        <f ca="1">IF(B70="","",IF(G70=0,"Lunas",IF(H70="","Belum Ada Jatuh Tempo",IF(TODAY()&gt;H70,"Jatuh Tempo",IF(H70-TODAY()&lt;=MASTER!$AF$5,"Segera Jatuh Tempo","Belum Dibayar")))))</f>
        <v/>
      </c>
      <c r="L70" s="6"/>
      <c r="M70" s="6"/>
      <c r="N70" s="6"/>
      <c r="O70" s="6"/>
      <c r="P70" s="64"/>
      <c r="Q70" s="67" t="str">
        <f>IF(P70="","",IFERROR(INDEX(PERKARA!$B$5:$B$104,MATCH(P70,PERKARA!$A$5:$A$104,0)),"ID TIDAK TERDAFTAR"))</f>
        <v/>
      </c>
      <c r="R70" s="67" t="str">
        <f t="shared" si="10"/>
        <v/>
      </c>
      <c r="S70" s="98"/>
      <c r="T70" s="98"/>
      <c r="U70" s="105"/>
      <c r="V70" s="98"/>
      <c r="W70" s="163" t="str">
        <f t="shared" si="11"/>
        <v/>
      </c>
    </row>
    <row r="71" spans="1:23">
      <c r="A71" s="9" t="str">
        <f t="shared" si="8"/>
        <v/>
      </c>
      <c r="B71" s="82"/>
      <c r="C71" s="6"/>
      <c r="D71" s="6"/>
      <c r="E71" s="11"/>
      <c r="F71" s="11"/>
      <c r="G71" s="12" t="str">
        <f t="shared" si="9"/>
        <v/>
      </c>
      <c r="H71" s="10"/>
      <c r="I71" s="10"/>
      <c r="J71" s="6"/>
      <c r="K71" s="9" t="str">
        <f ca="1">IF(B71="","",IF(G71=0,"Lunas",IF(H71="","Belum Ada Jatuh Tempo",IF(TODAY()&gt;H71,"Jatuh Tempo",IF(H71-TODAY()&lt;=MASTER!$AF$5,"Segera Jatuh Tempo","Belum Dibayar")))))</f>
        <v/>
      </c>
      <c r="L71" s="6"/>
      <c r="M71" s="6"/>
      <c r="N71" s="6"/>
      <c r="O71" s="6"/>
      <c r="P71" s="64"/>
      <c r="Q71" s="67" t="str">
        <f>IF(P71="","",IFERROR(INDEX(PERKARA!$B$5:$B$104,MATCH(P71,PERKARA!$A$5:$A$104,0)),"ID TIDAK TERDAFTAR"))</f>
        <v/>
      </c>
      <c r="R71" s="67" t="str">
        <f t="shared" si="10"/>
        <v/>
      </c>
      <c r="S71" s="98"/>
      <c r="T71" s="98"/>
      <c r="U71" s="105"/>
      <c r="V71" s="98"/>
      <c r="W71" s="163" t="str">
        <f t="shared" si="11"/>
        <v/>
      </c>
    </row>
    <row r="72" spans="1:23">
      <c r="A72" s="9" t="str">
        <f t="shared" si="8"/>
        <v/>
      </c>
      <c r="B72" s="82"/>
      <c r="C72" s="6"/>
      <c r="D72" s="6"/>
      <c r="E72" s="11"/>
      <c r="F72" s="11"/>
      <c r="G72" s="12" t="str">
        <f t="shared" si="9"/>
        <v/>
      </c>
      <c r="H72" s="10"/>
      <c r="I72" s="10"/>
      <c r="J72" s="6"/>
      <c r="K72" s="9" t="str">
        <f ca="1">IF(B72="","",IF(G72=0,"Lunas",IF(H72="","Belum Ada Jatuh Tempo",IF(TODAY()&gt;H72,"Jatuh Tempo",IF(H72-TODAY()&lt;=MASTER!$AF$5,"Segera Jatuh Tempo","Belum Dibayar")))))</f>
        <v/>
      </c>
      <c r="L72" s="6"/>
      <c r="M72" s="6"/>
      <c r="N72" s="6"/>
      <c r="O72" s="6"/>
      <c r="P72" s="64"/>
      <c r="Q72" s="67" t="str">
        <f>IF(P72="","",IFERROR(INDEX(PERKARA!$B$5:$B$104,MATCH(P72,PERKARA!$A$5:$A$104,0)),"ID TIDAK TERDAFTAR"))</f>
        <v/>
      </c>
      <c r="R72" s="67" t="str">
        <f t="shared" si="10"/>
        <v/>
      </c>
      <c r="S72" s="98"/>
      <c r="T72" s="98"/>
      <c r="U72" s="105"/>
      <c r="V72" s="98"/>
      <c r="W72" s="163" t="str">
        <f t="shared" si="11"/>
        <v/>
      </c>
    </row>
    <row r="73" spans="1:23">
      <c r="A73" s="9" t="str">
        <f t="shared" si="8"/>
        <v/>
      </c>
      <c r="B73" s="82"/>
      <c r="C73" s="6"/>
      <c r="D73" s="6"/>
      <c r="E73" s="11"/>
      <c r="F73" s="11"/>
      <c r="G73" s="12" t="str">
        <f t="shared" si="9"/>
        <v/>
      </c>
      <c r="H73" s="10"/>
      <c r="I73" s="10"/>
      <c r="J73" s="6"/>
      <c r="K73" s="9" t="str">
        <f ca="1">IF(B73="","",IF(G73=0,"Lunas",IF(H73="","Belum Ada Jatuh Tempo",IF(TODAY()&gt;H73,"Jatuh Tempo",IF(H73-TODAY()&lt;=MASTER!$AF$5,"Segera Jatuh Tempo","Belum Dibayar")))))</f>
        <v/>
      </c>
      <c r="L73" s="6"/>
      <c r="M73" s="6"/>
      <c r="N73" s="6"/>
      <c r="O73" s="6"/>
      <c r="P73" s="64"/>
      <c r="Q73" s="67" t="str">
        <f>IF(P73="","",IFERROR(INDEX(PERKARA!$B$5:$B$104,MATCH(P73,PERKARA!$A$5:$A$104,0)),"ID TIDAK TERDAFTAR"))</f>
        <v/>
      </c>
      <c r="R73" s="67" t="str">
        <f t="shared" si="10"/>
        <v/>
      </c>
      <c r="S73" s="98"/>
      <c r="T73" s="98"/>
      <c r="U73" s="105"/>
      <c r="V73" s="98"/>
      <c r="W73" s="163" t="str">
        <f t="shared" si="11"/>
        <v/>
      </c>
    </row>
    <row r="74" spans="1:23">
      <c r="A74" s="9" t="str">
        <f t="shared" si="8"/>
        <v/>
      </c>
      <c r="B74" s="82"/>
      <c r="C74" s="6"/>
      <c r="D74" s="6"/>
      <c r="E74" s="11"/>
      <c r="F74" s="11"/>
      <c r="G74" s="12" t="str">
        <f t="shared" si="9"/>
        <v/>
      </c>
      <c r="H74" s="10"/>
      <c r="I74" s="10"/>
      <c r="J74" s="6"/>
      <c r="K74" s="9" t="str">
        <f ca="1">IF(B74="","",IF(G74=0,"Lunas",IF(H74="","Belum Ada Jatuh Tempo",IF(TODAY()&gt;H74,"Jatuh Tempo",IF(H74-TODAY()&lt;=MASTER!$AF$5,"Segera Jatuh Tempo","Belum Dibayar")))))</f>
        <v/>
      </c>
      <c r="L74" s="6"/>
      <c r="M74" s="6"/>
      <c r="N74" s="6"/>
      <c r="O74" s="6"/>
      <c r="P74" s="64"/>
      <c r="Q74" s="67" t="str">
        <f>IF(P74="","",IFERROR(INDEX(PERKARA!$B$5:$B$104,MATCH(P74,PERKARA!$A$5:$A$104,0)),"ID TIDAK TERDAFTAR"))</f>
        <v/>
      </c>
      <c r="R74" s="67" t="str">
        <f t="shared" si="10"/>
        <v/>
      </c>
      <c r="S74" s="98"/>
      <c r="T74" s="98"/>
      <c r="U74" s="105"/>
      <c r="V74" s="98"/>
      <c r="W74" s="163" t="str">
        <f t="shared" si="11"/>
        <v/>
      </c>
    </row>
    <row r="75" spans="1:23">
      <c r="A75" s="9" t="str">
        <f t="shared" si="8"/>
        <v/>
      </c>
      <c r="B75" s="82"/>
      <c r="C75" s="6"/>
      <c r="D75" s="6"/>
      <c r="E75" s="11"/>
      <c r="F75" s="11"/>
      <c r="G75" s="12" t="str">
        <f t="shared" si="9"/>
        <v/>
      </c>
      <c r="H75" s="10"/>
      <c r="I75" s="10"/>
      <c r="J75" s="6"/>
      <c r="K75" s="9" t="str">
        <f ca="1">IF(B75="","",IF(G75=0,"Lunas",IF(H75="","Belum Ada Jatuh Tempo",IF(TODAY()&gt;H75,"Jatuh Tempo",IF(H75-TODAY()&lt;=MASTER!$AF$5,"Segera Jatuh Tempo","Belum Dibayar")))))</f>
        <v/>
      </c>
      <c r="L75" s="6"/>
      <c r="M75" s="6"/>
      <c r="N75" s="6"/>
      <c r="O75" s="6"/>
      <c r="P75" s="64"/>
      <c r="Q75" s="67" t="str">
        <f>IF(P75="","",IFERROR(INDEX(PERKARA!$B$5:$B$104,MATCH(P75,PERKARA!$A$5:$A$104,0)),"ID TIDAK TERDAFTAR"))</f>
        <v/>
      </c>
      <c r="R75" s="67" t="str">
        <f t="shared" si="10"/>
        <v/>
      </c>
      <c r="S75" s="98"/>
      <c r="T75" s="98"/>
      <c r="U75" s="105"/>
      <c r="V75" s="98"/>
      <c r="W75" s="163" t="str">
        <f t="shared" si="11"/>
        <v/>
      </c>
    </row>
    <row r="76" spans="1:23">
      <c r="A76" s="9" t="str">
        <f t="shared" si="8"/>
        <v/>
      </c>
      <c r="B76" s="82"/>
      <c r="C76" s="6"/>
      <c r="D76" s="6"/>
      <c r="E76" s="11"/>
      <c r="F76" s="11"/>
      <c r="G76" s="12" t="str">
        <f t="shared" si="9"/>
        <v/>
      </c>
      <c r="H76" s="10"/>
      <c r="I76" s="10"/>
      <c r="J76" s="6"/>
      <c r="K76" s="9" t="str">
        <f ca="1">IF(B76="","",IF(G76=0,"Lunas",IF(H76="","Belum Ada Jatuh Tempo",IF(TODAY()&gt;H76,"Jatuh Tempo",IF(H76-TODAY()&lt;=MASTER!$AF$5,"Segera Jatuh Tempo","Belum Dibayar")))))</f>
        <v/>
      </c>
      <c r="L76" s="6"/>
      <c r="M76" s="6"/>
      <c r="N76" s="6"/>
      <c r="O76" s="6"/>
      <c r="P76" s="64"/>
      <c r="Q76" s="67" t="str">
        <f>IF(P76="","",IFERROR(INDEX(PERKARA!$B$5:$B$104,MATCH(P76,PERKARA!$A$5:$A$104,0)),"ID TIDAK TERDAFTAR"))</f>
        <v/>
      </c>
      <c r="R76" s="67" t="str">
        <f t="shared" si="10"/>
        <v/>
      </c>
      <c r="S76" s="98"/>
      <c r="T76" s="98"/>
      <c r="U76" s="105"/>
      <c r="V76" s="98"/>
      <c r="W76" s="163" t="str">
        <f t="shared" si="11"/>
        <v/>
      </c>
    </row>
    <row r="77" spans="1:23">
      <c r="A77" s="9" t="str">
        <f t="shared" si="8"/>
        <v/>
      </c>
      <c r="B77" s="82"/>
      <c r="C77" s="6"/>
      <c r="D77" s="6"/>
      <c r="E77" s="11"/>
      <c r="F77" s="11"/>
      <c r="G77" s="12" t="str">
        <f t="shared" si="9"/>
        <v/>
      </c>
      <c r="H77" s="10"/>
      <c r="I77" s="10"/>
      <c r="J77" s="6"/>
      <c r="K77" s="9" t="str">
        <f ca="1">IF(B77="","",IF(G77=0,"Lunas",IF(H77="","Belum Ada Jatuh Tempo",IF(TODAY()&gt;H77,"Jatuh Tempo",IF(H77-TODAY()&lt;=MASTER!$AF$5,"Segera Jatuh Tempo","Belum Dibayar")))))</f>
        <v/>
      </c>
      <c r="L77" s="6"/>
      <c r="M77" s="6"/>
      <c r="N77" s="6"/>
      <c r="O77" s="6"/>
      <c r="P77" s="64"/>
      <c r="Q77" s="67" t="str">
        <f>IF(P77="","",IFERROR(INDEX(PERKARA!$B$5:$B$104,MATCH(P77,PERKARA!$A$5:$A$104,0)),"ID TIDAK TERDAFTAR"))</f>
        <v/>
      </c>
      <c r="R77" s="67" t="str">
        <f t="shared" si="10"/>
        <v/>
      </c>
      <c r="S77" s="98"/>
      <c r="T77" s="98"/>
      <c r="U77" s="105"/>
      <c r="V77" s="98"/>
      <c r="W77" s="163" t="str">
        <f t="shared" si="11"/>
        <v/>
      </c>
    </row>
    <row r="78" spans="1:23">
      <c r="A78" s="9" t="str">
        <f t="shared" si="8"/>
        <v/>
      </c>
      <c r="B78" s="82"/>
      <c r="C78" s="6"/>
      <c r="D78" s="6"/>
      <c r="E78" s="11"/>
      <c r="F78" s="11"/>
      <c r="G78" s="12" t="str">
        <f t="shared" si="9"/>
        <v/>
      </c>
      <c r="H78" s="10"/>
      <c r="I78" s="10"/>
      <c r="J78" s="6"/>
      <c r="K78" s="9" t="str">
        <f ca="1">IF(B78="","",IF(G78=0,"Lunas",IF(H78="","Belum Ada Jatuh Tempo",IF(TODAY()&gt;H78,"Jatuh Tempo",IF(H78-TODAY()&lt;=MASTER!$AF$5,"Segera Jatuh Tempo","Belum Dibayar")))))</f>
        <v/>
      </c>
      <c r="L78" s="6"/>
      <c r="M78" s="6"/>
      <c r="N78" s="6"/>
      <c r="O78" s="6"/>
      <c r="P78" s="64"/>
      <c r="Q78" s="67" t="str">
        <f>IF(P78="","",IFERROR(INDEX(PERKARA!$B$5:$B$104,MATCH(P78,PERKARA!$A$5:$A$104,0)),"ID TIDAK TERDAFTAR"))</f>
        <v/>
      </c>
      <c r="R78" s="67" t="str">
        <f t="shared" si="10"/>
        <v/>
      </c>
      <c r="S78" s="98"/>
      <c r="T78" s="98"/>
      <c r="U78" s="105"/>
      <c r="V78" s="98"/>
      <c r="W78" s="163" t="str">
        <f t="shared" si="11"/>
        <v/>
      </c>
    </row>
    <row r="79" spans="1:23">
      <c r="A79" s="9" t="str">
        <f t="shared" si="8"/>
        <v/>
      </c>
      <c r="B79" s="82"/>
      <c r="C79" s="6"/>
      <c r="D79" s="6"/>
      <c r="E79" s="11"/>
      <c r="F79" s="11"/>
      <c r="G79" s="12" t="str">
        <f t="shared" si="9"/>
        <v/>
      </c>
      <c r="H79" s="10"/>
      <c r="I79" s="10"/>
      <c r="J79" s="6"/>
      <c r="K79" s="9" t="str">
        <f ca="1">IF(B79="","",IF(G79=0,"Lunas",IF(H79="","Belum Ada Jatuh Tempo",IF(TODAY()&gt;H79,"Jatuh Tempo",IF(H79-TODAY()&lt;=MASTER!$AF$5,"Segera Jatuh Tempo","Belum Dibayar")))))</f>
        <v/>
      </c>
      <c r="L79" s="6"/>
      <c r="M79" s="6"/>
      <c r="N79" s="6"/>
      <c r="O79" s="6"/>
      <c r="P79" s="64"/>
      <c r="Q79" s="67" t="str">
        <f>IF(P79="","",IFERROR(INDEX(PERKARA!$B$5:$B$104,MATCH(P79,PERKARA!$A$5:$A$104,0)),"ID TIDAK TERDAFTAR"))</f>
        <v/>
      </c>
      <c r="R79" s="67" t="str">
        <f t="shared" si="10"/>
        <v/>
      </c>
      <c r="S79" s="98"/>
      <c r="T79" s="98"/>
      <c r="U79" s="105"/>
      <c r="V79" s="98"/>
      <c r="W79" s="163" t="str">
        <f t="shared" si="11"/>
        <v/>
      </c>
    </row>
    <row r="80" spans="1:23">
      <c r="A80" s="9" t="str">
        <f t="shared" si="8"/>
        <v/>
      </c>
      <c r="B80" s="82"/>
      <c r="C80" s="6"/>
      <c r="D80" s="6"/>
      <c r="E80" s="11"/>
      <c r="F80" s="11"/>
      <c r="G80" s="12" t="str">
        <f t="shared" si="9"/>
        <v/>
      </c>
      <c r="H80" s="10"/>
      <c r="I80" s="10"/>
      <c r="J80" s="6"/>
      <c r="K80" s="9" t="str">
        <f ca="1">IF(B80="","",IF(G80=0,"Lunas",IF(H80="","Belum Ada Jatuh Tempo",IF(TODAY()&gt;H80,"Jatuh Tempo",IF(H80-TODAY()&lt;=MASTER!$AF$5,"Segera Jatuh Tempo","Belum Dibayar")))))</f>
        <v/>
      </c>
      <c r="L80" s="6"/>
      <c r="M80" s="6"/>
      <c r="N80" s="6"/>
      <c r="O80" s="6"/>
      <c r="P80" s="64"/>
      <c r="Q80" s="67" t="str">
        <f>IF(P80="","",IFERROR(INDEX(PERKARA!$B$5:$B$104,MATCH(P80,PERKARA!$A$5:$A$104,0)),"ID TIDAK TERDAFTAR"))</f>
        <v/>
      </c>
      <c r="R80" s="67" t="str">
        <f t="shared" si="10"/>
        <v/>
      </c>
      <c r="S80" s="98"/>
      <c r="T80" s="98"/>
      <c r="U80" s="105"/>
      <c r="V80" s="98"/>
      <c r="W80" s="163" t="str">
        <f t="shared" si="11"/>
        <v/>
      </c>
    </row>
    <row r="81" spans="1:23">
      <c r="A81" s="9" t="str">
        <f t="shared" si="8"/>
        <v/>
      </c>
      <c r="B81" s="82"/>
      <c r="C81" s="6"/>
      <c r="D81" s="6"/>
      <c r="E81" s="11"/>
      <c r="F81" s="11"/>
      <c r="G81" s="12" t="str">
        <f t="shared" si="9"/>
        <v/>
      </c>
      <c r="H81" s="10"/>
      <c r="I81" s="10"/>
      <c r="J81" s="6"/>
      <c r="K81" s="9" t="str">
        <f ca="1">IF(B81="","",IF(G81=0,"Lunas",IF(H81="","Belum Ada Jatuh Tempo",IF(TODAY()&gt;H81,"Jatuh Tempo",IF(H81-TODAY()&lt;=MASTER!$AF$5,"Segera Jatuh Tempo","Belum Dibayar")))))</f>
        <v/>
      </c>
      <c r="L81" s="6"/>
      <c r="M81" s="6"/>
      <c r="N81" s="6"/>
      <c r="O81" s="6"/>
      <c r="P81" s="64"/>
      <c r="Q81" s="67" t="str">
        <f>IF(P81="","",IFERROR(INDEX(PERKARA!$B$5:$B$104,MATCH(P81,PERKARA!$A$5:$A$104,0)),"ID TIDAK TERDAFTAR"))</f>
        <v/>
      </c>
      <c r="R81" s="67" t="str">
        <f t="shared" si="10"/>
        <v/>
      </c>
      <c r="S81" s="98"/>
      <c r="T81" s="98"/>
      <c r="U81" s="105"/>
      <c r="V81" s="98"/>
      <c r="W81" s="163" t="str">
        <f t="shared" si="11"/>
        <v/>
      </c>
    </row>
    <row r="82" spans="1:23">
      <c r="A82" s="9" t="str">
        <f t="shared" si="8"/>
        <v/>
      </c>
      <c r="B82" s="82"/>
      <c r="C82" s="6"/>
      <c r="D82" s="6"/>
      <c r="E82" s="11"/>
      <c r="F82" s="11"/>
      <c r="G82" s="12" t="str">
        <f t="shared" si="9"/>
        <v/>
      </c>
      <c r="H82" s="10"/>
      <c r="I82" s="10"/>
      <c r="J82" s="6"/>
      <c r="K82" s="9" t="str">
        <f ca="1">IF(B82="","",IF(G82=0,"Lunas",IF(H82="","Belum Ada Jatuh Tempo",IF(TODAY()&gt;H82,"Jatuh Tempo",IF(H82-TODAY()&lt;=MASTER!$AF$5,"Segera Jatuh Tempo","Belum Dibayar")))))</f>
        <v/>
      </c>
      <c r="L82" s="6"/>
      <c r="M82" s="6"/>
      <c r="N82" s="6"/>
      <c r="O82" s="6"/>
      <c r="P82" s="64"/>
      <c r="Q82" s="67" t="str">
        <f>IF(P82="","",IFERROR(INDEX(PERKARA!$B$5:$B$104,MATCH(P82,PERKARA!$A$5:$A$104,0)),"ID TIDAK TERDAFTAR"))</f>
        <v/>
      </c>
      <c r="R82" s="67" t="str">
        <f t="shared" si="10"/>
        <v/>
      </c>
      <c r="S82" s="98"/>
      <c r="T82" s="98"/>
      <c r="U82" s="105"/>
      <c r="V82" s="98"/>
      <c r="W82" s="163" t="str">
        <f t="shared" si="11"/>
        <v/>
      </c>
    </row>
    <row r="83" spans="1:23">
      <c r="A83" s="9" t="str">
        <f t="shared" si="8"/>
        <v/>
      </c>
      <c r="B83" s="82"/>
      <c r="C83" s="6"/>
      <c r="D83" s="6"/>
      <c r="E83" s="11"/>
      <c r="F83" s="11"/>
      <c r="G83" s="12" t="str">
        <f t="shared" si="9"/>
        <v/>
      </c>
      <c r="H83" s="10"/>
      <c r="I83" s="10"/>
      <c r="J83" s="6"/>
      <c r="K83" s="9" t="str">
        <f ca="1">IF(B83="","",IF(G83=0,"Lunas",IF(H83="","Belum Ada Jatuh Tempo",IF(TODAY()&gt;H83,"Jatuh Tempo",IF(H83-TODAY()&lt;=MASTER!$AF$5,"Segera Jatuh Tempo","Belum Dibayar")))))</f>
        <v/>
      </c>
      <c r="L83" s="6"/>
      <c r="M83" s="6"/>
      <c r="N83" s="6"/>
      <c r="O83" s="6"/>
      <c r="P83" s="64"/>
      <c r="Q83" s="67" t="str">
        <f>IF(P83="","",IFERROR(INDEX(PERKARA!$B$5:$B$104,MATCH(P83,PERKARA!$A$5:$A$104,0)),"ID TIDAK TERDAFTAR"))</f>
        <v/>
      </c>
      <c r="R83" s="67" t="str">
        <f t="shared" si="10"/>
        <v/>
      </c>
      <c r="S83" s="98"/>
      <c r="T83" s="98"/>
      <c r="U83" s="105"/>
      <c r="V83" s="98"/>
      <c r="W83" s="163" t="str">
        <f t="shared" si="11"/>
        <v/>
      </c>
    </row>
    <row r="84" spans="1:23">
      <c r="A84" s="9" t="str">
        <f t="shared" si="8"/>
        <v/>
      </c>
      <c r="B84" s="82"/>
      <c r="C84" s="6"/>
      <c r="D84" s="6"/>
      <c r="E84" s="11"/>
      <c r="F84" s="11"/>
      <c r="G84" s="12" t="str">
        <f t="shared" si="9"/>
        <v/>
      </c>
      <c r="H84" s="10"/>
      <c r="I84" s="10"/>
      <c r="J84" s="6"/>
      <c r="K84" s="9" t="str">
        <f ca="1">IF(B84="","",IF(G84=0,"Lunas",IF(H84="","Belum Ada Jatuh Tempo",IF(TODAY()&gt;H84,"Jatuh Tempo",IF(H84-TODAY()&lt;=MASTER!$AF$5,"Segera Jatuh Tempo","Belum Dibayar")))))</f>
        <v/>
      </c>
      <c r="L84" s="6"/>
      <c r="M84" s="6"/>
      <c r="N84" s="6"/>
      <c r="O84" s="6"/>
      <c r="P84" s="64"/>
      <c r="Q84" s="67" t="str">
        <f>IF(P84="","",IFERROR(INDEX(PERKARA!$B$5:$B$104,MATCH(P84,PERKARA!$A$5:$A$104,0)),"ID TIDAK TERDAFTAR"))</f>
        <v/>
      </c>
      <c r="R84" s="67" t="str">
        <f t="shared" si="10"/>
        <v/>
      </c>
      <c r="S84" s="98"/>
      <c r="T84" s="98"/>
      <c r="U84" s="105"/>
      <c r="V84" s="98"/>
      <c r="W84" s="163" t="str">
        <f t="shared" si="11"/>
        <v/>
      </c>
    </row>
    <row r="85" spans="1:23">
      <c r="A85" s="9" t="str">
        <f t="shared" si="8"/>
        <v/>
      </c>
      <c r="B85" s="82"/>
      <c r="C85" s="6"/>
      <c r="D85" s="6"/>
      <c r="E85" s="11"/>
      <c r="F85" s="11"/>
      <c r="G85" s="12" t="str">
        <f t="shared" si="9"/>
        <v/>
      </c>
      <c r="H85" s="10"/>
      <c r="I85" s="10"/>
      <c r="J85" s="6"/>
      <c r="K85" s="9" t="str">
        <f ca="1">IF(B85="","",IF(G85=0,"Lunas",IF(H85="","Belum Ada Jatuh Tempo",IF(TODAY()&gt;H85,"Jatuh Tempo",IF(H85-TODAY()&lt;=MASTER!$AF$5,"Segera Jatuh Tempo","Belum Dibayar")))))</f>
        <v/>
      </c>
      <c r="L85" s="6"/>
      <c r="M85" s="6"/>
      <c r="N85" s="6"/>
      <c r="O85" s="6"/>
      <c r="P85" s="64"/>
      <c r="Q85" s="67" t="str">
        <f>IF(P85="","",IFERROR(INDEX(PERKARA!$B$5:$B$104,MATCH(P85,PERKARA!$A$5:$A$104,0)),"ID TIDAK TERDAFTAR"))</f>
        <v/>
      </c>
      <c r="R85" s="67" t="str">
        <f t="shared" si="10"/>
        <v/>
      </c>
      <c r="S85" s="98"/>
      <c r="T85" s="98"/>
      <c r="U85" s="105"/>
      <c r="V85" s="98"/>
      <c r="W85" s="163" t="str">
        <f t="shared" si="11"/>
        <v/>
      </c>
    </row>
    <row r="86" spans="1:23">
      <c r="A86" s="9" t="str">
        <f t="shared" si="8"/>
        <v/>
      </c>
      <c r="B86" s="82"/>
      <c r="C86" s="6"/>
      <c r="D86" s="6"/>
      <c r="E86" s="11"/>
      <c r="F86" s="11"/>
      <c r="G86" s="12" t="str">
        <f t="shared" si="9"/>
        <v/>
      </c>
      <c r="H86" s="10"/>
      <c r="I86" s="10"/>
      <c r="J86" s="6"/>
      <c r="K86" s="9" t="str">
        <f ca="1">IF(B86="","",IF(G86=0,"Lunas",IF(H86="","Belum Ada Jatuh Tempo",IF(TODAY()&gt;H86,"Jatuh Tempo",IF(H86-TODAY()&lt;=MASTER!$AF$5,"Segera Jatuh Tempo","Belum Dibayar")))))</f>
        <v/>
      </c>
      <c r="L86" s="6"/>
      <c r="M86" s="6"/>
      <c r="N86" s="6"/>
      <c r="O86" s="6"/>
      <c r="P86" s="64"/>
      <c r="Q86" s="67" t="str">
        <f>IF(P86="","",IFERROR(INDEX(PERKARA!$B$5:$B$104,MATCH(P86,PERKARA!$A$5:$A$104,0)),"ID TIDAK TERDAFTAR"))</f>
        <v/>
      </c>
      <c r="R86" s="67" t="str">
        <f t="shared" si="10"/>
        <v/>
      </c>
      <c r="S86" s="98"/>
      <c r="T86" s="98"/>
      <c r="U86" s="105"/>
      <c r="V86" s="98"/>
      <c r="W86" s="163" t="str">
        <f t="shared" si="11"/>
        <v/>
      </c>
    </row>
    <row r="87" spans="1:23">
      <c r="A87" s="9" t="str">
        <f t="shared" si="8"/>
        <v/>
      </c>
      <c r="B87" s="82"/>
      <c r="C87" s="6"/>
      <c r="D87" s="6"/>
      <c r="E87" s="11"/>
      <c r="F87" s="11"/>
      <c r="G87" s="12" t="str">
        <f t="shared" si="9"/>
        <v/>
      </c>
      <c r="H87" s="10"/>
      <c r="I87" s="10"/>
      <c r="J87" s="6"/>
      <c r="K87" s="9" t="str">
        <f ca="1">IF(B87="","",IF(G87=0,"Lunas",IF(H87="","Belum Ada Jatuh Tempo",IF(TODAY()&gt;H87,"Jatuh Tempo",IF(H87-TODAY()&lt;=MASTER!$AF$5,"Segera Jatuh Tempo","Belum Dibayar")))))</f>
        <v/>
      </c>
      <c r="L87" s="6"/>
      <c r="M87" s="6"/>
      <c r="N87" s="6"/>
      <c r="O87" s="6"/>
      <c r="P87" s="64"/>
      <c r="Q87" s="67" t="str">
        <f>IF(P87="","",IFERROR(INDEX(PERKARA!$B$5:$B$104,MATCH(P87,PERKARA!$A$5:$A$104,0)),"ID TIDAK TERDAFTAR"))</f>
        <v/>
      </c>
      <c r="R87" s="67" t="str">
        <f t="shared" si="10"/>
        <v/>
      </c>
      <c r="S87" s="98"/>
      <c r="T87" s="98"/>
      <c r="U87" s="105"/>
      <c r="V87" s="98"/>
      <c r="W87" s="163" t="str">
        <f t="shared" si="11"/>
        <v/>
      </c>
    </row>
    <row r="88" spans="1:23">
      <c r="A88" s="9" t="str">
        <f t="shared" si="8"/>
        <v/>
      </c>
      <c r="B88" s="82"/>
      <c r="C88" s="6"/>
      <c r="D88" s="6"/>
      <c r="E88" s="11"/>
      <c r="F88" s="11"/>
      <c r="G88" s="12" t="str">
        <f t="shared" si="9"/>
        <v/>
      </c>
      <c r="H88" s="10"/>
      <c r="I88" s="10"/>
      <c r="J88" s="6"/>
      <c r="K88" s="9" t="str">
        <f ca="1">IF(B88="","",IF(G88=0,"Lunas",IF(H88="","Belum Ada Jatuh Tempo",IF(TODAY()&gt;H88,"Jatuh Tempo",IF(H88-TODAY()&lt;=MASTER!$AF$5,"Segera Jatuh Tempo","Belum Dibayar")))))</f>
        <v/>
      </c>
      <c r="L88" s="6"/>
      <c r="M88" s="6"/>
      <c r="N88" s="6"/>
      <c r="O88" s="6"/>
      <c r="P88" s="64"/>
      <c r="Q88" s="67" t="str">
        <f>IF(P88="","",IFERROR(INDEX(PERKARA!$B$5:$B$104,MATCH(P88,PERKARA!$A$5:$A$104,0)),"ID TIDAK TERDAFTAR"))</f>
        <v/>
      </c>
      <c r="R88" s="67" t="str">
        <f t="shared" si="10"/>
        <v/>
      </c>
      <c r="S88" s="98"/>
      <c r="T88" s="98"/>
      <c r="U88" s="105"/>
      <c r="V88" s="98"/>
      <c r="W88" s="163" t="str">
        <f t="shared" si="11"/>
        <v/>
      </c>
    </row>
    <row r="89" spans="1:23">
      <c r="A89" s="9" t="str">
        <f t="shared" si="8"/>
        <v/>
      </c>
      <c r="B89" s="82"/>
      <c r="C89" s="6"/>
      <c r="D89" s="6"/>
      <c r="E89" s="11"/>
      <c r="F89" s="11"/>
      <c r="G89" s="12" t="str">
        <f t="shared" si="9"/>
        <v/>
      </c>
      <c r="H89" s="10"/>
      <c r="I89" s="10"/>
      <c r="J89" s="6"/>
      <c r="K89" s="9" t="str">
        <f ca="1">IF(B89="","",IF(G89=0,"Lunas",IF(H89="","Belum Ada Jatuh Tempo",IF(TODAY()&gt;H89,"Jatuh Tempo",IF(H89-TODAY()&lt;=MASTER!$AF$5,"Segera Jatuh Tempo","Belum Dibayar")))))</f>
        <v/>
      </c>
      <c r="L89" s="6"/>
      <c r="M89" s="6"/>
      <c r="N89" s="6"/>
      <c r="O89" s="6"/>
      <c r="P89" s="64"/>
      <c r="Q89" s="67" t="str">
        <f>IF(P89="","",IFERROR(INDEX(PERKARA!$B$5:$B$104,MATCH(P89,PERKARA!$A$5:$A$104,0)),"ID TIDAK TERDAFTAR"))</f>
        <v/>
      </c>
      <c r="R89" s="67" t="str">
        <f t="shared" si="10"/>
        <v/>
      </c>
      <c r="S89" s="98"/>
      <c r="T89" s="98"/>
      <c r="U89" s="105"/>
      <c r="V89" s="98"/>
      <c r="W89" s="163" t="str">
        <f t="shared" si="11"/>
        <v/>
      </c>
    </row>
    <row r="90" spans="1:23">
      <c r="A90" s="9" t="str">
        <f t="shared" si="8"/>
        <v/>
      </c>
      <c r="B90" s="82"/>
      <c r="C90" s="6"/>
      <c r="D90" s="6"/>
      <c r="E90" s="11"/>
      <c r="F90" s="11"/>
      <c r="G90" s="12" t="str">
        <f t="shared" si="9"/>
        <v/>
      </c>
      <c r="H90" s="10"/>
      <c r="I90" s="10"/>
      <c r="J90" s="6"/>
      <c r="K90" s="9" t="str">
        <f ca="1">IF(B90="","",IF(G90=0,"Lunas",IF(H90="","Belum Ada Jatuh Tempo",IF(TODAY()&gt;H90,"Jatuh Tempo",IF(H90-TODAY()&lt;=MASTER!$AF$5,"Segera Jatuh Tempo","Belum Dibayar")))))</f>
        <v/>
      </c>
      <c r="L90" s="6"/>
      <c r="M90" s="6"/>
      <c r="N90" s="6"/>
      <c r="O90" s="6"/>
      <c r="P90" s="64"/>
      <c r="Q90" s="67" t="str">
        <f>IF(P90="","",IFERROR(INDEX(PERKARA!$B$5:$B$104,MATCH(P90,PERKARA!$A$5:$A$104,0)),"ID TIDAK TERDAFTAR"))</f>
        <v/>
      </c>
      <c r="R90" s="67" t="str">
        <f t="shared" si="10"/>
        <v/>
      </c>
      <c r="S90" s="98"/>
      <c r="T90" s="98"/>
      <c r="U90" s="105"/>
      <c r="V90" s="98"/>
      <c r="W90" s="163" t="str">
        <f t="shared" si="11"/>
        <v/>
      </c>
    </row>
    <row r="91" spans="1:23">
      <c r="A91" s="9" t="str">
        <f t="shared" si="8"/>
        <v/>
      </c>
      <c r="B91" s="82"/>
      <c r="C91" s="6"/>
      <c r="D91" s="6"/>
      <c r="E91" s="11"/>
      <c r="F91" s="11"/>
      <c r="G91" s="12" t="str">
        <f t="shared" si="9"/>
        <v/>
      </c>
      <c r="H91" s="10"/>
      <c r="I91" s="10"/>
      <c r="J91" s="6"/>
      <c r="K91" s="9" t="str">
        <f ca="1">IF(B91="","",IF(G91=0,"Lunas",IF(H91="","Belum Ada Jatuh Tempo",IF(TODAY()&gt;H91,"Jatuh Tempo",IF(H91-TODAY()&lt;=MASTER!$AF$5,"Segera Jatuh Tempo","Belum Dibayar")))))</f>
        <v/>
      </c>
      <c r="L91" s="6"/>
      <c r="M91" s="6"/>
      <c r="N91" s="6"/>
      <c r="O91" s="6"/>
      <c r="P91" s="64"/>
      <c r="Q91" s="67" t="str">
        <f>IF(P91="","",IFERROR(INDEX(PERKARA!$B$5:$B$104,MATCH(P91,PERKARA!$A$5:$A$104,0)),"ID TIDAK TERDAFTAR"))</f>
        <v/>
      </c>
      <c r="R91" s="67" t="str">
        <f t="shared" si="10"/>
        <v/>
      </c>
      <c r="S91" s="98"/>
      <c r="T91" s="98"/>
      <c r="U91" s="105"/>
      <c r="V91" s="98"/>
      <c r="W91" s="163" t="str">
        <f t="shared" si="11"/>
        <v/>
      </c>
    </row>
    <row r="92" spans="1:23">
      <c r="A92" s="9" t="str">
        <f t="shared" si="8"/>
        <v/>
      </c>
      <c r="B92" s="82"/>
      <c r="C92" s="6"/>
      <c r="D92" s="6"/>
      <c r="E92" s="11"/>
      <c r="F92" s="11"/>
      <c r="G92" s="12" t="str">
        <f t="shared" si="9"/>
        <v/>
      </c>
      <c r="H92" s="10"/>
      <c r="I92" s="10"/>
      <c r="J92" s="6"/>
      <c r="K92" s="9" t="str">
        <f ca="1">IF(B92="","",IF(G92=0,"Lunas",IF(H92="","Belum Ada Jatuh Tempo",IF(TODAY()&gt;H92,"Jatuh Tempo",IF(H92-TODAY()&lt;=MASTER!$AF$5,"Segera Jatuh Tempo","Belum Dibayar")))))</f>
        <v/>
      </c>
      <c r="L92" s="6"/>
      <c r="M92" s="6"/>
      <c r="N92" s="6"/>
      <c r="O92" s="6"/>
      <c r="P92" s="64"/>
      <c r="Q92" s="67" t="str">
        <f>IF(P92="","",IFERROR(INDEX(PERKARA!$B$5:$B$104,MATCH(P92,PERKARA!$A$5:$A$104,0)),"ID TIDAK TERDAFTAR"))</f>
        <v/>
      </c>
      <c r="R92" s="67" t="str">
        <f t="shared" si="10"/>
        <v/>
      </c>
      <c r="S92" s="98"/>
      <c r="T92" s="98"/>
      <c r="U92" s="105"/>
      <c r="V92" s="98"/>
      <c r="W92" s="163" t="str">
        <f t="shared" si="11"/>
        <v/>
      </c>
    </row>
    <row r="93" spans="1:23">
      <c r="A93" s="9" t="str">
        <f t="shared" si="8"/>
        <v/>
      </c>
      <c r="B93" s="82"/>
      <c r="C93" s="6"/>
      <c r="D93" s="6"/>
      <c r="E93" s="11"/>
      <c r="F93" s="11"/>
      <c r="G93" s="12" t="str">
        <f t="shared" si="9"/>
        <v/>
      </c>
      <c r="H93" s="10"/>
      <c r="I93" s="10"/>
      <c r="J93" s="6"/>
      <c r="K93" s="9" t="str">
        <f ca="1">IF(B93="","",IF(G93=0,"Lunas",IF(H93="","Belum Ada Jatuh Tempo",IF(TODAY()&gt;H93,"Jatuh Tempo",IF(H93-TODAY()&lt;=MASTER!$AF$5,"Segera Jatuh Tempo","Belum Dibayar")))))</f>
        <v/>
      </c>
      <c r="L93" s="6"/>
      <c r="M93" s="6"/>
      <c r="N93" s="6"/>
      <c r="O93" s="6"/>
      <c r="P93" s="64"/>
      <c r="Q93" s="67" t="str">
        <f>IF(P93="","",IFERROR(INDEX(PERKARA!$B$5:$B$104,MATCH(P93,PERKARA!$A$5:$A$104,0)),"ID TIDAK TERDAFTAR"))</f>
        <v/>
      </c>
      <c r="R93" s="67" t="str">
        <f t="shared" si="10"/>
        <v/>
      </c>
      <c r="S93" s="98"/>
      <c r="T93" s="98"/>
      <c r="U93" s="105"/>
      <c r="V93" s="98"/>
      <c r="W93" s="163" t="str">
        <f t="shared" si="11"/>
        <v/>
      </c>
    </row>
    <row r="94" spans="1:23">
      <c r="A94" s="9" t="str">
        <f t="shared" si="8"/>
        <v/>
      </c>
      <c r="B94" s="82"/>
      <c r="C94" s="6"/>
      <c r="D94" s="6"/>
      <c r="E94" s="11"/>
      <c r="F94" s="11"/>
      <c r="G94" s="12" t="str">
        <f t="shared" si="9"/>
        <v/>
      </c>
      <c r="H94" s="10"/>
      <c r="I94" s="10"/>
      <c r="J94" s="6"/>
      <c r="K94" s="9" t="str">
        <f ca="1">IF(B94="","",IF(G94=0,"Lunas",IF(H94="","Belum Ada Jatuh Tempo",IF(TODAY()&gt;H94,"Jatuh Tempo",IF(H94-TODAY()&lt;=MASTER!$AF$5,"Segera Jatuh Tempo","Belum Dibayar")))))</f>
        <v/>
      </c>
      <c r="L94" s="6"/>
      <c r="M94" s="6"/>
      <c r="N94" s="6"/>
      <c r="O94" s="6"/>
      <c r="P94" s="64"/>
      <c r="Q94" s="67" t="str">
        <f>IF(P94="","",IFERROR(INDEX(PERKARA!$B$5:$B$104,MATCH(P94,PERKARA!$A$5:$A$104,0)),"ID TIDAK TERDAFTAR"))</f>
        <v/>
      </c>
      <c r="R94" s="67" t="str">
        <f t="shared" si="10"/>
        <v/>
      </c>
      <c r="S94" s="98"/>
      <c r="T94" s="98"/>
      <c r="U94" s="105"/>
      <c r="V94" s="98"/>
      <c r="W94" s="163" t="str">
        <f t="shared" si="11"/>
        <v/>
      </c>
    </row>
    <row r="95" spans="1:23">
      <c r="A95" s="9" t="str">
        <f t="shared" si="8"/>
        <v/>
      </c>
      <c r="B95" s="82"/>
      <c r="C95" s="6"/>
      <c r="D95" s="6"/>
      <c r="E95" s="11"/>
      <c r="F95" s="11"/>
      <c r="G95" s="12" t="str">
        <f t="shared" si="9"/>
        <v/>
      </c>
      <c r="H95" s="10"/>
      <c r="I95" s="10"/>
      <c r="J95" s="6"/>
      <c r="K95" s="9" t="str">
        <f ca="1">IF(B95="","",IF(G95=0,"Lunas",IF(H95="","Belum Ada Jatuh Tempo",IF(TODAY()&gt;H95,"Jatuh Tempo",IF(H95-TODAY()&lt;=MASTER!$AF$5,"Segera Jatuh Tempo","Belum Dibayar")))))</f>
        <v/>
      </c>
      <c r="L95" s="6"/>
      <c r="M95" s="6"/>
      <c r="N95" s="6"/>
      <c r="O95" s="6"/>
      <c r="P95" s="64"/>
      <c r="Q95" s="67" t="str">
        <f>IF(P95="","",IFERROR(INDEX(PERKARA!$B$5:$B$104,MATCH(P95,PERKARA!$A$5:$A$104,0)),"ID TIDAK TERDAFTAR"))</f>
        <v/>
      </c>
      <c r="R95" s="67" t="str">
        <f t="shared" si="10"/>
        <v/>
      </c>
      <c r="S95" s="98"/>
      <c r="T95" s="98"/>
      <c r="U95" s="105"/>
      <c r="V95" s="98"/>
      <c r="W95" s="163" t="str">
        <f t="shared" si="11"/>
        <v/>
      </c>
    </row>
    <row r="96" spans="1:23">
      <c r="A96" s="9" t="str">
        <f t="shared" si="8"/>
        <v/>
      </c>
      <c r="B96" s="82"/>
      <c r="C96" s="6"/>
      <c r="D96" s="6"/>
      <c r="E96" s="11"/>
      <c r="F96" s="11"/>
      <c r="G96" s="12" t="str">
        <f t="shared" si="9"/>
        <v/>
      </c>
      <c r="H96" s="10"/>
      <c r="I96" s="10"/>
      <c r="J96" s="6"/>
      <c r="K96" s="9" t="str">
        <f ca="1">IF(B96="","",IF(G96=0,"Lunas",IF(H96="","Belum Ada Jatuh Tempo",IF(TODAY()&gt;H96,"Jatuh Tempo",IF(H96-TODAY()&lt;=MASTER!$AF$5,"Segera Jatuh Tempo","Belum Dibayar")))))</f>
        <v/>
      </c>
      <c r="L96" s="6"/>
      <c r="M96" s="6"/>
      <c r="N96" s="6"/>
      <c r="O96" s="6"/>
      <c r="P96" s="64"/>
      <c r="Q96" s="67" t="str">
        <f>IF(P96="","",IFERROR(INDEX(PERKARA!$B$5:$B$104,MATCH(P96,PERKARA!$A$5:$A$104,0)),"ID TIDAK TERDAFTAR"))</f>
        <v/>
      </c>
      <c r="R96" s="67" t="str">
        <f t="shared" si="10"/>
        <v/>
      </c>
      <c r="S96" s="98"/>
      <c r="T96" s="98"/>
      <c r="U96" s="105"/>
      <c r="V96" s="98"/>
      <c r="W96" s="163" t="str">
        <f t="shared" si="11"/>
        <v/>
      </c>
    </row>
    <row r="97" spans="1:23">
      <c r="A97" s="9" t="str">
        <f t="shared" si="8"/>
        <v/>
      </c>
      <c r="B97" s="82"/>
      <c r="C97" s="6"/>
      <c r="D97" s="6"/>
      <c r="E97" s="11"/>
      <c r="F97" s="11"/>
      <c r="G97" s="12" t="str">
        <f t="shared" si="9"/>
        <v/>
      </c>
      <c r="H97" s="10"/>
      <c r="I97" s="10"/>
      <c r="J97" s="6"/>
      <c r="K97" s="9" t="str">
        <f ca="1">IF(B97="","",IF(G97=0,"Lunas",IF(H97="","Belum Ada Jatuh Tempo",IF(TODAY()&gt;H97,"Jatuh Tempo",IF(H97-TODAY()&lt;=MASTER!$AF$5,"Segera Jatuh Tempo","Belum Dibayar")))))</f>
        <v/>
      </c>
      <c r="L97" s="6"/>
      <c r="M97" s="6"/>
      <c r="N97" s="6"/>
      <c r="O97" s="6"/>
      <c r="P97" s="64"/>
      <c r="Q97" s="67" t="str">
        <f>IF(P97="","",IFERROR(INDEX(PERKARA!$B$5:$B$104,MATCH(P97,PERKARA!$A$5:$A$104,0)),"ID TIDAK TERDAFTAR"))</f>
        <v/>
      </c>
      <c r="R97" s="67" t="str">
        <f t="shared" si="10"/>
        <v/>
      </c>
      <c r="S97" s="98"/>
      <c r="T97" s="98"/>
      <c r="U97" s="105"/>
      <c r="V97" s="98"/>
      <c r="W97" s="163" t="str">
        <f t="shared" si="11"/>
        <v/>
      </c>
    </row>
    <row r="98" spans="1:23">
      <c r="A98" s="9" t="str">
        <f t="shared" si="8"/>
        <v/>
      </c>
      <c r="B98" s="82"/>
      <c r="C98" s="6"/>
      <c r="D98" s="6"/>
      <c r="E98" s="11"/>
      <c r="F98" s="11"/>
      <c r="G98" s="12" t="str">
        <f t="shared" si="9"/>
        <v/>
      </c>
      <c r="H98" s="10"/>
      <c r="I98" s="10"/>
      <c r="J98" s="6"/>
      <c r="K98" s="9" t="str">
        <f ca="1">IF(B98="","",IF(G98=0,"Lunas",IF(H98="","Belum Ada Jatuh Tempo",IF(TODAY()&gt;H98,"Jatuh Tempo",IF(H98-TODAY()&lt;=MASTER!$AF$5,"Segera Jatuh Tempo","Belum Dibayar")))))</f>
        <v/>
      </c>
      <c r="L98" s="6"/>
      <c r="M98" s="6"/>
      <c r="N98" s="6"/>
      <c r="O98" s="6"/>
      <c r="P98" s="64"/>
      <c r="Q98" s="67" t="str">
        <f>IF(P98="","",IFERROR(INDEX(PERKARA!$B$5:$B$104,MATCH(P98,PERKARA!$A$5:$A$104,0)),"ID TIDAK TERDAFTAR"))</f>
        <v/>
      </c>
      <c r="R98" s="67" t="str">
        <f t="shared" si="10"/>
        <v/>
      </c>
      <c r="S98" s="98"/>
      <c r="T98" s="98"/>
      <c r="U98" s="105"/>
      <c r="V98" s="98"/>
      <c r="W98" s="163" t="str">
        <f t="shared" si="11"/>
        <v/>
      </c>
    </row>
    <row r="99" spans="1:23">
      <c r="A99" s="9" t="str">
        <f t="shared" si="8"/>
        <v/>
      </c>
      <c r="B99" s="82"/>
      <c r="C99" s="6"/>
      <c r="D99" s="6"/>
      <c r="E99" s="11"/>
      <c r="F99" s="11"/>
      <c r="G99" s="12" t="str">
        <f t="shared" si="9"/>
        <v/>
      </c>
      <c r="H99" s="10"/>
      <c r="I99" s="10"/>
      <c r="J99" s="6"/>
      <c r="K99" s="9" t="str">
        <f ca="1">IF(B99="","",IF(G99=0,"Lunas",IF(H99="","Belum Ada Jatuh Tempo",IF(TODAY()&gt;H99,"Jatuh Tempo",IF(H99-TODAY()&lt;=MASTER!$AF$5,"Segera Jatuh Tempo","Belum Dibayar")))))</f>
        <v/>
      </c>
      <c r="L99" s="6"/>
      <c r="M99" s="6"/>
      <c r="N99" s="6"/>
      <c r="O99" s="6"/>
      <c r="P99" s="64"/>
      <c r="Q99" s="67" t="str">
        <f>IF(P99="","",IFERROR(INDEX(PERKARA!$B$5:$B$104,MATCH(P99,PERKARA!$A$5:$A$104,0)),"ID TIDAK TERDAFTAR"))</f>
        <v/>
      </c>
      <c r="R99" s="67" t="str">
        <f t="shared" si="10"/>
        <v/>
      </c>
      <c r="S99" s="98"/>
      <c r="T99" s="98"/>
      <c r="U99" s="105"/>
      <c r="V99" s="98"/>
      <c r="W99" s="163" t="str">
        <f t="shared" si="11"/>
        <v/>
      </c>
    </row>
    <row r="100" spans="1:23">
      <c r="A100" s="9" t="str">
        <f t="shared" si="8"/>
        <v/>
      </c>
      <c r="B100" s="82"/>
      <c r="C100" s="6"/>
      <c r="D100" s="6"/>
      <c r="E100" s="11"/>
      <c r="F100" s="11"/>
      <c r="G100" s="12" t="str">
        <f t="shared" si="9"/>
        <v/>
      </c>
      <c r="H100" s="10"/>
      <c r="I100" s="10"/>
      <c r="J100" s="6"/>
      <c r="K100" s="9" t="str">
        <f ca="1">IF(B100="","",IF(G100=0,"Lunas",IF(H100="","Belum Ada Jatuh Tempo",IF(TODAY()&gt;H100,"Jatuh Tempo",IF(H100-TODAY()&lt;=MASTER!$AF$5,"Segera Jatuh Tempo","Belum Dibayar")))))</f>
        <v/>
      </c>
      <c r="L100" s="6"/>
      <c r="M100" s="6"/>
      <c r="N100" s="6"/>
      <c r="O100" s="6"/>
      <c r="P100" s="64"/>
      <c r="Q100" s="67" t="str">
        <f>IF(P100="","",IFERROR(INDEX(PERKARA!$B$5:$B$104,MATCH(P100,PERKARA!$A$5:$A$104,0)),"ID TIDAK TERDAFTAR"))</f>
        <v/>
      </c>
      <c r="R100" s="67" t="str">
        <f t="shared" si="10"/>
        <v/>
      </c>
      <c r="S100" s="98"/>
      <c r="T100" s="98"/>
      <c r="U100" s="105"/>
      <c r="V100" s="98"/>
      <c r="W100" s="163" t="str">
        <f t="shared" si="11"/>
        <v/>
      </c>
    </row>
    <row r="101" spans="1:23">
      <c r="A101" s="9" t="str">
        <f t="shared" ref="A101:A124" si="12">IF(B101="","",IFERROR("LIA-"&amp;TEXT(B101,"yyyymm")&amp;"-"&amp;TEXT(ROW()-4,"000"),"PERIODE TIDAK VALID"))</f>
        <v/>
      </c>
      <c r="B101" s="82"/>
      <c r="C101" s="6"/>
      <c r="D101" s="6"/>
      <c r="E101" s="11"/>
      <c r="F101" s="11"/>
      <c r="G101" s="12" t="str">
        <f t="shared" ref="G101:G124" si="13">IF(B101="","",MAX(E101-F101,0))</f>
        <v/>
      </c>
      <c r="H101" s="10"/>
      <c r="I101" s="10"/>
      <c r="J101" s="6"/>
      <c r="K101" s="9" t="str">
        <f ca="1">IF(B101="","",IF(G101=0,"Lunas",IF(H101="","Belum Ada Jatuh Tempo",IF(TODAY()&gt;H101,"Jatuh Tempo",IF(H101-TODAY()&lt;=MASTER!$AF$5,"Segera Jatuh Tempo","Belum Dibayar")))))</f>
        <v/>
      </c>
      <c r="L101" s="6"/>
      <c r="M101" s="6"/>
      <c r="N101" s="6"/>
      <c r="O101" s="6"/>
      <c r="P101" s="64"/>
      <c r="Q101" s="67" t="str">
        <f>IF(P101="","",IFERROR(INDEX(PERKARA!$B$5:$B$104,MATCH(P101,PERKARA!$A$5:$A$104,0)),"ID TIDAK TERDAFTAR"))</f>
        <v/>
      </c>
      <c r="R101" s="67" t="str">
        <f t="shared" ref="R101:R124" si="14">IF(B101="","",IF(F101&gt;E101,"PEMBAYARAN MELEBIHI KEWAJIBAN",IF(AND(F101&gt;0,J101=""),"AKUN PEMBAYARAN BELUM DIISI",IF(AND(F101&gt;0,I101=""),"TANGGAL PEMBAYARAN BELUM DIISI",IF(AND(P101&lt;&gt;"",Q101="ID TIDAK TERDAFTAR"),"PERKARA TIDAK VALID",IF(AND(F101&gt;0,OR(S101&lt;&gt;"Disetujui",T101="")),"DIBAYAR TANPA OTORISASI","OK"))))))</f>
        <v/>
      </c>
      <c r="S101" s="98"/>
      <c r="T101" s="98"/>
      <c r="U101" s="105"/>
      <c r="V101" s="98"/>
      <c r="W101" s="163" t="str">
        <f t="shared" ref="W101:W124" si="15">IF(B101="","",IF(S101="Ditolak","DITOLAK",IF(AND(S101="Disetujui",T101&lt;&gt;""),"LENGKAP",IF(S101="Disetujui","NAMA PENYETUJU BELUM DIISI","MENUNGGU PERSETUJUAN MANUAL"))))</f>
        <v/>
      </c>
    </row>
    <row r="102" spans="1:23">
      <c r="A102" s="9" t="str">
        <f t="shared" si="12"/>
        <v/>
      </c>
      <c r="B102" s="82"/>
      <c r="C102" s="6"/>
      <c r="D102" s="6"/>
      <c r="E102" s="11"/>
      <c r="F102" s="11"/>
      <c r="G102" s="12" t="str">
        <f t="shared" si="13"/>
        <v/>
      </c>
      <c r="H102" s="10"/>
      <c r="I102" s="10"/>
      <c r="J102" s="6"/>
      <c r="K102" s="9" t="str">
        <f ca="1">IF(B102="","",IF(G102=0,"Lunas",IF(H102="","Belum Ada Jatuh Tempo",IF(TODAY()&gt;H102,"Jatuh Tempo",IF(H102-TODAY()&lt;=MASTER!$AF$5,"Segera Jatuh Tempo","Belum Dibayar")))))</f>
        <v/>
      </c>
      <c r="L102" s="6"/>
      <c r="M102" s="6"/>
      <c r="N102" s="6"/>
      <c r="O102" s="6"/>
      <c r="P102" s="64"/>
      <c r="Q102" s="67" t="str">
        <f>IF(P102="","",IFERROR(INDEX(PERKARA!$B$5:$B$104,MATCH(P102,PERKARA!$A$5:$A$104,0)),"ID TIDAK TERDAFTAR"))</f>
        <v/>
      </c>
      <c r="R102" s="67" t="str">
        <f t="shared" si="14"/>
        <v/>
      </c>
      <c r="S102" s="98"/>
      <c r="T102" s="98"/>
      <c r="U102" s="105"/>
      <c r="V102" s="98"/>
      <c r="W102" s="163" t="str">
        <f t="shared" si="15"/>
        <v/>
      </c>
    </row>
    <row r="103" spans="1:23">
      <c r="A103" s="9" t="str">
        <f t="shared" si="12"/>
        <v/>
      </c>
      <c r="B103" s="82"/>
      <c r="C103" s="6"/>
      <c r="D103" s="6"/>
      <c r="E103" s="11"/>
      <c r="F103" s="11"/>
      <c r="G103" s="12" t="str">
        <f t="shared" si="13"/>
        <v/>
      </c>
      <c r="H103" s="10"/>
      <c r="I103" s="10"/>
      <c r="J103" s="6"/>
      <c r="K103" s="9" t="str">
        <f ca="1">IF(B103="","",IF(G103=0,"Lunas",IF(H103="","Belum Ada Jatuh Tempo",IF(TODAY()&gt;H103,"Jatuh Tempo",IF(H103-TODAY()&lt;=MASTER!$AF$5,"Segera Jatuh Tempo","Belum Dibayar")))))</f>
        <v/>
      </c>
      <c r="L103" s="6"/>
      <c r="M103" s="6"/>
      <c r="N103" s="6"/>
      <c r="O103" s="6"/>
      <c r="P103" s="64"/>
      <c r="Q103" s="67" t="str">
        <f>IF(P103="","",IFERROR(INDEX(PERKARA!$B$5:$B$104,MATCH(P103,PERKARA!$A$5:$A$104,0)),"ID TIDAK TERDAFTAR"))</f>
        <v/>
      </c>
      <c r="R103" s="67" t="str">
        <f t="shared" si="14"/>
        <v/>
      </c>
      <c r="S103" s="98"/>
      <c r="T103" s="98"/>
      <c r="U103" s="105"/>
      <c r="V103" s="98"/>
      <c r="W103" s="163" t="str">
        <f t="shared" si="15"/>
        <v/>
      </c>
    </row>
    <row r="104" spans="1:23">
      <c r="A104" s="9" t="str">
        <f t="shared" si="12"/>
        <v/>
      </c>
      <c r="B104" s="82"/>
      <c r="C104" s="6"/>
      <c r="D104" s="6"/>
      <c r="E104" s="11"/>
      <c r="F104" s="11"/>
      <c r="G104" s="12" t="str">
        <f t="shared" si="13"/>
        <v/>
      </c>
      <c r="H104" s="10"/>
      <c r="I104" s="10"/>
      <c r="J104" s="6"/>
      <c r="K104" s="9" t="str">
        <f ca="1">IF(B104="","",IF(G104=0,"Lunas",IF(H104="","Belum Ada Jatuh Tempo",IF(TODAY()&gt;H104,"Jatuh Tempo",IF(H104-TODAY()&lt;=MASTER!$AF$5,"Segera Jatuh Tempo","Belum Dibayar")))))</f>
        <v/>
      </c>
      <c r="L104" s="6"/>
      <c r="M104" s="6"/>
      <c r="N104" s="6"/>
      <c r="O104" s="6"/>
      <c r="P104" s="64"/>
      <c r="Q104" s="67" t="str">
        <f>IF(P104="","",IFERROR(INDEX(PERKARA!$B$5:$B$104,MATCH(P104,PERKARA!$A$5:$A$104,0)),"ID TIDAK TERDAFTAR"))</f>
        <v/>
      </c>
      <c r="R104" s="67" t="str">
        <f t="shared" si="14"/>
        <v/>
      </c>
      <c r="S104" s="98"/>
      <c r="T104" s="98"/>
      <c r="U104" s="105"/>
      <c r="V104" s="98"/>
      <c r="W104" s="163" t="str">
        <f t="shared" si="15"/>
        <v/>
      </c>
    </row>
    <row r="105" spans="1:23">
      <c r="A105" s="9" t="str">
        <f t="shared" si="12"/>
        <v/>
      </c>
      <c r="B105" s="82"/>
      <c r="C105" s="6"/>
      <c r="D105" s="6"/>
      <c r="E105" s="11"/>
      <c r="F105" s="11"/>
      <c r="G105" s="12" t="str">
        <f t="shared" si="13"/>
        <v/>
      </c>
      <c r="H105" s="10"/>
      <c r="I105" s="10"/>
      <c r="J105" s="6"/>
      <c r="K105" s="9" t="str">
        <f ca="1">IF(B105="","",IF(G105=0,"Lunas",IF(H105="","Belum Ada Jatuh Tempo",IF(TODAY()&gt;H105,"Jatuh Tempo",IF(H105-TODAY()&lt;=MASTER!$AF$5,"Segera Jatuh Tempo","Belum Dibayar")))))</f>
        <v/>
      </c>
      <c r="L105" s="6"/>
      <c r="M105" s="6"/>
      <c r="N105" s="6"/>
      <c r="O105" s="6"/>
      <c r="P105" s="64"/>
      <c r="Q105" s="67" t="str">
        <f>IF(P105="","",IFERROR(INDEX(PERKARA!$B$5:$B$104,MATCH(P105,PERKARA!$A$5:$A$104,0)),"ID TIDAK TERDAFTAR"))</f>
        <v/>
      </c>
      <c r="R105" s="67" t="str">
        <f t="shared" si="14"/>
        <v/>
      </c>
      <c r="S105" s="98"/>
      <c r="T105" s="98"/>
      <c r="U105" s="105"/>
      <c r="V105" s="98"/>
      <c r="W105" s="163" t="str">
        <f t="shared" si="15"/>
        <v/>
      </c>
    </row>
    <row r="106" spans="1:23">
      <c r="A106" s="9" t="str">
        <f t="shared" si="12"/>
        <v/>
      </c>
      <c r="B106" s="82"/>
      <c r="C106" s="6"/>
      <c r="D106" s="6"/>
      <c r="E106" s="11"/>
      <c r="F106" s="11"/>
      <c r="G106" s="12" t="str">
        <f t="shared" si="13"/>
        <v/>
      </c>
      <c r="H106" s="10"/>
      <c r="I106" s="10"/>
      <c r="J106" s="6"/>
      <c r="K106" s="9" t="str">
        <f ca="1">IF(B106="","",IF(G106=0,"Lunas",IF(H106="","Belum Ada Jatuh Tempo",IF(TODAY()&gt;H106,"Jatuh Tempo",IF(H106-TODAY()&lt;=MASTER!$AF$5,"Segera Jatuh Tempo","Belum Dibayar")))))</f>
        <v/>
      </c>
      <c r="L106" s="6"/>
      <c r="M106" s="6"/>
      <c r="N106" s="6"/>
      <c r="O106" s="6"/>
      <c r="P106" s="64"/>
      <c r="Q106" s="67" t="str">
        <f>IF(P106="","",IFERROR(INDEX(PERKARA!$B$5:$B$104,MATCH(P106,PERKARA!$A$5:$A$104,0)),"ID TIDAK TERDAFTAR"))</f>
        <v/>
      </c>
      <c r="R106" s="67" t="str">
        <f t="shared" si="14"/>
        <v/>
      </c>
      <c r="S106" s="98"/>
      <c r="T106" s="98"/>
      <c r="U106" s="105"/>
      <c r="V106" s="98"/>
      <c r="W106" s="163" t="str">
        <f t="shared" si="15"/>
        <v/>
      </c>
    </row>
    <row r="107" spans="1:23">
      <c r="A107" s="9" t="str">
        <f t="shared" si="12"/>
        <v/>
      </c>
      <c r="B107" s="82"/>
      <c r="C107" s="6"/>
      <c r="D107" s="6"/>
      <c r="E107" s="11"/>
      <c r="F107" s="11"/>
      <c r="G107" s="12" t="str">
        <f t="shared" si="13"/>
        <v/>
      </c>
      <c r="H107" s="10"/>
      <c r="I107" s="10"/>
      <c r="J107" s="6"/>
      <c r="K107" s="9" t="str">
        <f ca="1">IF(B107="","",IF(G107=0,"Lunas",IF(H107="","Belum Ada Jatuh Tempo",IF(TODAY()&gt;H107,"Jatuh Tempo",IF(H107-TODAY()&lt;=MASTER!$AF$5,"Segera Jatuh Tempo","Belum Dibayar")))))</f>
        <v/>
      </c>
      <c r="L107" s="6"/>
      <c r="M107" s="6"/>
      <c r="N107" s="6"/>
      <c r="O107" s="6"/>
      <c r="P107" s="64"/>
      <c r="Q107" s="67" t="str">
        <f>IF(P107="","",IFERROR(INDEX(PERKARA!$B$5:$B$104,MATCH(P107,PERKARA!$A$5:$A$104,0)),"ID TIDAK TERDAFTAR"))</f>
        <v/>
      </c>
      <c r="R107" s="67" t="str">
        <f t="shared" si="14"/>
        <v/>
      </c>
      <c r="S107" s="98"/>
      <c r="T107" s="98"/>
      <c r="U107" s="105"/>
      <c r="V107" s="98"/>
      <c r="W107" s="163" t="str">
        <f t="shared" si="15"/>
        <v/>
      </c>
    </row>
    <row r="108" spans="1:23">
      <c r="A108" s="9" t="str">
        <f t="shared" si="12"/>
        <v/>
      </c>
      <c r="B108" s="82"/>
      <c r="C108" s="6"/>
      <c r="D108" s="6"/>
      <c r="E108" s="11"/>
      <c r="F108" s="11"/>
      <c r="G108" s="12" t="str">
        <f t="shared" si="13"/>
        <v/>
      </c>
      <c r="H108" s="10"/>
      <c r="I108" s="10"/>
      <c r="J108" s="6"/>
      <c r="K108" s="9" t="str">
        <f ca="1">IF(B108="","",IF(G108=0,"Lunas",IF(H108="","Belum Ada Jatuh Tempo",IF(TODAY()&gt;H108,"Jatuh Tempo",IF(H108-TODAY()&lt;=MASTER!$AF$5,"Segera Jatuh Tempo","Belum Dibayar")))))</f>
        <v/>
      </c>
      <c r="L108" s="6"/>
      <c r="M108" s="6"/>
      <c r="N108" s="6"/>
      <c r="O108" s="6"/>
      <c r="P108" s="64"/>
      <c r="Q108" s="67" t="str">
        <f>IF(P108="","",IFERROR(INDEX(PERKARA!$B$5:$B$104,MATCH(P108,PERKARA!$A$5:$A$104,0)),"ID TIDAK TERDAFTAR"))</f>
        <v/>
      </c>
      <c r="R108" s="67" t="str">
        <f t="shared" si="14"/>
        <v/>
      </c>
      <c r="S108" s="98"/>
      <c r="T108" s="98"/>
      <c r="U108" s="105"/>
      <c r="V108" s="98"/>
      <c r="W108" s="163" t="str">
        <f t="shared" si="15"/>
        <v/>
      </c>
    </row>
    <row r="109" spans="1:23">
      <c r="A109" s="9" t="str">
        <f t="shared" si="12"/>
        <v/>
      </c>
      <c r="B109" s="82"/>
      <c r="C109" s="6"/>
      <c r="D109" s="6"/>
      <c r="E109" s="11"/>
      <c r="F109" s="11"/>
      <c r="G109" s="12" t="str">
        <f t="shared" si="13"/>
        <v/>
      </c>
      <c r="H109" s="10"/>
      <c r="I109" s="10"/>
      <c r="J109" s="6"/>
      <c r="K109" s="9" t="str">
        <f ca="1">IF(B109="","",IF(G109=0,"Lunas",IF(H109="","Belum Ada Jatuh Tempo",IF(TODAY()&gt;H109,"Jatuh Tempo",IF(H109-TODAY()&lt;=MASTER!$AF$5,"Segera Jatuh Tempo","Belum Dibayar")))))</f>
        <v/>
      </c>
      <c r="L109" s="6"/>
      <c r="M109" s="6"/>
      <c r="N109" s="6"/>
      <c r="O109" s="6"/>
      <c r="P109" s="64"/>
      <c r="Q109" s="67" t="str">
        <f>IF(P109="","",IFERROR(INDEX(PERKARA!$B$5:$B$104,MATCH(P109,PERKARA!$A$5:$A$104,0)),"ID TIDAK TERDAFTAR"))</f>
        <v/>
      </c>
      <c r="R109" s="67" t="str">
        <f t="shared" si="14"/>
        <v/>
      </c>
      <c r="S109" s="98"/>
      <c r="T109" s="98"/>
      <c r="U109" s="105"/>
      <c r="V109" s="98"/>
      <c r="W109" s="163" t="str">
        <f t="shared" si="15"/>
        <v/>
      </c>
    </row>
    <row r="110" spans="1:23">
      <c r="A110" s="9" t="str">
        <f t="shared" si="12"/>
        <v/>
      </c>
      <c r="B110" s="82"/>
      <c r="C110" s="6"/>
      <c r="D110" s="6"/>
      <c r="E110" s="11"/>
      <c r="F110" s="11"/>
      <c r="G110" s="12" t="str">
        <f t="shared" si="13"/>
        <v/>
      </c>
      <c r="H110" s="10"/>
      <c r="I110" s="10"/>
      <c r="J110" s="6"/>
      <c r="K110" s="9" t="str">
        <f ca="1">IF(B110="","",IF(G110=0,"Lunas",IF(H110="","Belum Ada Jatuh Tempo",IF(TODAY()&gt;H110,"Jatuh Tempo",IF(H110-TODAY()&lt;=MASTER!$AF$5,"Segera Jatuh Tempo","Belum Dibayar")))))</f>
        <v/>
      </c>
      <c r="L110" s="6"/>
      <c r="M110" s="6"/>
      <c r="N110" s="6"/>
      <c r="O110" s="6"/>
      <c r="P110" s="64"/>
      <c r="Q110" s="67" t="str">
        <f>IF(P110="","",IFERROR(INDEX(PERKARA!$B$5:$B$104,MATCH(P110,PERKARA!$A$5:$A$104,0)),"ID TIDAK TERDAFTAR"))</f>
        <v/>
      </c>
      <c r="R110" s="67" t="str">
        <f t="shared" si="14"/>
        <v/>
      </c>
      <c r="S110" s="98"/>
      <c r="T110" s="98"/>
      <c r="U110" s="105"/>
      <c r="V110" s="98"/>
      <c r="W110" s="163" t="str">
        <f t="shared" si="15"/>
        <v/>
      </c>
    </row>
    <row r="111" spans="1:23">
      <c r="A111" s="9" t="str">
        <f t="shared" si="12"/>
        <v/>
      </c>
      <c r="B111" s="82"/>
      <c r="C111" s="6"/>
      <c r="D111" s="6"/>
      <c r="E111" s="11"/>
      <c r="F111" s="11"/>
      <c r="G111" s="12" t="str">
        <f t="shared" si="13"/>
        <v/>
      </c>
      <c r="H111" s="10"/>
      <c r="I111" s="10"/>
      <c r="J111" s="6"/>
      <c r="K111" s="9" t="str">
        <f ca="1">IF(B111="","",IF(G111=0,"Lunas",IF(H111="","Belum Ada Jatuh Tempo",IF(TODAY()&gt;H111,"Jatuh Tempo",IF(H111-TODAY()&lt;=MASTER!$AF$5,"Segera Jatuh Tempo","Belum Dibayar")))))</f>
        <v/>
      </c>
      <c r="L111" s="6"/>
      <c r="M111" s="6"/>
      <c r="N111" s="6"/>
      <c r="O111" s="6"/>
      <c r="P111" s="64"/>
      <c r="Q111" s="67" t="str">
        <f>IF(P111="","",IFERROR(INDEX(PERKARA!$B$5:$B$104,MATCH(P111,PERKARA!$A$5:$A$104,0)),"ID TIDAK TERDAFTAR"))</f>
        <v/>
      </c>
      <c r="R111" s="67" t="str">
        <f t="shared" si="14"/>
        <v/>
      </c>
      <c r="S111" s="98"/>
      <c r="T111" s="98"/>
      <c r="U111" s="105"/>
      <c r="V111" s="98"/>
      <c r="W111" s="163" t="str">
        <f t="shared" si="15"/>
        <v/>
      </c>
    </row>
    <row r="112" spans="1:23">
      <c r="A112" s="9" t="str">
        <f t="shared" si="12"/>
        <v/>
      </c>
      <c r="B112" s="82"/>
      <c r="C112" s="6"/>
      <c r="D112" s="6"/>
      <c r="E112" s="11"/>
      <c r="F112" s="11"/>
      <c r="G112" s="12" t="str">
        <f t="shared" si="13"/>
        <v/>
      </c>
      <c r="H112" s="10"/>
      <c r="I112" s="10"/>
      <c r="J112" s="6"/>
      <c r="K112" s="9" t="str">
        <f ca="1">IF(B112="","",IF(G112=0,"Lunas",IF(H112="","Belum Ada Jatuh Tempo",IF(TODAY()&gt;H112,"Jatuh Tempo",IF(H112-TODAY()&lt;=MASTER!$AF$5,"Segera Jatuh Tempo","Belum Dibayar")))))</f>
        <v/>
      </c>
      <c r="L112" s="6"/>
      <c r="M112" s="6"/>
      <c r="N112" s="6"/>
      <c r="O112" s="6"/>
      <c r="P112" s="64"/>
      <c r="Q112" s="67" t="str">
        <f>IF(P112="","",IFERROR(INDEX(PERKARA!$B$5:$B$104,MATCH(P112,PERKARA!$A$5:$A$104,0)),"ID TIDAK TERDAFTAR"))</f>
        <v/>
      </c>
      <c r="R112" s="67" t="str">
        <f t="shared" si="14"/>
        <v/>
      </c>
      <c r="S112" s="98"/>
      <c r="T112" s="98"/>
      <c r="U112" s="105"/>
      <c r="V112" s="98"/>
      <c r="W112" s="163" t="str">
        <f t="shared" si="15"/>
        <v/>
      </c>
    </row>
    <row r="113" spans="1:23">
      <c r="A113" s="9" t="str">
        <f t="shared" si="12"/>
        <v/>
      </c>
      <c r="B113" s="82"/>
      <c r="C113" s="6"/>
      <c r="D113" s="6"/>
      <c r="E113" s="11"/>
      <c r="F113" s="11"/>
      <c r="G113" s="12" t="str">
        <f t="shared" si="13"/>
        <v/>
      </c>
      <c r="H113" s="10"/>
      <c r="I113" s="10"/>
      <c r="J113" s="6"/>
      <c r="K113" s="9" t="str">
        <f ca="1">IF(B113="","",IF(G113=0,"Lunas",IF(H113="","Belum Ada Jatuh Tempo",IF(TODAY()&gt;H113,"Jatuh Tempo",IF(H113-TODAY()&lt;=MASTER!$AF$5,"Segera Jatuh Tempo","Belum Dibayar")))))</f>
        <v/>
      </c>
      <c r="L113" s="6"/>
      <c r="M113" s="6"/>
      <c r="N113" s="6"/>
      <c r="O113" s="6"/>
      <c r="P113" s="64"/>
      <c r="Q113" s="67" t="str">
        <f>IF(P113="","",IFERROR(INDEX(PERKARA!$B$5:$B$104,MATCH(P113,PERKARA!$A$5:$A$104,0)),"ID TIDAK TERDAFTAR"))</f>
        <v/>
      </c>
      <c r="R113" s="67" t="str">
        <f t="shared" si="14"/>
        <v/>
      </c>
      <c r="S113" s="98"/>
      <c r="T113" s="98"/>
      <c r="U113" s="105"/>
      <c r="V113" s="98"/>
      <c r="W113" s="163" t="str">
        <f t="shared" si="15"/>
        <v/>
      </c>
    </row>
    <row r="114" spans="1:23">
      <c r="A114" s="9" t="str">
        <f t="shared" si="12"/>
        <v/>
      </c>
      <c r="B114" s="82"/>
      <c r="C114" s="6"/>
      <c r="D114" s="6"/>
      <c r="E114" s="11"/>
      <c r="F114" s="11"/>
      <c r="G114" s="12" t="str">
        <f t="shared" si="13"/>
        <v/>
      </c>
      <c r="H114" s="10"/>
      <c r="I114" s="10"/>
      <c r="J114" s="6"/>
      <c r="K114" s="9" t="str">
        <f ca="1">IF(B114="","",IF(G114=0,"Lunas",IF(H114="","Belum Ada Jatuh Tempo",IF(TODAY()&gt;H114,"Jatuh Tempo",IF(H114-TODAY()&lt;=MASTER!$AF$5,"Segera Jatuh Tempo","Belum Dibayar")))))</f>
        <v/>
      </c>
      <c r="L114" s="6"/>
      <c r="M114" s="6"/>
      <c r="N114" s="6"/>
      <c r="O114" s="6"/>
      <c r="P114" s="64"/>
      <c r="Q114" s="67" t="str">
        <f>IF(P114="","",IFERROR(INDEX(PERKARA!$B$5:$B$104,MATCH(P114,PERKARA!$A$5:$A$104,0)),"ID TIDAK TERDAFTAR"))</f>
        <v/>
      </c>
      <c r="R114" s="67" t="str">
        <f t="shared" si="14"/>
        <v/>
      </c>
      <c r="S114" s="98"/>
      <c r="T114" s="98"/>
      <c r="U114" s="105"/>
      <c r="V114" s="98"/>
      <c r="W114" s="163" t="str">
        <f t="shared" si="15"/>
        <v/>
      </c>
    </row>
    <row r="115" spans="1:23">
      <c r="A115" s="9" t="str">
        <f t="shared" si="12"/>
        <v/>
      </c>
      <c r="B115" s="82"/>
      <c r="C115" s="6"/>
      <c r="D115" s="6"/>
      <c r="E115" s="11"/>
      <c r="F115" s="11"/>
      <c r="G115" s="12" t="str">
        <f t="shared" si="13"/>
        <v/>
      </c>
      <c r="H115" s="10"/>
      <c r="I115" s="10"/>
      <c r="J115" s="6"/>
      <c r="K115" s="9" t="str">
        <f ca="1">IF(B115="","",IF(G115=0,"Lunas",IF(H115="","Belum Ada Jatuh Tempo",IF(TODAY()&gt;H115,"Jatuh Tempo",IF(H115-TODAY()&lt;=MASTER!$AF$5,"Segera Jatuh Tempo","Belum Dibayar")))))</f>
        <v/>
      </c>
      <c r="L115" s="6"/>
      <c r="M115" s="6"/>
      <c r="N115" s="6"/>
      <c r="O115" s="6"/>
      <c r="P115" s="64"/>
      <c r="Q115" s="67" t="str">
        <f>IF(P115="","",IFERROR(INDEX(PERKARA!$B$5:$B$104,MATCH(P115,PERKARA!$A$5:$A$104,0)),"ID TIDAK TERDAFTAR"))</f>
        <v/>
      </c>
      <c r="R115" s="67" t="str">
        <f t="shared" si="14"/>
        <v/>
      </c>
      <c r="S115" s="98"/>
      <c r="T115" s="98"/>
      <c r="U115" s="105"/>
      <c r="V115" s="98"/>
      <c r="W115" s="163" t="str">
        <f t="shared" si="15"/>
        <v/>
      </c>
    </row>
    <row r="116" spans="1:23">
      <c r="A116" s="9" t="str">
        <f t="shared" si="12"/>
        <v/>
      </c>
      <c r="B116" s="82"/>
      <c r="C116" s="6"/>
      <c r="D116" s="6"/>
      <c r="E116" s="11"/>
      <c r="F116" s="11"/>
      <c r="G116" s="12" t="str">
        <f t="shared" si="13"/>
        <v/>
      </c>
      <c r="H116" s="10"/>
      <c r="I116" s="10"/>
      <c r="J116" s="6"/>
      <c r="K116" s="9" t="str">
        <f ca="1">IF(B116="","",IF(G116=0,"Lunas",IF(H116="","Belum Ada Jatuh Tempo",IF(TODAY()&gt;H116,"Jatuh Tempo",IF(H116-TODAY()&lt;=MASTER!$AF$5,"Segera Jatuh Tempo","Belum Dibayar")))))</f>
        <v/>
      </c>
      <c r="L116" s="6"/>
      <c r="M116" s="6"/>
      <c r="N116" s="6"/>
      <c r="O116" s="6"/>
      <c r="P116" s="64"/>
      <c r="Q116" s="67" t="str">
        <f>IF(P116="","",IFERROR(INDEX(PERKARA!$B$5:$B$104,MATCH(P116,PERKARA!$A$5:$A$104,0)),"ID TIDAK TERDAFTAR"))</f>
        <v/>
      </c>
      <c r="R116" s="67" t="str">
        <f t="shared" si="14"/>
        <v/>
      </c>
      <c r="S116" s="98"/>
      <c r="T116" s="98"/>
      <c r="U116" s="105"/>
      <c r="V116" s="98"/>
      <c r="W116" s="163" t="str">
        <f t="shared" si="15"/>
        <v/>
      </c>
    </row>
    <row r="117" spans="1:23">
      <c r="A117" s="9" t="str">
        <f t="shared" si="12"/>
        <v/>
      </c>
      <c r="B117" s="82"/>
      <c r="C117" s="6"/>
      <c r="D117" s="6"/>
      <c r="E117" s="11"/>
      <c r="F117" s="11"/>
      <c r="G117" s="12" t="str">
        <f t="shared" si="13"/>
        <v/>
      </c>
      <c r="H117" s="10"/>
      <c r="I117" s="10"/>
      <c r="J117" s="6"/>
      <c r="K117" s="9" t="str">
        <f ca="1">IF(B117="","",IF(G117=0,"Lunas",IF(H117="","Belum Ada Jatuh Tempo",IF(TODAY()&gt;H117,"Jatuh Tempo",IF(H117-TODAY()&lt;=MASTER!$AF$5,"Segera Jatuh Tempo","Belum Dibayar")))))</f>
        <v/>
      </c>
      <c r="L117" s="6"/>
      <c r="M117" s="6"/>
      <c r="N117" s="6"/>
      <c r="O117" s="6"/>
      <c r="P117" s="64"/>
      <c r="Q117" s="67" t="str">
        <f>IF(P117="","",IFERROR(INDEX(PERKARA!$B$5:$B$104,MATCH(P117,PERKARA!$A$5:$A$104,0)),"ID TIDAK TERDAFTAR"))</f>
        <v/>
      </c>
      <c r="R117" s="67" t="str">
        <f t="shared" si="14"/>
        <v/>
      </c>
      <c r="S117" s="98"/>
      <c r="T117" s="98"/>
      <c r="U117" s="105"/>
      <c r="V117" s="98"/>
      <c r="W117" s="163" t="str">
        <f t="shared" si="15"/>
        <v/>
      </c>
    </row>
    <row r="118" spans="1:23">
      <c r="A118" s="9" t="str">
        <f t="shared" si="12"/>
        <v/>
      </c>
      <c r="B118" s="82"/>
      <c r="C118" s="6"/>
      <c r="D118" s="6"/>
      <c r="E118" s="11"/>
      <c r="F118" s="11"/>
      <c r="G118" s="12" t="str">
        <f t="shared" si="13"/>
        <v/>
      </c>
      <c r="H118" s="10"/>
      <c r="I118" s="10"/>
      <c r="J118" s="6"/>
      <c r="K118" s="9" t="str">
        <f ca="1">IF(B118="","",IF(G118=0,"Lunas",IF(H118="","Belum Ada Jatuh Tempo",IF(TODAY()&gt;H118,"Jatuh Tempo",IF(H118-TODAY()&lt;=MASTER!$AF$5,"Segera Jatuh Tempo","Belum Dibayar")))))</f>
        <v/>
      </c>
      <c r="L118" s="6"/>
      <c r="M118" s="6"/>
      <c r="N118" s="6"/>
      <c r="O118" s="6"/>
      <c r="P118" s="64"/>
      <c r="Q118" s="67" t="str">
        <f>IF(P118="","",IFERROR(INDEX(PERKARA!$B$5:$B$104,MATCH(P118,PERKARA!$A$5:$A$104,0)),"ID TIDAK TERDAFTAR"))</f>
        <v/>
      </c>
      <c r="R118" s="67" t="str">
        <f t="shared" si="14"/>
        <v/>
      </c>
      <c r="S118" s="98"/>
      <c r="T118" s="98"/>
      <c r="U118" s="105"/>
      <c r="V118" s="98"/>
      <c r="W118" s="163" t="str">
        <f t="shared" si="15"/>
        <v/>
      </c>
    </row>
    <row r="119" spans="1:23">
      <c r="A119" s="9" t="str">
        <f t="shared" si="12"/>
        <v/>
      </c>
      <c r="B119" s="82"/>
      <c r="C119" s="6"/>
      <c r="D119" s="6"/>
      <c r="E119" s="11"/>
      <c r="F119" s="11"/>
      <c r="G119" s="12" t="str">
        <f t="shared" si="13"/>
        <v/>
      </c>
      <c r="H119" s="10"/>
      <c r="I119" s="10"/>
      <c r="J119" s="6"/>
      <c r="K119" s="9" t="str">
        <f ca="1">IF(B119="","",IF(G119=0,"Lunas",IF(H119="","Belum Ada Jatuh Tempo",IF(TODAY()&gt;H119,"Jatuh Tempo",IF(H119-TODAY()&lt;=MASTER!$AF$5,"Segera Jatuh Tempo","Belum Dibayar")))))</f>
        <v/>
      </c>
      <c r="L119" s="6"/>
      <c r="M119" s="6"/>
      <c r="N119" s="6"/>
      <c r="O119" s="6"/>
      <c r="P119" s="64"/>
      <c r="Q119" s="67" t="str">
        <f>IF(P119="","",IFERROR(INDEX(PERKARA!$B$5:$B$104,MATCH(P119,PERKARA!$A$5:$A$104,0)),"ID TIDAK TERDAFTAR"))</f>
        <v/>
      </c>
      <c r="R119" s="67" t="str">
        <f t="shared" si="14"/>
        <v/>
      </c>
      <c r="S119" s="98"/>
      <c r="T119" s="98"/>
      <c r="U119" s="105"/>
      <c r="V119" s="98"/>
      <c r="W119" s="163" t="str">
        <f t="shared" si="15"/>
        <v/>
      </c>
    </row>
    <row r="120" spans="1:23">
      <c r="A120" s="9" t="str">
        <f t="shared" si="12"/>
        <v/>
      </c>
      <c r="B120" s="82"/>
      <c r="C120" s="6"/>
      <c r="D120" s="6"/>
      <c r="E120" s="11"/>
      <c r="F120" s="11"/>
      <c r="G120" s="12" t="str">
        <f t="shared" si="13"/>
        <v/>
      </c>
      <c r="H120" s="10"/>
      <c r="I120" s="10"/>
      <c r="J120" s="6"/>
      <c r="K120" s="9" t="str">
        <f ca="1">IF(B120="","",IF(G120=0,"Lunas",IF(H120="","Belum Ada Jatuh Tempo",IF(TODAY()&gt;H120,"Jatuh Tempo",IF(H120-TODAY()&lt;=MASTER!$AF$5,"Segera Jatuh Tempo","Belum Dibayar")))))</f>
        <v/>
      </c>
      <c r="L120" s="6"/>
      <c r="M120" s="6"/>
      <c r="N120" s="6"/>
      <c r="O120" s="6"/>
      <c r="P120" s="64"/>
      <c r="Q120" s="67" t="str">
        <f>IF(P120="","",IFERROR(INDEX(PERKARA!$B$5:$B$104,MATCH(P120,PERKARA!$A$5:$A$104,0)),"ID TIDAK TERDAFTAR"))</f>
        <v/>
      </c>
      <c r="R120" s="67" t="str">
        <f t="shared" si="14"/>
        <v/>
      </c>
      <c r="S120" s="98"/>
      <c r="T120" s="98"/>
      <c r="U120" s="105"/>
      <c r="V120" s="98"/>
      <c r="W120" s="163" t="str">
        <f t="shared" si="15"/>
        <v/>
      </c>
    </row>
    <row r="121" spans="1:23">
      <c r="A121" s="9" t="str">
        <f t="shared" si="12"/>
        <v/>
      </c>
      <c r="B121" s="82"/>
      <c r="C121" s="6"/>
      <c r="D121" s="6"/>
      <c r="E121" s="11"/>
      <c r="F121" s="11"/>
      <c r="G121" s="12" t="str">
        <f t="shared" si="13"/>
        <v/>
      </c>
      <c r="H121" s="10"/>
      <c r="I121" s="10"/>
      <c r="J121" s="6"/>
      <c r="K121" s="9" t="str">
        <f ca="1">IF(B121="","",IF(G121=0,"Lunas",IF(H121="","Belum Ada Jatuh Tempo",IF(TODAY()&gt;H121,"Jatuh Tempo",IF(H121-TODAY()&lt;=MASTER!$AF$5,"Segera Jatuh Tempo","Belum Dibayar")))))</f>
        <v/>
      </c>
      <c r="L121" s="6"/>
      <c r="M121" s="6"/>
      <c r="N121" s="6"/>
      <c r="O121" s="6"/>
      <c r="P121" s="64"/>
      <c r="Q121" s="67" t="str">
        <f>IF(P121="","",IFERROR(INDEX(PERKARA!$B$5:$B$104,MATCH(P121,PERKARA!$A$5:$A$104,0)),"ID TIDAK TERDAFTAR"))</f>
        <v/>
      </c>
      <c r="R121" s="67" t="str">
        <f t="shared" si="14"/>
        <v/>
      </c>
      <c r="S121" s="98"/>
      <c r="T121" s="98"/>
      <c r="U121" s="105"/>
      <c r="V121" s="98"/>
      <c r="W121" s="163" t="str">
        <f t="shared" si="15"/>
        <v/>
      </c>
    </row>
    <row r="122" spans="1:23">
      <c r="A122" s="9" t="str">
        <f t="shared" si="12"/>
        <v/>
      </c>
      <c r="B122" s="82"/>
      <c r="C122" s="6"/>
      <c r="D122" s="6"/>
      <c r="E122" s="11"/>
      <c r="F122" s="11"/>
      <c r="G122" s="12" t="str">
        <f t="shared" si="13"/>
        <v/>
      </c>
      <c r="H122" s="10"/>
      <c r="I122" s="10"/>
      <c r="J122" s="6"/>
      <c r="K122" s="9" t="str">
        <f ca="1">IF(B122="","",IF(G122=0,"Lunas",IF(H122="","Belum Ada Jatuh Tempo",IF(TODAY()&gt;H122,"Jatuh Tempo",IF(H122-TODAY()&lt;=MASTER!$AF$5,"Segera Jatuh Tempo","Belum Dibayar")))))</f>
        <v/>
      </c>
      <c r="L122" s="6"/>
      <c r="M122" s="6"/>
      <c r="N122" s="6"/>
      <c r="O122" s="6"/>
      <c r="P122" s="64"/>
      <c r="Q122" s="67" t="str">
        <f>IF(P122="","",IFERROR(INDEX(PERKARA!$B$5:$B$104,MATCH(P122,PERKARA!$A$5:$A$104,0)),"ID TIDAK TERDAFTAR"))</f>
        <v/>
      </c>
      <c r="R122" s="67" t="str">
        <f t="shared" si="14"/>
        <v/>
      </c>
      <c r="S122" s="98"/>
      <c r="T122" s="98"/>
      <c r="U122" s="105"/>
      <c r="V122" s="98"/>
      <c r="W122" s="163" t="str">
        <f t="shared" si="15"/>
        <v/>
      </c>
    </row>
    <row r="123" spans="1:23">
      <c r="A123" s="9" t="str">
        <f t="shared" si="12"/>
        <v/>
      </c>
      <c r="B123" s="82"/>
      <c r="C123" s="6"/>
      <c r="D123" s="6"/>
      <c r="E123" s="11"/>
      <c r="F123" s="11"/>
      <c r="G123" s="12" t="str">
        <f t="shared" si="13"/>
        <v/>
      </c>
      <c r="H123" s="10"/>
      <c r="I123" s="10"/>
      <c r="J123" s="6"/>
      <c r="K123" s="9" t="str">
        <f ca="1">IF(B123="","",IF(G123=0,"Lunas",IF(H123="","Belum Ada Jatuh Tempo",IF(TODAY()&gt;H123,"Jatuh Tempo",IF(H123-TODAY()&lt;=MASTER!$AF$5,"Segera Jatuh Tempo","Belum Dibayar")))))</f>
        <v/>
      </c>
      <c r="L123" s="6"/>
      <c r="M123" s="6"/>
      <c r="N123" s="6"/>
      <c r="O123" s="6"/>
      <c r="P123" s="64"/>
      <c r="Q123" s="67" t="str">
        <f>IF(P123="","",IFERROR(INDEX(PERKARA!$B$5:$B$104,MATCH(P123,PERKARA!$A$5:$A$104,0)),"ID TIDAK TERDAFTAR"))</f>
        <v/>
      </c>
      <c r="R123" s="67" t="str">
        <f t="shared" si="14"/>
        <v/>
      </c>
      <c r="S123" s="98"/>
      <c r="T123" s="98"/>
      <c r="U123" s="105"/>
      <c r="V123" s="98"/>
      <c r="W123" s="163" t="str">
        <f t="shared" si="15"/>
        <v/>
      </c>
    </row>
    <row r="124" spans="1:23">
      <c r="A124" s="9" t="str">
        <f t="shared" si="12"/>
        <v/>
      </c>
      <c r="B124" s="82"/>
      <c r="C124" s="6"/>
      <c r="D124" s="6"/>
      <c r="E124" s="11"/>
      <c r="F124" s="11"/>
      <c r="G124" s="12" t="str">
        <f t="shared" si="13"/>
        <v/>
      </c>
      <c r="H124" s="10"/>
      <c r="I124" s="10"/>
      <c r="J124" s="6"/>
      <c r="K124" s="9" t="str">
        <f ca="1">IF(B124="","",IF(G124=0,"Lunas",IF(H124="","Belum Ada Jatuh Tempo",IF(TODAY()&gt;H124,"Jatuh Tempo",IF(H124-TODAY()&lt;=MASTER!$AF$5,"Segera Jatuh Tempo","Belum Dibayar")))))</f>
        <v/>
      </c>
      <c r="L124" s="6"/>
      <c r="M124" s="6"/>
      <c r="N124" s="6"/>
      <c r="O124" s="6"/>
      <c r="P124" s="64"/>
      <c r="Q124" s="67" t="str">
        <f>IF(P124="","",IFERROR(INDEX(PERKARA!$B$5:$B$104,MATCH(P124,PERKARA!$A$5:$A$104,0)),"ID TIDAK TERDAFTAR"))</f>
        <v/>
      </c>
      <c r="R124" s="67" t="str">
        <f t="shared" si="14"/>
        <v/>
      </c>
      <c r="S124" s="98"/>
      <c r="T124" s="98"/>
      <c r="U124" s="105"/>
      <c r="V124" s="98"/>
      <c r="W124" s="163" t="str">
        <f t="shared" si="15"/>
        <v/>
      </c>
    </row>
  </sheetData>
  <mergeCells count="2">
    <mergeCell ref="A1:W2"/>
    <mergeCell ref="A3:W3"/>
  </mergeCells>
  <conditionalFormatting sqref="K5:K124">
    <cfRule type="containsText" dxfId="3" priority="1" operator="containsText" text="Lunas"/>
    <cfRule type="containsText" dxfId="2" priority="5" operator="containsText" text="Jatuh Tempo"/>
    <cfRule type="containsText" dxfId="1"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F00-000000000000}">
          <x14:formula1>
            <xm:f>MASTER!$AA$5:$AA$11</xm:f>
          </x14:formula1>
          <xm:sqref>C5:C124</xm:sqref>
        </x14:dataValidation>
        <x14:dataValidation type="list" xr:uid="{00000000-0002-0000-0F00-000001000000}">
          <x14:formula1>
            <xm:f>MASTER!$G$5:$G$10</xm:f>
          </x14:formula1>
          <xm:sqref>J5:J124</xm:sqref>
        </x14:dataValidation>
        <x14:dataValidation type="list" xr:uid="{00000000-0002-0000-0F00-000002000000}">
          <x14:formula1>
            <xm:f>PERKARA!$A$5:$A$104</xm:f>
          </x14:formula1>
          <xm:sqref>P5:P124</xm:sqref>
        </x14:dataValidation>
        <x14:dataValidation type="list" xr:uid="{00000000-0002-0000-0F00-000003000000}">
          <x14:formula1>
            <xm:f>MASTER!$M$5:$M$8</xm:f>
          </x14:formula1>
          <xm:sqref>S5:S124</xm:sqref>
        </x14:dataValidation>
        <x14:dataValidation type="list" xr:uid="{00000000-0002-0000-0F00-000004000000}">
          <x14:formula1>
            <xm:f>MASTER!$A$5:$A$7</xm:f>
          </x14:formula1>
          <xm:sqref>T5:T124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8"/>
  <sheetViews>
    <sheetView showGridLines="0" workbookViewId="0">
      <selection sqref="A1:E2"/>
    </sheetView>
  </sheetViews>
  <sheetFormatPr defaultRowHeight="13.8"/>
  <cols>
    <col min="1" max="1" width="39" customWidth="1"/>
    <col min="2" max="2" width="20" customWidth="1"/>
    <col min="3" max="3" width="34" customWidth="1"/>
    <col min="4" max="4" width="14" customWidth="1"/>
    <col min="5" max="5" width="78" customWidth="1"/>
  </cols>
  <sheetData>
    <row r="1" spans="1:5" ht="25.05" customHeight="1">
      <c r="A1" s="373" t="s">
        <v>326</v>
      </c>
      <c r="B1" s="373" t="s">
        <v>326</v>
      </c>
      <c r="C1" s="373" t="s">
        <v>326</v>
      </c>
      <c r="D1" s="373" t="s">
        <v>326</v>
      </c>
      <c r="E1" s="373" t="s">
        <v>326</v>
      </c>
    </row>
    <row r="2" spans="1:5" ht="25.05" customHeight="1">
      <c r="A2" s="373" t="s">
        <v>326</v>
      </c>
      <c r="B2" s="373" t="s">
        <v>326</v>
      </c>
      <c r="C2" s="373" t="s">
        <v>326</v>
      </c>
      <c r="D2" s="373" t="s">
        <v>326</v>
      </c>
      <c r="E2" s="373" t="s">
        <v>326</v>
      </c>
    </row>
    <row r="3" spans="1:5" ht="22.95" customHeight="1">
      <c r="A3" s="236" t="s">
        <v>327</v>
      </c>
      <c r="B3" s="236" t="s">
        <v>327</v>
      </c>
      <c r="C3" s="236" t="s">
        <v>327</v>
      </c>
      <c r="D3" s="236" t="s">
        <v>327</v>
      </c>
      <c r="E3" s="236" t="s">
        <v>327</v>
      </c>
    </row>
    <row r="4" spans="1:5" ht="37.049999999999997" customHeight="1">
      <c r="A4" s="7" t="s">
        <v>252</v>
      </c>
      <c r="B4" s="7" t="s">
        <v>328</v>
      </c>
      <c r="C4" s="7" t="s">
        <v>254</v>
      </c>
      <c r="D4" s="7" t="s">
        <v>275</v>
      </c>
      <c r="E4" s="7" t="s">
        <v>329</v>
      </c>
    </row>
    <row r="5" spans="1:5" ht="31.05" customHeight="1">
      <c r="A5" s="21" t="s">
        <v>330</v>
      </c>
      <c r="B5" s="141">
        <f>COUNTIFS(PENGELUARAN!$B$5:$B$204,"&gt;0",PENGELUARAN!$M$5:$M$204,"Ya")-COUNTIFS(PENGELUARAN!$B$5:$B$204,"&gt;0",PENGELUARAN!$M$5:$M$204,"Ya",PENGELUARAN!$N$5:$N$204,"&lt;&gt;")</f>
        <v>0</v>
      </c>
      <c r="C5" s="21" t="s">
        <v>331</v>
      </c>
      <c r="D5" s="21" t="s">
        <v>332</v>
      </c>
      <c r="E5" s="21" t="s">
        <v>333</v>
      </c>
    </row>
    <row r="6" spans="1:5" ht="31.05" customHeight="1">
      <c r="A6" s="21" t="s">
        <v>334</v>
      </c>
      <c r="B6" s="141">
        <f>COUNTIFS(PENGELUARAN!$B$5:$B$204,"&gt;0",PENGELUARAN!$O$5:$O$204,"Tidak Ada")</f>
        <v>0</v>
      </c>
      <c r="C6" s="21" t="s">
        <v>335</v>
      </c>
      <c r="D6" s="21" t="s">
        <v>332</v>
      </c>
      <c r="E6" s="21" t="s">
        <v>336</v>
      </c>
    </row>
    <row r="7" spans="1:5" ht="31.05" customHeight="1">
      <c r="A7" s="21" t="s">
        <v>337</v>
      </c>
      <c r="B7" s="141">
        <f>COUNT(PEMASUKAN!$B$5:$B$204)-COUNTIFS(PEMASUKAN!$B$5:$B$204,"&gt;0",PEMASUKAN!$K$5:$K$204,"&lt;&gt;")</f>
        <v>0</v>
      </c>
      <c r="C7" s="21" t="s">
        <v>338</v>
      </c>
      <c r="D7" s="21" t="s">
        <v>332</v>
      </c>
      <c r="E7" s="21" t="s">
        <v>339</v>
      </c>
    </row>
    <row r="8" spans="1:5" ht="31.05" customHeight="1">
      <c r="A8" s="21" t="s">
        <v>340</v>
      </c>
      <c r="B8" s="141">
        <f>COUNT(PENGELUARAN!$B$5:$B$204)-COUNTIFS(PENGELUARAN!$B$5:$B$204,"&gt;0",PENGELUARAN!$I$5:$I$204,"&lt;&gt;")</f>
        <v>0</v>
      </c>
      <c r="C8" s="21" t="s">
        <v>341</v>
      </c>
      <c r="D8" s="21" t="s">
        <v>332</v>
      </c>
      <c r="E8" s="21" t="s">
        <v>342</v>
      </c>
    </row>
    <row r="9" spans="1:5" ht="31.05" customHeight="1">
      <c r="A9" s="21" t="s">
        <v>343</v>
      </c>
      <c r="B9" s="141">
        <f ca="1">COUNTIF(INVOICE_PIUTANG!$N$5:$N$151,"Jatuh Tempo*")</f>
        <v>0</v>
      </c>
      <c r="C9" s="21" t="s">
        <v>344</v>
      </c>
      <c r="D9" s="21" t="s">
        <v>332</v>
      </c>
      <c r="E9" s="21" t="s">
        <v>345</v>
      </c>
    </row>
    <row r="10" spans="1:5" ht="31.05" customHeight="1">
      <c r="A10" s="21" t="s">
        <v>346</v>
      </c>
      <c r="B10" s="141">
        <f>COUNTIFS(GAJI!$B$5:$B$124,"&gt;0",GAJI!$R$5:$R$124,"Belum Dibayar")</f>
        <v>2</v>
      </c>
      <c r="C10" s="21" t="s">
        <v>347</v>
      </c>
      <c r="D10" s="21" t="s">
        <v>332</v>
      </c>
      <c r="E10" s="21" t="s">
        <v>348</v>
      </c>
    </row>
    <row r="11" spans="1:5" ht="31.05" customHeight="1">
      <c r="A11" s="21" t="s">
        <v>349</v>
      </c>
      <c r="B11" s="141">
        <f ca="1">COUNTIF(KEWAJIBAN!$K$5:$K$124,"Jatuh Tempo")</f>
        <v>0</v>
      </c>
      <c r="C11" s="21" t="s">
        <v>350</v>
      </c>
      <c r="D11" s="21" t="s">
        <v>332</v>
      </c>
      <c r="E11" s="21" t="s">
        <v>351</v>
      </c>
    </row>
    <row r="12" spans="1:5" ht="31.05" customHeight="1">
      <c r="A12" s="21" t="s">
        <v>352</v>
      </c>
      <c r="B12" s="141">
        <f>COUNTIF(DANA_KLIEN!$I$5:$I$154,"&lt;0")</f>
        <v>0</v>
      </c>
      <c r="C12" s="21" t="s">
        <v>353</v>
      </c>
      <c r="D12" s="21" t="s">
        <v>354</v>
      </c>
      <c r="E12" s="21" t="s">
        <v>355</v>
      </c>
    </row>
    <row r="13" spans="1:5" ht="31.05" customHeight="1">
      <c r="A13" s="21" t="s">
        <v>356</v>
      </c>
      <c r="B13" s="141">
        <f>ABS(SUMIFS(PEMASUKAN!$J$5:$J$204,PEMASUKAN!$M$5:$M$204,"Dana Klien")-SUM(DANA_KLIEN!$G$5:$G$154))</f>
        <v>0</v>
      </c>
      <c r="C13" s="21" t="s">
        <v>357</v>
      </c>
      <c r="D13" s="21" t="s">
        <v>354</v>
      </c>
      <c r="E13" s="21" t="s">
        <v>358</v>
      </c>
    </row>
    <row r="14" spans="1:5" ht="31.05" customHeight="1">
      <c r="A14" s="21" t="s">
        <v>359</v>
      </c>
      <c r="B14" s="141">
        <f>COUNTIFS(KAS_BANK!$M$5:$M$10,"&lt;&gt;",KAS_BANK!$N$5:$N$10,"&lt;&gt;0")</f>
        <v>1</v>
      </c>
      <c r="C14" s="21" t="s">
        <v>360</v>
      </c>
      <c r="D14" s="21" t="s">
        <v>332</v>
      </c>
      <c r="E14" s="21" t="s">
        <v>361</v>
      </c>
    </row>
    <row r="15" spans="1:5" ht="31.05" customHeight="1">
      <c r="A15" s="21" t="s">
        <v>362</v>
      </c>
      <c r="B15" s="141">
        <f>ABS(SUM(KAS_BANK!$J$5:$J$10)-SUM(KAS_BANK!$K$5:$K$10))</f>
        <v>0</v>
      </c>
      <c r="C15" s="21" t="s">
        <v>363</v>
      </c>
      <c r="D15" s="21" t="s">
        <v>332</v>
      </c>
      <c r="E15" s="21" t="s">
        <v>364</v>
      </c>
    </row>
    <row r="16" spans="1:5" ht="31.05" customHeight="1">
      <c r="A16" s="21" t="s">
        <v>365</v>
      </c>
      <c r="B16" s="141">
        <f>COUNTIF(REIMBURSE!$J$5:$J$124,"&gt;0")-COUNTIFS(REIMBURSE!$J$5:$J$124,"&gt;0",REIMBURSE!$O$5:$O$124,"&lt;&gt;")</f>
        <v>0</v>
      </c>
      <c r="C16" s="21" t="s">
        <v>366</v>
      </c>
      <c r="D16" s="21" t="s">
        <v>332</v>
      </c>
      <c r="E16" s="21" t="s">
        <v>367</v>
      </c>
    </row>
    <row r="17" spans="1:5" ht="31.05" customHeight="1">
      <c r="A17" s="21" t="s">
        <v>368</v>
      </c>
      <c r="B17" s="141">
        <f>COUNTIF(ANGGARAN!$G$5:$G$232,"Melebihi Anggaran")</f>
        <v>0</v>
      </c>
      <c r="C17" s="21" t="s">
        <v>369</v>
      </c>
      <c r="D17" s="21" t="s">
        <v>370</v>
      </c>
      <c r="E17" s="21" t="s">
        <v>371</v>
      </c>
    </row>
    <row r="18" spans="1:5" ht="31.05" customHeight="1">
      <c r="A18" s="21" t="s">
        <v>372</v>
      </c>
      <c r="B18" s="141">
        <f>COUNTIF(GAJI!$R$5:$R$124,"Dibayar")-COUNTIFS(GAJI!$R$5:$R$124,"Dibayar",GAJI!$T$5:$T$124,"&lt;&gt;")</f>
        <v>0</v>
      </c>
      <c r="C18" s="21" t="s">
        <v>373</v>
      </c>
      <c r="D18" s="21" t="s">
        <v>332</v>
      </c>
      <c r="E18" s="21" t="s">
        <v>374</v>
      </c>
    </row>
    <row r="19" spans="1:5" ht="31.05" customHeight="1">
      <c r="A19" s="21" t="s">
        <v>375</v>
      </c>
      <c r="B19" s="141">
        <f>COUNTIFS(PENGELUARAN!$I$5:$I$204,"Bank Dana Klien",PENGELUARAN!$L$5:$L$204,"Kantor")</f>
        <v>0</v>
      </c>
      <c r="C19" s="21" t="s">
        <v>376</v>
      </c>
      <c r="D19" s="21" t="s">
        <v>354</v>
      </c>
      <c r="E19" s="21" t="s">
        <v>377</v>
      </c>
    </row>
    <row r="20" spans="1:5" ht="31.05" customHeight="1">
      <c r="A20" s="21" t="s">
        <v>378</v>
      </c>
      <c r="B20" s="141">
        <f>EKUITAS!B28</f>
        <v>0</v>
      </c>
      <c r="C20" s="21" t="s">
        <v>379</v>
      </c>
      <c r="D20" s="21" t="s">
        <v>332</v>
      </c>
      <c r="E20" s="21" t="s">
        <v>380</v>
      </c>
    </row>
    <row r="21" spans="1:5" ht="31.05" customHeight="1">
      <c r="A21" s="23" t="s">
        <v>381</v>
      </c>
      <c r="B21" s="142">
        <f ca="1">SUM(EKUITAS!$B$29:$B$31)</f>
        <v>18000000</v>
      </c>
      <c r="C21" s="23" t="s">
        <v>382</v>
      </c>
      <c r="D21" s="23" t="s">
        <v>332</v>
      </c>
      <c r="E21" s="23" t="s">
        <v>383</v>
      </c>
    </row>
    <row r="22" spans="1:5">
      <c r="A22" s="63" t="s">
        <v>650</v>
      </c>
      <c r="B22" s="143">
        <f>COUNTIF(GAJI!$A$5:$A$124,"PERIODE HARUS TANGGAL")</f>
        <v>0</v>
      </c>
      <c r="C22" s="63" t="s">
        <v>651</v>
      </c>
      <c r="D22" s="63" t="s">
        <v>332</v>
      </c>
      <c r="E22" s="63" t="s">
        <v>652</v>
      </c>
    </row>
    <row r="23" spans="1:5" ht="27.6">
      <c r="A23" s="63" t="s">
        <v>653</v>
      </c>
      <c r="B23" s="143">
        <f ca="1">ABS(ARUS_KAS!$N$30-SUM(KAS_BANK!$S$5:$S$10))</f>
        <v>2904092</v>
      </c>
      <c r="C23" s="63" t="s">
        <v>654</v>
      </c>
      <c r="D23" s="63" t="s">
        <v>354</v>
      </c>
      <c r="E23" s="63" t="s">
        <v>655</v>
      </c>
    </row>
    <row r="24" spans="1:5" ht="28.05" customHeight="1">
      <c r="A24" s="97" t="s">
        <v>656</v>
      </c>
      <c r="B24" s="144">
        <f>COUNTIF(PEMASUKAN!$R$5:$R$204,"INVOICE BELUM TERDAFTAR")</f>
        <v>0</v>
      </c>
      <c r="C24" s="97" t="s">
        <v>657</v>
      </c>
      <c r="D24" s="97" t="s">
        <v>332</v>
      </c>
      <c r="E24" s="97" t="s">
        <v>658</v>
      </c>
    </row>
    <row r="25" spans="1:5" ht="28.05" customHeight="1">
      <c r="A25" s="97" t="s">
        <v>659</v>
      </c>
      <c r="B25" s="144">
        <f>COUNTIF(PEMASUKAN!$R$5:$R$204,"PERKARA TIDAK SESUAI INVOICE")</f>
        <v>0</v>
      </c>
      <c r="C25" s="97" t="s">
        <v>657</v>
      </c>
      <c r="D25" s="97" t="s">
        <v>354</v>
      </c>
      <c r="E25" s="97" t="s">
        <v>660</v>
      </c>
    </row>
    <row r="26" spans="1:5" ht="28.05" customHeight="1">
      <c r="A26" s="97" t="s">
        <v>661</v>
      </c>
      <c r="B26" s="144">
        <f>COUNTIF(INVOICE_PIUTANG!$X$5:$X$151,"PERKARA*")</f>
        <v>0</v>
      </c>
      <c r="C26" s="97" t="s">
        <v>662</v>
      </c>
      <c r="D26" s="97" t="s">
        <v>332</v>
      </c>
      <c r="E26" s="97" t="s">
        <v>663</v>
      </c>
    </row>
    <row r="27" spans="1:5" ht="28.05" customHeight="1">
      <c r="A27" s="97" t="s">
        <v>664</v>
      </c>
      <c r="B27" s="144">
        <f>COUNTIF(PERKARA!$Z$5:$Z$104,"ID PERKARA DUPLIKAT")</f>
        <v>0</v>
      </c>
      <c r="C27" s="97" t="s">
        <v>665</v>
      </c>
      <c r="D27" s="97" t="s">
        <v>354</v>
      </c>
      <c r="E27" s="97" t="s">
        <v>666</v>
      </c>
    </row>
    <row r="28" spans="1:5" ht="28.05" customHeight="1">
      <c r="A28" s="97" t="s">
        <v>667</v>
      </c>
      <c r="B28" s="144">
        <f>COUNTIF(INVOICE_PIUTANG!$X$5:$X$151,"NOMOR INVOICE DUPLIKAT")</f>
        <v>0</v>
      </c>
      <c r="C28" s="97" t="s">
        <v>668</v>
      </c>
      <c r="D28" s="97" t="s">
        <v>354</v>
      </c>
      <c r="E28" s="97" t="s">
        <v>669</v>
      </c>
    </row>
    <row r="29" spans="1:5" ht="28.05" customHeight="1">
      <c r="A29" s="97" t="s">
        <v>670</v>
      </c>
      <c r="B29" s="144">
        <f>COUNTIF(REIMBURSE!$S$5:$S$124,"ID KLAIM DUPLIKAT")</f>
        <v>0</v>
      </c>
      <c r="C29" s="97" t="s">
        <v>671</v>
      </c>
      <c r="D29" s="97" t="s">
        <v>332</v>
      </c>
      <c r="E29" s="97" t="s">
        <v>672</v>
      </c>
    </row>
    <row r="30" spans="1:5" ht="28.05" customHeight="1">
      <c r="A30" s="97" t="s">
        <v>673</v>
      </c>
      <c r="B30" s="144">
        <f>COUNTIF(GAJI!$Z$5:$Z$124,"ID PAYROLL DUPLIKAT")</f>
        <v>0</v>
      </c>
      <c r="C30" s="97" t="s">
        <v>674</v>
      </c>
      <c r="D30" s="97" t="s">
        <v>332</v>
      </c>
      <c r="E30" s="97" t="s">
        <v>675</v>
      </c>
    </row>
    <row r="31" spans="1:5" ht="28.05" customHeight="1">
      <c r="A31" s="97" t="s">
        <v>676</v>
      </c>
      <c r="B31" s="144">
        <f ca="1">ABS(SUM(INVOICE_PIUTANG!$L$5:$L$151)-UMUR_PIUTANG!$C$11)</f>
        <v>0</v>
      </c>
      <c r="C31" s="97" t="s">
        <v>677</v>
      </c>
      <c r="D31" s="97" t="s">
        <v>354</v>
      </c>
      <c r="E31" s="97" t="s">
        <v>678</v>
      </c>
    </row>
    <row r="32" spans="1:5" ht="28.05" customHeight="1">
      <c r="A32" s="97" t="s">
        <v>679</v>
      </c>
      <c r="B32" s="144">
        <f>ABS(NERACA!$E$26)</f>
        <v>4904092</v>
      </c>
      <c r="C32" s="97" t="s">
        <v>680</v>
      </c>
      <c r="D32" s="97" t="s">
        <v>354</v>
      </c>
      <c r="E32" s="97" t="s">
        <v>681</v>
      </c>
    </row>
    <row r="33" spans="1:5" ht="28.05" customHeight="1">
      <c r="A33" s="97" t="s">
        <v>682</v>
      </c>
      <c r="B33" s="144">
        <f>COUNTIFS(TRANSFER_KAS!$B$5:$B$204,"&gt;0",TRANSFER_KAS!$M$5:$M$204,"&lt;&gt;OK")</f>
        <v>0</v>
      </c>
      <c r="C33" s="97" t="s">
        <v>683</v>
      </c>
      <c r="D33" s="97" t="s">
        <v>332</v>
      </c>
      <c r="E33" s="97" t="s">
        <v>684</v>
      </c>
    </row>
    <row r="34" spans="1:5" ht="28.05" customHeight="1">
      <c r="A34" s="97" t="s">
        <v>685</v>
      </c>
      <c r="B34" s="144">
        <f>COUNTIF(KEWAJIBAN!$F$5:$F$124,"&gt;0")-COUNTIFS(KEWAJIBAN!$F$5:$F$124,"&gt;0",KEWAJIBAN!$J$5:$J$124,"&lt;&gt;")</f>
        <v>0</v>
      </c>
      <c r="C34" s="97" t="s">
        <v>686</v>
      </c>
      <c r="D34" s="97" t="s">
        <v>332</v>
      </c>
      <c r="E34" s="97" t="s">
        <v>687</v>
      </c>
    </row>
    <row r="35" spans="1:5" ht="28.05" customHeight="1">
      <c r="A35" s="97" t="s">
        <v>688</v>
      </c>
      <c r="B35" s="144">
        <f>COUNTIF(PENGELUARAN!$Y$5:$Y$204,"ID KLAIM TIDAK TERDAFTAR")</f>
        <v>0</v>
      </c>
      <c r="C35" s="97" t="s">
        <v>689</v>
      </c>
      <c r="D35" s="97" t="s">
        <v>332</v>
      </c>
      <c r="E35" s="97" t="s">
        <v>690</v>
      </c>
    </row>
    <row r="36" spans="1:5" ht="28.05" customHeight="1">
      <c r="A36" s="97" t="s">
        <v>691</v>
      </c>
      <c r="B36" s="144">
        <f>COUNTIFS(KAS_BANK!$S$5:$S$10,"&gt;0",KAS_BANK!$O$5:$O$10,"Belum Direkonsiliasi")+COUNTIFS(KAS_BANK!$A$5:$A$10,MASTER!$G$10,KAS_BANK!$L$5:$L$10,"&gt;0",KAS_BANK!$O$5:$O$10,"Belum Direkonsiliasi")</f>
        <v>1</v>
      </c>
      <c r="C36" s="97" t="s">
        <v>692</v>
      </c>
      <c r="D36" s="97" t="s">
        <v>370</v>
      </c>
      <c r="E36" s="97" t="s">
        <v>693</v>
      </c>
    </row>
    <row r="37" spans="1:5" ht="28.05" customHeight="1">
      <c r="A37" s="97" t="s">
        <v>694</v>
      </c>
      <c r="B37" s="144">
        <f>COUNTIFS(PENGELUARAN!$B$5:$B$204,"&gt;0",PENGELUARAN!$O$5:$O$204,"Lengkap")-COUNTIFS(PENGELUARAN!$B$5:$B$204,"&gt;0",PENGELUARAN!$O$5:$O$204,"Lengkap",PENGELUARAN!$P$5:$P$204,"&lt;&gt;")</f>
        <v>0</v>
      </c>
      <c r="C37" s="97" t="s">
        <v>335</v>
      </c>
      <c r="D37" s="97" t="s">
        <v>370</v>
      </c>
      <c r="E37" s="97" t="s">
        <v>695</v>
      </c>
    </row>
    <row r="38" spans="1:5" ht="28.05" customHeight="1">
      <c r="A38" s="97" t="s">
        <v>696</v>
      </c>
      <c r="B38" s="144">
        <f>COUNTIF(ANGGARAN!$G$5:$G$232,"Belum Dianggarkan")</f>
        <v>6</v>
      </c>
      <c r="C38" s="97" t="s">
        <v>369</v>
      </c>
      <c r="D38" s="97" t="s">
        <v>370</v>
      </c>
      <c r="E38" s="97" t="s">
        <v>697</v>
      </c>
    </row>
    <row r="39" spans="1:5" ht="28.05" customHeight="1">
      <c r="A39" s="97" t="s">
        <v>698</v>
      </c>
      <c r="B39" s="144">
        <f>IF(COUNT(INVOICE_PIUTANG!$B$5:$B$151)=0,0,IF(OR(MASTER!$AF$10="",MASTER!$AF$11="",MASTER!$AF$12=""),1,0))</f>
        <v>0</v>
      </c>
      <c r="C39" s="97" t="s">
        <v>699</v>
      </c>
      <c r="D39" s="97" t="s">
        <v>370</v>
      </c>
      <c r="E39" s="97" t="s">
        <v>700</v>
      </c>
    </row>
    <row r="40" spans="1:5" ht="28.05" customHeight="1">
      <c r="A40" s="97" t="s">
        <v>701</v>
      </c>
      <c r="B40" s="144">
        <f>COUNTIF(PERKARA!$Z$5:$Z$104,"PIC PARTNER BELUM DIISI")</f>
        <v>0</v>
      </c>
      <c r="C40" s="97" t="s">
        <v>702</v>
      </c>
      <c r="D40" s="97" t="s">
        <v>370</v>
      </c>
      <c r="E40" s="97" t="s">
        <v>703</v>
      </c>
    </row>
    <row r="41" spans="1:5">
      <c r="B41" s="145"/>
    </row>
    <row r="42" spans="1:5" ht="31.05" customHeight="1">
      <c r="A42" s="117" t="s">
        <v>704</v>
      </c>
      <c r="B42" s="144">
        <f>COUNTIF(PENGELUARAN!$AC$5:$AC$204,"NAMA PENYETUJU BELUM DIISI")</f>
        <v>0</v>
      </c>
      <c r="C42" s="117" t="s">
        <v>705</v>
      </c>
      <c r="D42" s="117" t="s">
        <v>370</v>
      </c>
      <c r="E42" s="117" t="s">
        <v>706</v>
      </c>
    </row>
    <row r="43" spans="1:5" ht="31.05" customHeight="1">
      <c r="A43" s="117" t="s">
        <v>707</v>
      </c>
      <c r="B43" s="144">
        <f>COUNTIFS(PENGELUARAN!$B$5:$B$204,"&gt;0",PENGELUARAN!$Q$5:$Q$204,"&lt;&gt;Disetujui")</f>
        <v>0</v>
      </c>
      <c r="C43" s="117" t="s">
        <v>708</v>
      </c>
      <c r="D43" s="117" t="s">
        <v>332</v>
      </c>
      <c r="E43" s="117" t="s">
        <v>709</v>
      </c>
    </row>
    <row r="44" spans="1:5" ht="31.05" customHeight="1">
      <c r="A44" s="117" t="s">
        <v>710</v>
      </c>
      <c r="B44" s="144">
        <f>COUNTIF(PENGELUARAN!$AC$5:$AC$204,"NILAI DISETUJUI MELEBIHI BIAYA")</f>
        <v>0</v>
      </c>
      <c r="C44" s="117" t="s">
        <v>711</v>
      </c>
      <c r="D44" s="117" t="s">
        <v>332</v>
      </c>
      <c r="E44" s="117" t="s">
        <v>712</v>
      </c>
    </row>
    <row r="45" spans="1:5" ht="31.05" customHeight="1">
      <c r="A45" s="117" t="s">
        <v>713</v>
      </c>
      <c r="B45" s="144">
        <f>COUNTIFS(GAJI!$R$5:$R$124,"Dibayar",GAJI!$AD$5:$AD$124,"&lt;&gt;LENGKAP")</f>
        <v>0</v>
      </c>
      <c r="C45" s="117" t="s">
        <v>714</v>
      </c>
      <c r="D45" s="117" t="s">
        <v>354</v>
      </c>
      <c r="E45" s="117" t="s">
        <v>715</v>
      </c>
    </row>
    <row r="46" spans="1:5" ht="31.05" customHeight="1">
      <c r="A46" s="117" t="s">
        <v>716</v>
      </c>
      <c r="B46" s="144">
        <f>COUNTIFS(REIMBURSE!$J$5:$J$124,"&gt;0",REIMBURSE!$W$5:$W$124,"&lt;&gt;LENGKAP")</f>
        <v>0</v>
      </c>
      <c r="C46" s="117" t="s">
        <v>717</v>
      </c>
      <c r="D46" s="117" t="s">
        <v>354</v>
      </c>
      <c r="E46" s="117" t="s">
        <v>718</v>
      </c>
    </row>
    <row r="47" spans="1:5" ht="31.05" customHeight="1">
      <c r="A47" s="117" t="s">
        <v>719</v>
      </c>
      <c r="B47" s="144">
        <f>COUNTIF(REIMBURSE!$S$5:$S$124,"PEMBAYARAN MELEBIHI PERSETUJUAN")</f>
        <v>0</v>
      </c>
      <c r="C47" s="117" t="s">
        <v>720</v>
      </c>
      <c r="D47" s="117" t="s">
        <v>354</v>
      </c>
      <c r="E47" s="117" t="s">
        <v>721</v>
      </c>
    </row>
    <row r="48" spans="1:5" ht="31.05" customHeight="1">
      <c r="A48" s="117" t="s">
        <v>722</v>
      </c>
      <c r="B48" s="144">
        <f>COUNTIFS(INVOICE_PIUTANG!$B$5:$B$151,"&gt;0",INVOICE_PIUTANG!$AC$5:$AC$151,"&lt;&gt;LENGKAP")</f>
        <v>0</v>
      </c>
      <c r="C48" s="117" t="s">
        <v>723</v>
      </c>
      <c r="D48" s="117" t="s">
        <v>370</v>
      </c>
      <c r="E48" s="117" t="s">
        <v>724</v>
      </c>
    </row>
    <row r="49" spans="1:5" ht="31.05" customHeight="1">
      <c r="A49" s="117" t="s">
        <v>725</v>
      </c>
      <c r="B49" s="144">
        <f>COUNTIFS(DANA_KLIEN!$H$5:$H$154,"&gt;0",DANA_KLIEN!$S$5:$S$154,"&lt;&gt;LENGKAP")</f>
        <v>0</v>
      </c>
      <c r="C49" s="117" t="s">
        <v>726</v>
      </c>
      <c r="D49" s="117" t="s">
        <v>354</v>
      </c>
      <c r="E49" s="117" t="s">
        <v>727</v>
      </c>
    </row>
    <row r="50" spans="1:5" ht="31.05" customHeight="1">
      <c r="A50" s="117" t="s">
        <v>728</v>
      </c>
      <c r="B50" s="144">
        <f>COUNTIFS(PARTNER!$I$5:$I$124,"&gt;0",PARTNER!$U$5:$U$124,"&lt;&gt;LENGKAP")</f>
        <v>0</v>
      </c>
      <c r="C50" s="117" t="s">
        <v>729</v>
      </c>
      <c r="D50" s="117" t="s">
        <v>332</v>
      </c>
      <c r="E50" s="117" t="s">
        <v>730</v>
      </c>
    </row>
    <row r="51" spans="1:5" ht="31.05" customHeight="1">
      <c r="A51" s="117" t="s">
        <v>731</v>
      </c>
      <c r="B51" s="144">
        <f>COUNTIFS(KEWAJIBAN!$F$5:$F$124,"&gt;0",KEWAJIBAN!$W$5:$W$124,"&lt;&gt;LENGKAP")</f>
        <v>0</v>
      </c>
      <c r="C51" s="117" t="s">
        <v>732</v>
      </c>
      <c r="D51" s="117" t="s">
        <v>332</v>
      </c>
      <c r="E51" s="117" t="s">
        <v>733</v>
      </c>
    </row>
    <row r="52" spans="1:5" ht="31.05" customHeight="1">
      <c r="A52" s="117" t="s">
        <v>734</v>
      </c>
      <c r="B52" s="144">
        <f>COUNTIFS(TRANSFER_KAS!$F$5:$F$204,"&gt;0",TRANSFER_KAS!$R$5:$R$204,"&lt;&gt;LENGKAP")</f>
        <v>0</v>
      </c>
      <c r="C52" s="117" t="s">
        <v>735</v>
      </c>
      <c r="D52" s="117" t="s">
        <v>332</v>
      </c>
      <c r="E52" s="117" t="s">
        <v>736</v>
      </c>
    </row>
    <row r="53" spans="1:5" ht="31.05" customHeight="1">
      <c r="A53" s="117" t="s">
        <v>737</v>
      </c>
      <c r="B53" s="144">
        <f>COUNTIFS(PEMASUKAN!$B$5:$B$204,"&gt;0",PEMASUKAN!$V$5:$V$204,"&lt;&gt;LENGKAP")</f>
        <v>0</v>
      </c>
      <c r="C53" s="117" t="s">
        <v>738</v>
      </c>
      <c r="D53" s="117" t="s">
        <v>332</v>
      </c>
      <c r="E53" s="117" t="s">
        <v>739</v>
      </c>
    </row>
    <row r="54" spans="1:5" ht="31.05" customHeight="1">
      <c r="A54" s="117" t="s">
        <v>740</v>
      </c>
      <c r="B54" s="144">
        <f>ABS(LABA_RUGI!$N$39-EKUITAS!$I$8-LABA_RUGI!$N$26)</f>
        <v>0</v>
      </c>
      <c r="C54" s="117" t="s">
        <v>741</v>
      </c>
      <c r="D54" s="117" t="s">
        <v>354</v>
      </c>
      <c r="E54" s="117" t="s">
        <v>742</v>
      </c>
    </row>
    <row r="55" spans="1:5" ht="31.05" customHeight="1">
      <c r="A55" s="117" t="s">
        <v>743</v>
      </c>
      <c r="B55" s="144">
        <f ca="1">ABS(LABA_RUGI!$N$42-ARUS_KAS!$N$30)</f>
        <v>0</v>
      </c>
      <c r="C55" s="117" t="s">
        <v>744</v>
      </c>
      <c r="D55" s="117" t="s">
        <v>354</v>
      </c>
      <c r="E55" s="117" t="s">
        <v>745</v>
      </c>
    </row>
    <row r="56" spans="1:5" ht="31.05" customHeight="1">
      <c r="A56" s="117" t="s">
        <v>746</v>
      </c>
      <c r="B56" s="144">
        <f>IF(COUNTIFS(PENGELUARAN!$G$5:$G$204,"Peralatan Kantor",PENGELUARAN!$K$5:$K$204,"&gt;0")&gt;0,1,0)</f>
        <v>1</v>
      </c>
      <c r="C56" s="117" t="s">
        <v>747</v>
      </c>
      <c r="D56" s="117" t="s">
        <v>370</v>
      </c>
      <c r="E56" s="117" t="s">
        <v>748</v>
      </c>
    </row>
    <row r="57" spans="1:5" ht="31.05" customHeight="1">
      <c r="A57" s="129" t="s">
        <v>749</v>
      </c>
      <c r="B57" s="146">
        <f>ABS(SALDO_AWAL_2026!B29)</f>
        <v>0</v>
      </c>
      <c r="C57" s="129" t="s">
        <v>750</v>
      </c>
      <c r="D57" s="129" t="s">
        <v>354</v>
      </c>
      <c r="E57" s="129" t="s">
        <v>751</v>
      </c>
    </row>
    <row r="58" spans="1:5" ht="28.95" customHeight="1">
      <c r="A58" s="133" t="s">
        <v>752</v>
      </c>
      <c r="B58" s="147">
        <f>COUNTIF(REIMBURSE!$J$5:$J$124,"&gt;0")-COUNTIFS(REIMBURSE!$J$5:$J$124,"&gt;0",REIMBURSE!$N$5:$N$124,"&gt;0")</f>
        <v>0</v>
      </c>
      <c r="C58" s="133" t="s">
        <v>753</v>
      </c>
      <c r="D58" s="134" t="s">
        <v>332</v>
      </c>
      <c r="E58" s="135" t="s">
        <v>754</v>
      </c>
    </row>
    <row r="59" spans="1:5" ht="28.95" customHeight="1">
      <c r="A59" s="136" t="s">
        <v>755</v>
      </c>
      <c r="B59" s="148">
        <f>COUNTIF(GAJI!$R$5:$R$124,"Dibayar")-COUNTIFS(GAJI!$R$5:$R$124,"Dibayar",GAJI!$S$5:$S$124,"&gt;0")</f>
        <v>0</v>
      </c>
      <c r="C59" s="136" t="s">
        <v>756</v>
      </c>
      <c r="D59" s="137" t="s">
        <v>332</v>
      </c>
      <c r="E59" s="138" t="s">
        <v>757</v>
      </c>
    </row>
    <row r="60" spans="1:5" ht="28.95" customHeight="1">
      <c r="A60" s="133" t="s">
        <v>758</v>
      </c>
      <c r="B60" s="147">
        <f>COUNTIF(KEWAJIBAN!$F$5:$F$124,"&gt;0")-COUNTIFS(KEWAJIBAN!$F$5:$F$124,"&gt;0",KEWAJIBAN!$I$5:$I$124,"&gt;0")</f>
        <v>0</v>
      </c>
      <c r="C60" s="133" t="s">
        <v>759</v>
      </c>
      <c r="D60" s="134" t="s">
        <v>332</v>
      </c>
      <c r="E60" s="135" t="s">
        <v>760</v>
      </c>
    </row>
    <row r="61" spans="1:5" ht="28.95" customHeight="1">
      <c r="A61" s="136" t="s">
        <v>761</v>
      </c>
      <c r="B61" s="148">
        <f ca="1">SUM(DASHBOARD!$N$17:$N$28)</f>
        <v>0</v>
      </c>
      <c r="C61" s="136" t="s">
        <v>762</v>
      </c>
      <c r="D61" s="139" t="s">
        <v>354</v>
      </c>
      <c r="E61" s="138" t="s">
        <v>763</v>
      </c>
    </row>
    <row r="62" spans="1:5" ht="28.95" customHeight="1">
      <c r="A62" s="133" t="s">
        <v>764</v>
      </c>
      <c r="B62" s="147">
        <f>COUNTIF(PARTNER!$I$5:$I$124,"&gt;0")-COUNTIFS(PARTNER!$I$5:$I$124,"&gt;0",PARTNER!$L$5:$L$124,"&lt;&gt;")</f>
        <v>0</v>
      </c>
      <c r="C62" s="133" t="s">
        <v>765</v>
      </c>
      <c r="D62" s="134" t="s">
        <v>332</v>
      </c>
      <c r="E62" s="135" t="s">
        <v>766</v>
      </c>
    </row>
    <row r="63" spans="1:5" ht="28.95" customHeight="1">
      <c r="A63" s="136" t="s">
        <v>767</v>
      </c>
      <c r="B63" s="148">
        <f>COUNTIF(PARTNER!$I$5:$I$124,"&gt;0")-COUNTIFS(PARTNER!$I$5:$I$124,"&gt;0",PARTNER!$E$5:$E$124,"&lt;&gt;")</f>
        <v>0</v>
      </c>
      <c r="C63" s="136" t="s">
        <v>768</v>
      </c>
      <c r="D63" s="137" t="s">
        <v>332</v>
      </c>
      <c r="E63" s="138" t="s">
        <v>769</v>
      </c>
    </row>
    <row r="64" spans="1:5" ht="28.95" customHeight="1">
      <c r="A64" s="133" t="s">
        <v>770</v>
      </c>
      <c r="B64" s="147">
        <f>COUNTIF(PARTNER!$I$5:$I$124,"&gt;0")-COUNTIFS(PARTNER!$I$5:$I$124,"&gt;0",PARTNER!$K$5:$K$124,"&gt;0")</f>
        <v>0</v>
      </c>
      <c r="C64" s="133" t="s">
        <v>771</v>
      </c>
      <c r="D64" s="140" t="s">
        <v>370</v>
      </c>
      <c r="E64" s="135" t="s">
        <v>772</v>
      </c>
    </row>
    <row r="65" spans="1:5" ht="28.95" customHeight="1">
      <c r="A65" s="136" t="s">
        <v>773</v>
      </c>
      <c r="B65" s="148">
        <f ca="1">ABS(EKUITAS!N20-SUM(DASHBOARD!$J$17:$J$28))</f>
        <v>0</v>
      </c>
      <c r="C65" s="136" t="s">
        <v>774</v>
      </c>
      <c r="D65" s="139" t="s">
        <v>354</v>
      </c>
      <c r="E65" s="138" t="s">
        <v>775</v>
      </c>
    </row>
    <row r="67" spans="1:5" ht="22.05" customHeight="1">
      <c r="A67" s="354" t="s">
        <v>776</v>
      </c>
      <c r="B67" s="354" t="s">
        <v>776</v>
      </c>
      <c r="C67" s="354" t="s">
        <v>776</v>
      </c>
      <c r="D67" s="354" t="s">
        <v>776</v>
      </c>
      <c r="E67" s="354" t="s">
        <v>776</v>
      </c>
    </row>
    <row r="68" spans="1:5" ht="30" customHeight="1">
      <c r="A68" s="374" t="str">
        <f ca="1">IF(SUMIFS($B$5:$B$65,$D$5:$D$65,"Kritis")+SUMIFS($B$5:$B$65,$D$5:$D$65,"Tinggi")&gt;0,"PERIKSA — ADA TEMUAN KRITIS / TINGGI",IF(SUMIFS($B$5:$B$65,$D$5:$D$65,"Sedang")&gt;0,"RUMUS SESUAI — ADA DATA ADMINISTRATIF","SELURUH KONTROL SESUAI"))</f>
        <v>PERIKSA — ADA TEMUAN KRITIS / TINGGI</v>
      </c>
      <c r="B68" s="375"/>
      <c r="C68" s="375"/>
      <c r="D68" s="375"/>
      <c r="E68" s="376"/>
    </row>
  </sheetData>
  <mergeCells count="4">
    <mergeCell ref="A3:E3"/>
    <mergeCell ref="A1:E2"/>
    <mergeCell ref="A67:E67"/>
    <mergeCell ref="A68:E68"/>
  </mergeCells>
  <conditionalFormatting sqref="B5:B21">
    <cfRule type="cellIs" dxfId="0" priority="1" operator="greater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2"/>
  <sheetViews>
    <sheetView showGridLines="0" topLeftCell="U1" workbookViewId="0">
      <selection activeCell="AF18" sqref="AF18"/>
    </sheetView>
  </sheetViews>
  <sheetFormatPr defaultRowHeight="13.8"/>
  <cols>
    <col min="1" max="1" width="22" customWidth="1"/>
    <col min="2" max="2" width="3" customWidth="1"/>
    <col min="3" max="3" width="25" customWidth="1"/>
    <col min="4" max="4" width="3" customWidth="1"/>
    <col min="5" max="5" width="24" customWidth="1"/>
    <col min="6" max="6" width="3" customWidth="1"/>
    <col min="7" max="7" width="21" customWidth="1"/>
    <col min="8" max="8" width="3" customWidth="1"/>
    <col min="9" max="9" width="20" customWidth="1"/>
    <col min="10" max="10" width="3" customWidth="1"/>
    <col min="11" max="11" width="20" customWidth="1"/>
    <col min="12" max="12" width="3" customWidth="1"/>
    <col min="13" max="13" width="20" customWidth="1"/>
    <col min="14" max="14" width="3" customWidth="1"/>
    <col min="15" max="15" width="20" customWidth="1"/>
    <col min="16" max="16" width="3" customWidth="1"/>
    <col min="17" max="17" width="12" customWidth="1"/>
    <col min="18" max="18" width="3" customWidth="1"/>
    <col min="19" max="19" width="22" customWidth="1"/>
    <col min="20" max="20" width="3" customWidth="1"/>
    <col min="21" max="21" width="22" customWidth="1"/>
    <col min="22" max="22" width="3" customWidth="1"/>
    <col min="23" max="23" width="27" customWidth="1"/>
    <col min="24" max="24" width="3" customWidth="1"/>
    <col min="25" max="25" width="27" customWidth="1"/>
    <col min="26" max="26" width="3" customWidth="1"/>
    <col min="27" max="27" width="22" customWidth="1"/>
    <col min="28" max="28" width="3" customWidth="1"/>
    <col min="29" max="29" width="18" customWidth="1"/>
    <col min="30" max="30" width="3" customWidth="1"/>
    <col min="31" max="31" width="38" customWidth="1"/>
    <col min="32" max="32" width="16" customWidth="1"/>
  </cols>
  <sheetData>
    <row r="1" spans="1:32" ht="25.05" customHeight="1">
      <c r="A1" s="237" t="s">
        <v>384</v>
      </c>
      <c r="B1" s="237" t="s">
        <v>384</v>
      </c>
      <c r="C1" s="237" t="s">
        <v>384</v>
      </c>
      <c r="D1" s="237" t="s">
        <v>384</v>
      </c>
      <c r="E1" s="237" t="s">
        <v>384</v>
      </c>
      <c r="F1" s="237" t="s">
        <v>384</v>
      </c>
      <c r="G1" s="237" t="s">
        <v>384</v>
      </c>
      <c r="H1" s="237" t="s">
        <v>384</v>
      </c>
      <c r="I1" s="237" t="s">
        <v>384</v>
      </c>
      <c r="J1" s="237" t="s">
        <v>384</v>
      </c>
      <c r="K1" s="237" t="s">
        <v>384</v>
      </c>
      <c r="L1" s="237" t="s">
        <v>384</v>
      </c>
      <c r="M1" s="237" t="s">
        <v>384</v>
      </c>
      <c r="N1" s="237" t="s">
        <v>384</v>
      </c>
      <c r="O1" s="237" t="s">
        <v>384</v>
      </c>
      <c r="P1" s="237" t="s">
        <v>384</v>
      </c>
      <c r="Q1" s="237" t="s">
        <v>384</v>
      </c>
      <c r="R1" s="237" t="s">
        <v>384</v>
      </c>
      <c r="S1" s="237" t="s">
        <v>384</v>
      </c>
      <c r="T1" s="237" t="s">
        <v>384</v>
      </c>
      <c r="U1" s="237" t="s">
        <v>384</v>
      </c>
      <c r="V1" s="237" t="s">
        <v>384</v>
      </c>
      <c r="W1" s="237" t="s">
        <v>384</v>
      </c>
      <c r="X1" s="237" t="s">
        <v>384</v>
      </c>
      <c r="Y1" s="237" t="s">
        <v>384</v>
      </c>
      <c r="Z1" s="237" t="s">
        <v>384</v>
      </c>
      <c r="AA1" s="237" t="s">
        <v>384</v>
      </c>
      <c r="AB1" s="237" t="s">
        <v>384</v>
      </c>
      <c r="AC1" s="237" t="s">
        <v>384</v>
      </c>
      <c r="AD1" s="237" t="s">
        <v>384</v>
      </c>
      <c r="AE1" s="237" t="s">
        <v>384</v>
      </c>
      <c r="AF1" s="237" t="s">
        <v>384</v>
      </c>
    </row>
    <row r="2" spans="1:32" ht="25.05" customHeight="1">
      <c r="A2" s="237" t="s">
        <v>384</v>
      </c>
      <c r="B2" s="237" t="s">
        <v>384</v>
      </c>
      <c r="C2" s="237" t="s">
        <v>384</v>
      </c>
      <c r="D2" s="237" t="s">
        <v>384</v>
      </c>
      <c r="E2" s="237" t="s">
        <v>384</v>
      </c>
      <c r="F2" s="237" t="s">
        <v>384</v>
      </c>
      <c r="G2" s="237" t="s">
        <v>384</v>
      </c>
      <c r="H2" s="237" t="s">
        <v>384</v>
      </c>
      <c r="I2" s="237" t="s">
        <v>384</v>
      </c>
      <c r="J2" s="237" t="s">
        <v>384</v>
      </c>
      <c r="K2" s="237" t="s">
        <v>384</v>
      </c>
      <c r="L2" s="237" t="s">
        <v>384</v>
      </c>
      <c r="M2" s="237" t="s">
        <v>384</v>
      </c>
      <c r="N2" s="237" t="s">
        <v>384</v>
      </c>
      <c r="O2" s="237" t="s">
        <v>384</v>
      </c>
      <c r="P2" s="237" t="s">
        <v>384</v>
      </c>
      <c r="Q2" s="237" t="s">
        <v>384</v>
      </c>
      <c r="R2" s="237" t="s">
        <v>384</v>
      </c>
      <c r="S2" s="237" t="s">
        <v>384</v>
      </c>
      <c r="T2" s="237" t="s">
        <v>384</v>
      </c>
      <c r="U2" s="237" t="s">
        <v>384</v>
      </c>
      <c r="V2" s="237" t="s">
        <v>384</v>
      </c>
      <c r="W2" s="237" t="s">
        <v>384</v>
      </c>
      <c r="X2" s="237" t="s">
        <v>384</v>
      </c>
      <c r="Y2" s="237" t="s">
        <v>384</v>
      </c>
      <c r="Z2" s="237" t="s">
        <v>384</v>
      </c>
      <c r="AA2" s="237" t="s">
        <v>384</v>
      </c>
      <c r="AB2" s="237" t="s">
        <v>384</v>
      </c>
      <c r="AC2" s="237" t="s">
        <v>384</v>
      </c>
      <c r="AD2" s="237" t="s">
        <v>384</v>
      </c>
      <c r="AE2" s="237" t="s">
        <v>384</v>
      </c>
      <c r="AF2" s="237" t="s">
        <v>384</v>
      </c>
    </row>
    <row r="3" spans="1:32" ht="22.95" customHeight="1">
      <c r="A3" s="236" t="s">
        <v>385</v>
      </c>
      <c r="B3" s="236" t="s">
        <v>385</v>
      </c>
      <c r="C3" s="236" t="s">
        <v>385</v>
      </c>
      <c r="D3" s="236" t="s">
        <v>385</v>
      </c>
      <c r="E3" s="236" t="s">
        <v>385</v>
      </c>
      <c r="F3" s="236" t="s">
        <v>385</v>
      </c>
      <c r="G3" s="236" t="s">
        <v>385</v>
      </c>
      <c r="H3" s="236" t="s">
        <v>385</v>
      </c>
      <c r="I3" s="236" t="s">
        <v>385</v>
      </c>
      <c r="J3" s="236" t="s">
        <v>385</v>
      </c>
      <c r="K3" s="236" t="s">
        <v>385</v>
      </c>
      <c r="L3" s="236" t="s">
        <v>385</v>
      </c>
      <c r="M3" s="236" t="s">
        <v>385</v>
      </c>
      <c r="N3" s="236" t="s">
        <v>385</v>
      </c>
      <c r="O3" s="236" t="s">
        <v>385</v>
      </c>
      <c r="P3" s="236" t="s">
        <v>385</v>
      </c>
      <c r="Q3" s="236" t="s">
        <v>385</v>
      </c>
      <c r="R3" s="236" t="s">
        <v>385</v>
      </c>
      <c r="S3" s="236" t="s">
        <v>385</v>
      </c>
      <c r="T3" s="236" t="s">
        <v>385</v>
      </c>
      <c r="U3" s="236" t="s">
        <v>385</v>
      </c>
      <c r="V3" s="236" t="s">
        <v>385</v>
      </c>
      <c r="W3" s="236" t="s">
        <v>385</v>
      </c>
      <c r="X3" s="236" t="s">
        <v>385</v>
      </c>
      <c r="Y3" s="236" t="s">
        <v>385</v>
      </c>
      <c r="Z3" s="236" t="s">
        <v>385</v>
      </c>
      <c r="AA3" s="236" t="s">
        <v>385</v>
      </c>
      <c r="AB3" s="236" t="s">
        <v>385</v>
      </c>
      <c r="AC3" s="236" t="s">
        <v>385</v>
      </c>
      <c r="AD3" s="236" t="s">
        <v>385</v>
      </c>
      <c r="AE3" s="236" t="s">
        <v>385</v>
      </c>
    </row>
    <row r="4" spans="1:32">
      <c r="A4" s="1" t="s">
        <v>386</v>
      </c>
      <c r="C4" s="1" t="s">
        <v>387</v>
      </c>
      <c r="E4" s="1" t="s">
        <v>388</v>
      </c>
      <c r="G4" s="1" t="s">
        <v>389</v>
      </c>
      <c r="I4" s="1" t="s">
        <v>390</v>
      </c>
      <c r="K4" s="1" t="s">
        <v>391</v>
      </c>
      <c r="M4" s="1" t="s">
        <v>392</v>
      </c>
      <c r="O4" s="1" t="s">
        <v>393</v>
      </c>
      <c r="Q4" s="1" t="s">
        <v>394</v>
      </c>
      <c r="S4" s="1" t="s">
        <v>395</v>
      </c>
      <c r="U4" s="1" t="s">
        <v>396</v>
      </c>
      <c r="W4" s="1" t="s">
        <v>397</v>
      </c>
      <c r="Y4" s="1" t="s">
        <v>398</v>
      </c>
      <c r="AA4" s="1" t="s">
        <v>399</v>
      </c>
      <c r="AC4" s="1" t="s">
        <v>400</v>
      </c>
      <c r="AE4" s="4" t="s">
        <v>401</v>
      </c>
    </row>
    <row r="5" spans="1:32">
      <c r="A5" s="2" t="s">
        <v>577</v>
      </c>
      <c r="C5" s="2" t="s">
        <v>280</v>
      </c>
      <c r="E5" s="2" t="s">
        <v>288</v>
      </c>
      <c r="G5" s="2" t="s">
        <v>182</v>
      </c>
      <c r="I5" s="2" t="s">
        <v>777</v>
      </c>
      <c r="K5" s="2" t="s">
        <v>778</v>
      </c>
      <c r="M5" s="2" t="s">
        <v>779</v>
      </c>
      <c r="O5" s="2" t="s">
        <v>780</v>
      </c>
      <c r="Q5" s="2" t="s">
        <v>781</v>
      </c>
      <c r="S5" s="2" t="s">
        <v>782</v>
      </c>
      <c r="U5" s="2" t="s">
        <v>783</v>
      </c>
      <c r="W5" s="2" t="s">
        <v>784</v>
      </c>
      <c r="Y5" s="2" t="s">
        <v>216</v>
      </c>
      <c r="AA5" s="2" t="s">
        <v>450</v>
      </c>
      <c r="AC5" s="2" t="s">
        <v>785</v>
      </c>
      <c r="AE5" t="s">
        <v>786</v>
      </c>
      <c r="AF5" s="6">
        <v>5</v>
      </c>
    </row>
    <row r="6" spans="1:32">
      <c r="A6" s="2" t="s">
        <v>787</v>
      </c>
      <c r="C6" s="2" t="s">
        <v>281</v>
      </c>
      <c r="E6" s="2" t="s">
        <v>788</v>
      </c>
      <c r="G6" s="2" t="s">
        <v>183</v>
      </c>
      <c r="I6" s="2" t="s">
        <v>789</v>
      </c>
      <c r="K6" s="2" t="s">
        <v>790</v>
      </c>
      <c r="M6" s="2" t="s">
        <v>791</v>
      </c>
      <c r="O6" s="2" t="s">
        <v>100</v>
      </c>
      <c r="Q6" s="3" t="s">
        <v>792</v>
      </c>
      <c r="S6" s="2" t="s">
        <v>793</v>
      </c>
      <c r="U6" s="2" t="s">
        <v>794</v>
      </c>
      <c r="W6" s="2" t="s">
        <v>795</v>
      </c>
      <c r="Y6" s="2" t="s">
        <v>217</v>
      </c>
      <c r="AA6" s="2" t="s">
        <v>796</v>
      </c>
      <c r="AC6" s="2" t="s">
        <v>578</v>
      </c>
      <c r="AE6" t="s">
        <v>797</v>
      </c>
      <c r="AF6" s="6">
        <v>5</v>
      </c>
    </row>
    <row r="7" spans="1:32">
      <c r="A7" s="2" t="s">
        <v>798</v>
      </c>
      <c r="C7" s="2" t="s">
        <v>282</v>
      </c>
      <c r="E7" s="2" t="s">
        <v>799</v>
      </c>
      <c r="G7" s="2" t="s">
        <v>184</v>
      </c>
      <c r="I7" s="2" t="s">
        <v>800</v>
      </c>
      <c r="K7" s="3" t="s">
        <v>801</v>
      </c>
      <c r="M7" s="2" t="s">
        <v>646</v>
      </c>
      <c r="O7" s="3" t="s">
        <v>214</v>
      </c>
      <c r="S7" s="2" t="s">
        <v>802</v>
      </c>
      <c r="U7" s="2" t="s">
        <v>803</v>
      </c>
      <c r="W7" s="2" t="s">
        <v>804</v>
      </c>
      <c r="Y7" s="2" t="s">
        <v>805</v>
      </c>
      <c r="AA7" s="2" t="s">
        <v>806</v>
      </c>
      <c r="AC7" s="2" t="s">
        <v>807</v>
      </c>
      <c r="AE7" t="s">
        <v>808</v>
      </c>
      <c r="AF7" s="6">
        <v>2026</v>
      </c>
    </row>
    <row r="8" spans="1:32">
      <c r="A8" s="2" t="s">
        <v>182</v>
      </c>
      <c r="C8" s="2" t="s">
        <v>283</v>
      </c>
      <c r="E8" s="2" t="s">
        <v>289</v>
      </c>
      <c r="G8" s="2" t="s">
        <v>185</v>
      </c>
      <c r="I8" s="2" t="s">
        <v>809</v>
      </c>
      <c r="M8" s="3" t="s">
        <v>810</v>
      </c>
      <c r="S8" s="2" t="s">
        <v>811</v>
      </c>
      <c r="U8" s="3" t="s">
        <v>812</v>
      </c>
      <c r="W8" s="3" t="s">
        <v>813</v>
      </c>
      <c r="Y8" s="2" t="s">
        <v>814</v>
      </c>
      <c r="AA8" s="2" t="s">
        <v>815</v>
      </c>
      <c r="AC8" s="2" t="s">
        <v>812</v>
      </c>
      <c r="AE8" t="s">
        <v>816</v>
      </c>
      <c r="AF8" t="s">
        <v>817</v>
      </c>
    </row>
    <row r="9" spans="1:32">
      <c r="A9" s="3" t="s">
        <v>818</v>
      </c>
      <c r="C9" s="2" t="s">
        <v>74</v>
      </c>
      <c r="E9" s="2" t="s">
        <v>290</v>
      </c>
      <c r="G9" s="2" t="s">
        <v>186</v>
      </c>
      <c r="I9" s="2" t="s">
        <v>819</v>
      </c>
      <c r="S9" s="3" t="s">
        <v>820</v>
      </c>
      <c r="Y9" s="2" t="s">
        <v>528</v>
      </c>
      <c r="AA9" s="2" t="s">
        <v>821</v>
      </c>
      <c r="AC9" s="3" t="s">
        <v>822</v>
      </c>
      <c r="AE9" t="s">
        <v>823</v>
      </c>
      <c r="AF9" s="64">
        <v>5</v>
      </c>
    </row>
    <row r="10" spans="1:32">
      <c r="C10" s="2" t="s">
        <v>824</v>
      </c>
      <c r="E10" s="2" t="s">
        <v>825</v>
      </c>
      <c r="G10" s="3" t="s">
        <v>187</v>
      </c>
      <c r="I10" s="3" t="s">
        <v>826</v>
      </c>
      <c r="Y10" s="3" t="s">
        <v>827</v>
      </c>
      <c r="AA10" s="2" t="s">
        <v>828</v>
      </c>
      <c r="AE10" t="s">
        <v>829</v>
      </c>
      <c r="AF10" s="220" t="s">
        <v>830</v>
      </c>
    </row>
    <row r="11" spans="1:32">
      <c r="C11" s="2" t="s">
        <v>245</v>
      </c>
      <c r="E11" s="2" t="s">
        <v>291</v>
      </c>
      <c r="AA11" s="3" t="s">
        <v>642</v>
      </c>
      <c r="AE11" t="s">
        <v>831</v>
      </c>
      <c r="AF11" s="220">
        <v>8090324935</v>
      </c>
    </row>
    <row r="12" spans="1:32">
      <c r="C12" s="2" t="s">
        <v>832</v>
      </c>
      <c r="E12" s="2" t="s">
        <v>833</v>
      </c>
      <c r="AE12" t="s">
        <v>834</v>
      </c>
      <c r="AF12" s="220" t="s">
        <v>835</v>
      </c>
    </row>
    <row r="13" spans="1:32">
      <c r="C13" s="3" t="s">
        <v>836</v>
      </c>
      <c r="E13" s="2" t="s">
        <v>837</v>
      </c>
      <c r="AE13" t="s">
        <v>838</v>
      </c>
      <c r="AF13" s="220" t="s">
        <v>839</v>
      </c>
    </row>
    <row r="14" spans="1:32">
      <c r="E14" s="2" t="s">
        <v>840</v>
      </c>
      <c r="AE14" t="s">
        <v>841</v>
      </c>
      <c r="AF14" s="220" t="s">
        <v>842</v>
      </c>
    </row>
    <row r="15" spans="1:32">
      <c r="E15" s="2" t="s">
        <v>287</v>
      </c>
      <c r="AE15" t="s">
        <v>843</v>
      </c>
      <c r="AF15" s="118">
        <f ca="1">IF(AF7&lt;YEAR(TODAY()),12,IF(AF7&gt;YEAR(TODAY()),0,MONTH(TODAY())))</f>
        <v>8</v>
      </c>
    </row>
    <row r="16" spans="1:32">
      <c r="E16" s="2" t="s">
        <v>844</v>
      </c>
    </row>
    <row r="17" spans="5:5">
      <c r="E17" s="2" t="s">
        <v>845</v>
      </c>
    </row>
    <row r="18" spans="5:5">
      <c r="E18" s="2" t="s">
        <v>294</v>
      </c>
    </row>
    <row r="19" spans="5:5">
      <c r="E19" s="2" t="s">
        <v>846</v>
      </c>
    </row>
    <row r="20" spans="5:5">
      <c r="E20" s="2" t="s">
        <v>847</v>
      </c>
    </row>
    <row r="21" spans="5:5">
      <c r="E21" s="2" t="s">
        <v>848</v>
      </c>
    </row>
    <row r="22" spans="5:5">
      <c r="E22" s="3" t="s">
        <v>849</v>
      </c>
    </row>
  </sheetData>
  <mergeCells count="2">
    <mergeCell ref="A3:AE3"/>
    <mergeCell ref="A1:AF2"/>
  </mergeCells>
  <dataValidations count="1">
    <dataValidation type="whole" sqref="AF15" xr:uid="{00000000-0002-0000-1100-000000000000}">
      <formula1>1</formula1>
      <formula2>12</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55"/>
  <sheetViews>
    <sheetView showGridLines="0" workbookViewId="0"/>
  </sheetViews>
  <sheetFormatPr defaultRowHeight="13.8"/>
  <cols>
    <col min="1" max="1" width="3.3984375" customWidth="1"/>
    <col min="2" max="11" width="9.5" customWidth="1"/>
    <col min="12" max="12" width="3.3984375" customWidth="1"/>
  </cols>
  <sheetData>
    <row r="1" spans="1:12" ht="7.95" customHeight="1">
      <c r="A1" s="30"/>
      <c r="B1" s="30"/>
      <c r="C1" s="30"/>
      <c r="D1" s="30"/>
      <c r="E1" s="30"/>
      <c r="F1" s="30"/>
      <c r="G1" s="30"/>
      <c r="H1" s="30"/>
      <c r="I1" s="30"/>
      <c r="J1" s="30"/>
      <c r="K1" s="30"/>
      <c r="L1" s="30"/>
    </row>
    <row r="2" spans="1:12" ht="16.95" customHeight="1">
      <c r="A2" s="31"/>
      <c r="B2" s="32"/>
      <c r="C2" s="32"/>
      <c r="D2" s="32"/>
      <c r="E2" s="32"/>
      <c r="F2" s="32"/>
      <c r="G2" s="32"/>
      <c r="H2" s="32"/>
      <c r="I2" s="32"/>
      <c r="J2" s="32"/>
      <c r="K2" s="32"/>
      <c r="L2" s="33"/>
    </row>
    <row r="3" spans="1:12" ht="16.95" customHeight="1">
      <c r="A3" s="34"/>
      <c r="B3" s="348"/>
      <c r="C3" s="348"/>
      <c r="D3" s="348"/>
      <c r="E3" s="348"/>
      <c r="F3" s="348"/>
      <c r="G3" s="39"/>
      <c r="H3" s="392" t="s">
        <v>402</v>
      </c>
      <c r="I3" s="392" t="s">
        <v>402</v>
      </c>
      <c r="J3" s="392" t="s">
        <v>402</v>
      </c>
      <c r="K3" s="392" t="s">
        <v>402</v>
      </c>
      <c r="L3" s="35"/>
    </row>
    <row r="4" spans="1:12" ht="16.95" customHeight="1">
      <c r="A4" s="34"/>
      <c r="B4" s="348"/>
      <c r="C4" s="348"/>
      <c r="D4" s="348"/>
      <c r="E4" s="348"/>
      <c r="F4" s="348"/>
      <c r="G4" s="39"/>
      <c r="H4" s="393" t="s">
        <v>403</v>
      </c>
      <c r="I4" s="393" t="s">
        <v>403</v>
      </c>
      <c r="J4" s="393" t="s">
        <v>403</v>
      </c>
      <c r="K4" s="393" t="s">
        <v>403</v>
      </c>
      <c r="L4" s="35"/>
    </row>
    <row r="5" spans="1:12" ht="16.95" customHeight="1">
      <c r="A5" s="34"/>
      <c r="B5" s="348"/>
      <c r="C5" s="348"/>
      <c r="D5" s="348"/>
      <c r="E5" s="348"/>
      <c r="F5" s="348"/>
      <c r="G5" s="39"/>
      <c r="H5" s="393" t="s">
        <v>404</v>
      </c>
      <c r="I5" s="393" t="s">
        <v>404</v>
      </c>
      <c r="J5" s="393" t="s">
        <v>404</v>
      </c>
      <c r="K5" s="393" t="s">
        <v>404</v>
      </c>
      <c r="L5" s="35"/>
    </row>
    <row r="6" spans="1:12" ht="16.95" customHeight="1">
      <c r="A6" s="34"/>
      <c r="B6" s="349"/>
      <c r="C6" s="349"/>
      <c r="D6" s="349"/>
      <c r="E6" s="349"/>
      <c r="F6" s="349"/>
      <c r="G6" s="39"/>
      <c r="H6" s="393" t="s">
        <v>405</v>
      </c>
      <c r="I6" s="393" t="s">
        <v>405</v>
      </c>
      <c r="J6" s="393" t="s">
        <v>405</v>
      </c>
      <c r="K6" s="393" t="s">
        <v>405</v>
      </c>
      <c r="L6" s="35"/>
    </row>
    <row r="7" spans="1:12" ht="16.95" customHeight="1">
      <c r="A7" s="34"/>
      <c r="B7" s="350"/>
      <c r="C7" s="350"/>
      <c r="D7" s="350"/>
      <c r="E7" s="350"/>
      <c r="F7" s="350"/>
      <c r="G7" s="39"/>
      <c r="H7" s="393" t="s">
        <v>406</v>
      </c>
      <c r="I7" s="393" t="s">
        <v>406</v>
      </c>
      <c r="J7" s="393" t="s">
        <v>406</v>
      </c>
      <c r="K7" s="393" t="s">
        <v>406</v>
      </c>
      <c r="L7" s="35"/>
    </row>
    <row r="8" spans="1:12" ht="16.95" customHeight="1">
      <c r="A8" s="34"/>
      <c r="B8" s="30"/>
      <c r="C8" s="30"/>
      <c r="D8" s="30"/>
      <c r="E8" s="30"/>
      <c r="F8" s="30"/>
      <c r="G8" s="30"/>
      <c r="H8" s="30"/>
      <c r="I8" s="30"/>
      <c r="J8" s="30"/>
      <c r="K8" s="30"/>
      <c r="L8" s="35"/>
    </row>
    <row r="9" spans="1:12" ht="4.95" customHeight="1">
      <c r="A9" s="34"/>
      <c r="B9" s="40"/>
      <c r="C9" s="40"/>
      <c r="D9" s="40"/>
      <c r="E9" s="40"/>
      <c r="F9" s="40"/>
      <c r="G9" s="40"/>
      <c r="H9" s="40"/>
      <c r="I9" s="40"/>
      <c r="J9" s="41"/>
      <c r="K9" s="41"/>
      <c r="L9" s="35"/>
    </row>
    <row r="10" spans="1:12" ht="16.95" customHeight="1">
      <c r="A10" s="34"/>
      <c r="B10" s="30"/>
      <c r="C10" s="30"/>
      <c r="D10" s="30"/>
      <c r="E10" s="30"/>
      <c r="F10" s="30"/>
      <c r="G10" s="30"/>
      <c r="H10" s="30"/>
      <c r="I10" s="30"/>
      <c r="J10" s="30"/>
      <c r="K10" s="30"/>
      <c r="L10" s="35"/>
    </row>
    <row r="11" spans="1:12" ht="16.95" customHeight="1">
      <c r="A11" s="34"/>
      <c r="B11" s="336" t="s">
        <v>436</v>
      </c>
      <c r="C11" s="336" t="s">
        <v>436</v>
      </c>
      <c r="D11" s="336" t="s">
        <v>436</v>
      </c>
      <c r="E11" s="336" t="s">
        <v>436</v>
      </c>
      <c r="F11" s="336" t="s">
        <v>436</v>
      </c>
      <c r="G11" s="336" t="s">
        <v>436</v>
      </c>
      <c r="H11" s="336" t="s">
        <v>436</v>
      </c>
      <c r="I11" s="386" t="s">
        <v>437</v>
      </c>
      <c r="J11" s="386" t="s">
        <v>437</v>
      </c>
      <c r="K11" s="386" t="s">
        <v>437</v>
      </c>
      <c r="L11" s="35"/>
    </row>
    <row r="12" spans="1:12" ht="16.95" customHeight="1">
      <c r="A12" s="34"/>
      <c r="B12" s="336" t="s">
        <v>436</v>
      </c>
      <c r="C12" s="336" t="s">
        <v>436</v>
      </c>
      <c r="D12" s="336" t="s">
        <v>436</v>
      </c>
      <c r="E12" s="336" t="s">
        <v>436</v>
      </c>
      <c r="F12" s="336" t="s">
        <v>436</v>
      </c>
      <c r="G12" s="336" t="s">
        <v>436</v>
      </c>
      <c r="H12" s="336" t="s">
        <v>436</v>
      </c>
      <c r="I12" s="387"/>
      <c r="J12" s="342"/>
      <c r="K12" s="388"/>
      <c r="L12" s="35"/>
    </row>
    <row r="13" spans="1:12" ht="16.95" customHeight="1">
      <c r="A13" s="34"/>
      <c r="B13" s="336" t="s">
        <v>436</v>
      </c>
      <c r="C13" s="336" t="s">
        <v>436</v>
      </c>
      <c r="D13" s="336" t="s">
        <v>436</v>
      </c>
      <c r="E13" s="336" t="s">
        <v>436</v>
      </c>
      <c r="F13" s="336" t="s">
        <v>436</v>
      </c>
      <c r="G13" s="336" t="s">
        <v>436</v>
      </c>
      <c r="H13" s="336" t="s">
        <v>436</v>
      </c>
      <c r="I13" s="389"/>
      <c r="J13" s="390"/>
      <c r="K13" s="391"/>
      <c r="L13" s="35"/>
    </row>
    <row r="14" spans="1:12" ht="16.95" customHeight="1">
      <c r="A14" s="34"/>
      <c r="B14" s="337" t="s">
        <v>850</v>
      </c>
      <c r="C14" s="337" t="s">
        <v>438</v>
      </c>
      <c r="D14" s="337" t="s">
        <v>438</v>
      </c>
      <c r="E14" s="337" t="s">
        <v>438</v>
      </c>
      <c r="F14" s="337" t="s">
        <v>438</v>
      </c>
      <c r="G14" s="337" t="s">
        <v>438</v>
      </c>
      <c r="H14" s="337" t="s">
        <v>438</v>
      </c>
      <c r="I14" s="347" t="s">
        <v>410</v>
      </c>
      <c r="J14" s="347" t="s">
        <v>410</v>
      </c>
      <c r="K14" s="347" t="s">
        <v>410</v>
      </c>
      <c r="L14" s="35"/>
    </row>
    <row r="15" spans="1:12" ht="16.95" customHeight="1">
      <c r="A15" s="34"/>
      <c r="B15" s="30"/>
      <c r="C15" s="30"/>
      <c r="D15" s="30"/>
      <c r="E15" s="30"/>
      <c r="F15" s="30"/>
      <c r="G15" s="30"/>
      <c r="H15" s="30"/>
      <c r="I15" s="30"/>
      <c r="J15" s="30"/>
      <c r="K15" s="30"/>
      <c r="L15" s="35"/>
    </row>
    <row r="16" spans="1:12" ht="16.95" customHeight="1">
      <c r="A16" s="34"/>
      <c r="B16" s="316" t="s">
        <v>439</v>
      </c>
      <c r="C16" s="316" t="s">
        <v>439</v>
      </c>
      <c r="D16" s="316" t="s">
        <v>439</v>
      </c>
      <c r="E16" s="316" t="s">
        <v>439</v>
      </c>
      <c r="F16" s="316" t="s">
        <v>439</v>
      </c>
      <c r="G16" s="316" t="s">
        <v>427</v>
      </c>
      <c r="H16" s="316" t="s">
        <v>427</v>
      </c>
      <c r="I16" s="316" t="s">
        <v>427</v>
      </c>
      <c r="J16" s="316" t="s">
        <v>427</v>
      </c>
      <c r="K16" s="316" t="s">
        <v>427</v>
      </c>
      <c r="L16" s="35"/>
    </row>
    <row r="17" spans="1:12" ht="16.95" customHeight="1">
      <c r="A17" s="34"/>
      <c r="B17" s="312" t="s">
        <v>440</v>
      </c>
      <c r="C17" s="312" t="s">
        <v>440</v>
      </c>
      <c r="D17" s="330" t="str">
        <f>IF($I$12="","",IFERROR(INDEX(GAJI!$C$5:$C$124,MATCH($I$12,GAJI!$A$5:$A$124,0)),""))</f>
        <v/>
      </c>
      <c r="E17" s="330"/>
      <c r="F17" s="330"/>
      <c r="G17" s="312" t="s">
        <v>441</v>
      </c>
      <c r="H17" s="312" t="s">
        <v>441</v>
      </c>
      <c r="I17" s="330" t="str">
        <f>IF($I$12="","",IFERROR(INDEX(GAJI!$R$5:$R$124,MATCH($I$12,GAJI!$A$5:$A$124,0)),""))</f>
        <v/>
      </c>
      <c r="J17" s="330"/>
      <c r="K17" s="330"/>
      <c r="L17" s="35"/>
    </row>
    <row r="18" spans="1:12" ht="16.95" customHeight="1">
      <c r="A18" s="34"/>
      <c r="B18" s="312" t="s">
        <v>442</v>
      </c>
      <c r="C18" s="312" t="s">
        <v>442</v>
      </c>
      <c r="D18" s="330" t="str">
        <f>IF($I$12="","",IFERROR(INDEX(GAJI!$D$5:$D$124,MATCH($I$12,GAJI!$A$5:$A$124,0)),""))</f>
        <v/>
      </c>
      <c r="E18" s="330"/>
      <c r="F18" s="330"/>
      <c r="G18" s="312" t="s">
        <v>443</v>
      </c>
      <c r="H18" s="312" t="s">
        <v>443</v>
      </c>
      <c r="I18" s="384" t="str">
        <f>IF($I$12="","",IFERROR(INDEX(GAJI!$S$5:$S$124,MATCH($I$12,GAJI!$A$5:$A$124,0)),""))</f>
        <v/>
      </c>
      <c r="J18" s="335"/>
      <c r="K18" s="335"/>
      <c r="L18" s="35"/>
    </row>
    <row r="19" spans="1:12" ht="16.95" customHeight="1">
      <c r="A19" s="34"/>
      <c r="B19" s="312" t="s">
        <v>444</v>
      </c>
      <c r="C19" s="312" t="s">
        <v>444</v>
      </c>
      <c r="D19" s="385" t="str">
        <f>IF($I$12="","",IFERROR(INDEX(GAJI!$B$5:$B$124,MATCH($I$12,GAJI!$A$5:$A$124,0)),""))</f>
        <v/>
      </c>
      <c r="E19" s="330"/>
      <c r="F19" s="330"/>
      <c r="G19" s="312" t="s">
        <v>445</v>
      </c>
      <c r="H19" s="312" t="s">
        <v>445</v>
      </c>
      <c r="I19" s="330" t="str">
        <f>IF($I$12="","",IFERROR(INDEX(GAJI!$T$5:$T$124,MATCH($I$12,GAJI!$A$5:$A$124,0)),""))</f>
        <v/>
      </c>
      <c r="J19" s="330"/>
      <c r="K19" s="330"/>
      <c r="L19" s="35"/>
    </row>
    <row r="20" spans="1:12" ht="16.95" customHeight="1">
      <c r="A20" s="34"/>
      <c r="B20" s="312" t="s">
        <v>446</v>
      </c>
      <c r="C20" s="312" t="s">
        <v>446</v>
      </c>
      <c r="D20" s="330" t="str">
        <f>IF($I$12="","",IFERROR(INDEX(GAJI!$E$5:$E$124,MATCH($I$12,GAJI!$A$5:$A$124,0)),""))</f>
        <v/>
      </c>
      <c r="E20" s="330"/>
      <c r="F20" s="330"/>
      <c r="G20" s="312" t="s">
        <v>447</v>
      </c>
      <c r="H20" s="312" t="s">
        <v>447</v>
      </c>
      <c r="I20" s="330" t="str">
        <f>IF($I$12="","",IFERROR(INDEX(GAJI!$U$5:$U$124,MATCH($I$12,GAJI!$A$5:$A$124,0)),""))</f>
        <v/>
      </c>
      <c r="J20" s="330"/>
      <c r="K20" s="330"/>
      <c r="L20" s="35"/>
    </row>
    <row r="21" spans="1:12" ht="16.95" customHeight="1">
      <c r="A21" s="34"/>
      <c r="B21" s="30"/>
      <c r="C21" s="30"/>
      <c r="D21" s="30"/>
      <c r="E21" s="30"/>
      <c r="F21" s="30"/>
      <c r="G21" s="30"/>
      <c r="H21" s="30"/>
      <c r="I21" s="30"/>
      <c r="J21" s="30"/>
      <c r="K21" s="30"/>
      <c r="L21" s="35"/>
    </row>
    <row r="22" spans="1:12" ht="16.95" customHeight="1">
      <c r="A22" s="34"/>
      <c r="B22" s="30"/>
      <c r="C22" s="30"/>
      <c r="D22" s="30"/>
      <c r="E22" s="30"/>
      <c r="F22" s="30"/>
      <c r="G22" s="30"/>
      <c r="H22" s="30"/>
      <c r="I22" s="30"/>
      <c r="J22" s="30"/>
      <c r="K22" s="30"/>
      <c r="L22" s="35"/>
    </row>
    <row r="23" spans="1:12" ht="16.95" customHeight="1">
      <c r="A23" s="34"/>
      <c r="B23" s="324" t="s">
        <v>448</v>
      </c>
      <c r="C23" s="326" t="s">
        <v>448</v>
      </c>
      <c r="D23" s="326" t="s">
        <v>448</v>
      </c>
      <c r="E23" s="326" t="s">
        <v>448</v>
      </c>
      <c r="F23" s="328" t="s">
        <v>448</v>
      </c>
      <c r="G23" s="324" t="s">
        <v>449</v>
      </c>
      <c r="H23" s="326" t="s">
        <v>449</v>
      </c>
      <c r="I23" s="326" t="s">
        <v>449</v>
      </c>
      <c r="J23" s="326" t="s">
        <v>449</v>
      </c>
      <c r="K23" s="328" t="s">
        <v>449</v>
      </c>
      <c r="L23" s="35"/>
    </row>
    <row r="24" spans="1:12" ht="16.95" customHeight="1">
      <c r="A24" s="34"/>
      <c r="B24" s="325" t="s">
        <v>448</v>
      </c>
      <c r="C24" s="327" t="s">
        <v>448</v>
      </c>
      <c r="D24" s="327" t="s">
        <v>448</v>
      </c>
      <c r="E24" s="327" t="s">
        <v>448</v>
      </c>
      <c r="F24" s="329" t="s">
        <v>448</v>
      </c>
      <c r="G24" s="325" t="s">
        <v>449</v>
      </c>
      <c r="H24" s="327" t="s">
        <v>449</v>
      </c>
      <c r="I24" s="327" t="s">
        <v>449</v>
      </c>
      <c r="J24" s="327" t="s">
        <v>449</v>
      </c>
      <c r="K24" s="329" t="s">
        <v>449</v>
      </c>
      <c r="L24" s="35"/>
    </row>
    <row r="25" spans="1:12" ht="22.05" customHeight="1">
      <c r="A25" s="34"/>
      <c r="B25" s="381" t="s">
        <v>121</v>
      </c>
      <c r="C25" s="319" t="s">
        <v>121</v>
      </c>
      <c r="D25" s="319" t="s">
        <v>121</v>
      </c>
      <c r="E25" s="315" t="str">
        <f>IF($I$12="","",IFERROR(INDEX(GAJI!$F$5:$F$124,MATCH($I$12,GAJI!$A$5:$A$124,0)),""))</f>
        <v/>
      </c>
      <c r="F25" s="323"/>
      <c r="G25" s="381" t="s">
        <v>450</v>
      </c>
      <c r="H25" s="319" t="s">
        <v>450</v>
      </c>
      <c r="I25" s="319" t="s">
        <v>450</v>
      </c>
      <c r="J25" s="315" t="str">
        <f>IF($I$12="","",IFERROR(INDEX(GAJI!$L$5:$L$124,MATCH($I$12,GAJI!$A$5:$A$124,0)),""))</f>
        <v/>
      </c>
      <c r="K25" s="323"/>
      <c r="L25" s="35"/>
    </row>
    <row r="26" spans="1:12" ht="22.05" customHeight="1">
      <c r="A26" s="34"/>
      <c r="B26" s="381" t="s">
        <v>122</v>
      </c>
      <c r="C26" s="319" t="s">
        <v>122</v>
      </c>
      <c r="D26" s="319" t="s">
        <v>122</v>
      </c>
      <c r="E26" s="315" t="str">
        <f>IF($I$12="","",IFERROR(INDEX(GAJI!$G$5:$G$124,MATCH($I$12,GAJI!$A$5:$A$124,0)),""))</f>
        <v/>
      </c>
      <c r="F26" s="323"/>
      <c r="G26" s="381" t="s">
        <v>451</v>
      </c>
      <c r="H26" s="319" t="s">
        <v>451</v>
      </c>
      <c r="I26" s="319" t="s">
        <v>451</v>
      </c>
      <c r="J26" s="315" t="str">
        <f>IF($I$12="","",IFERROR(INDEX(GAJI!$M$5:$M$124,MATCH($I$12,GAJI!$A$5:$A$124,0)),""))</f>
        <v/>
      </c>
      <c r="K26" s="323"/>
      <c r="L26" s="35"/>
    </row>
    <row r="27" spans="1:12" ht="22.05" customHeight="1">
      <c r="A27" s="34"/>
      <c r="B27" s="381" t="s">
        <v>452</v>
      </c>
      <c r="C27" s="319" t="s">
        <v>452</v>
      </c>
      <c r="D27" s="319" t="s">
        <v>452</v>
      </c>
      <c r="E27" s="315" t="str">
        <f>IF($I$12="","",IFERROR(INDEX(GAJI!$H$5:$H$124,MATCH($I$12,GAJI!$A$5:$A$124,0)),""))</f>
        <v/>
      </c>
      <c r="F27" s="323"/>
      <c r="G27" s="381" t="s">
        <v>129</v>
      </c>
      <c r="H27" s="319" t="s">
        <v>129</v>
      </c>
      <c r="I27" s="319" t="s">
        <v>129</v>
      </c>
      <c r="J27" s="315" t="str">
        <f>IF($I$12="","",IFERROR(INDEX(GAJI!$N$5:$N$124,MATCH($I$12,GAJI!$A$5:$A$124,0)),""))</f>
        <v/>
      </c>
      <c r="K27" s="323"/>
      <c r="L27" s="35"/>
    </row>
    <row r="28" spans="1:12" ht="22.05" customHeight="1">
      <c r="A28" s="34"/>
      <c r="B28" s="381" t="s">
        <v>124</v>
      </c>
      <c r="C28" s="319" t="s">
        <v>124</v>
      </c>
      <c r="D28" s="319" t="s">
        <v>124</v>
      </c>
      <c r="E28" s="315" t="str">
        <f>IF($I$12="","",IFERROR(INDEX(GAJI!$I$5:$I$124,MATCH($I$12,GAJI!$A$5:$A$124,0)),""))</f>
        <v/>
      </c>
      <c r="F28" s="323"/>
      <c r="G28" s="381"/>
      <c r="H28" s="319"/>
      <c r="I28" s="319"/>
      <c r="J28" s="319"/>
      <c r="K28" s="320"/>
      <c r="L28" s="35"/>
    </row>
    <row r="29" spans="1:12" ht="22.05" customHeight="1">
      <c r="A29" s="34"/>
      <c r="B29" s="380" t="s">
        <v>453</v>
      </c>
      <c r="C29" s="321" t="s">
        <v>453</v>
      </c>
      <c r="D29" s="321" t="s">
        <v>453</v>
      </c>
      <c r="E29" s="382" t="str">
        <f>IF($I$12="","",IFERROR(INDEX(GAJI!$J$5:$J$124,MATCH($I$12,GAJI!$A$5:$A$124,0)),""))</f>
        <v/>
      </c>
      <c r="F29" s="383"/>
      <c r="G29" s="380"/>
      <c r="H29" s="321"/>
      <c r="I29" s="321"/>
      <c r="J29" s="321"/>
      <c r="K29" s="322"/>
      <c r="L29" s="35"/>
    </row>
    <row r="30" spans="1:12" ht="16.95" customHeight="1">
      <c r="A30" s="34"/>
      <c r="B30" s="30"/>
      <c r="C30" s="30"/>
      <c r="D30" s="30"/>
      <c r="E30" s="30"/>
      <c r="F30" s="30"/>
      <c r="G30" s="30"/>
      <c r="H30" s="30"/>
      <c r="I30" s="30"/>
      <c r="J30" s="30"/>
      <c r="K30" s="30"/>
      <c r="L30" s="35"/>
    </row>
    <row r="31" spans="1:12" ht="16.95" customHeight="1">
      <c r="A31" s="34"/>
      <c r="B31" s="312" t="s">
        <v>454</v>
      </c>
      <c r="C31" s="312" t="s">
        <v>454</v>
      </c>
      <c r="D31" s="312" t="s">
        <v>454</v>
      </c>
      <c r="E31" s="315" t="str">
        <f>IF($I$12="","",IFERROR(INDEX(GAJI!$K$5:$K$124,MATCH($I$12,GAJI!$A$5:$A$124,0)),""))</f>
        <v/>
      </c>
      <c r="F31" s="315"/>
      <c r="G31" s="312" t="s">
        <v>455</v>
      </c>
      <c r="H31" s="312" t="s">
        <v>455</v>
      </c>
      <c r="I31" s="312" t="s">
        <v>455</v>
      </c>
      <c r="J31" s="315" t="str">
        <f>IF($I$12="","",SUM(J25:J27))</f>
        <v/>
      </c>
      <c r="K31" s="315"/>
      <c r="L31" s="35"/>
    </row>
    <row r="32" spans="1:12" ht="16.95" customHeight="1">
      <c r="A32" s="34"/>
      <c r="B32" s="30"/>
      <c r="C32" s="30"/>
      <c r="D32" s="30"/>
      <c r="E32" s="30"/>
      <c r="F32" s="30"/>
      <c r="G32" s="30"/>
      <c r="H32" s="30"/>
      <c r="I32" s="30"/>
      <c r="J32" s="30"/>
      <c r="K32" s="30"/>
      <c r="L32" s="35"/>
    </row>
    <row r="33" spans="1:12" ht="16.95" customHeight="1">
      <c r="A33" s="34"/>
      <c r="B33" s="30"/>
      <c r="C33" s="30"/>
      <c r="D33" s="30"/>
      <c r="E33" s="30"/>
      <c r="F33" s="30"/>
      <c r="G33" s="30"/>
      <c r="H33" s="30"/>
      <c r="I33" s="30"/>
      <c r="J33" s="30"/>
      <c r="K33" s="30"/>
      <c r="L33" s="35"/>
    </row>
    <row r="34" spans="1:12" ht="16.95" customHeight="1">
      <c r="A34" s="34"/>
      <c r="B34" s="378" t="s">
        <v>456</v>
      </c>
      <c r="C34" s="378" t="s">
        <v>456</v>
      </c>
      <c r="D34" s="378" t="s">
        <v>456</v>
      </c>
      <c r="E34" s="378" t="s">
        <v>456</v>
      </c>
      <c r="F34" s="378" t="s">
        <v>456</v>
      </c>
      <c r="G34" s="378" t="s">
        <v>456</v>
      </c>
      <c r="H34" s="378" t="s">
        <v>456</v>
      </c>
      <c r="I34" s="317" t="str">
        <f>IF($I$12="","",IFERROR(INDEX(GAJI!$P$5:$P$124,MATCH($I$12,GAJI!$A$5:$A$124,0)),""))</f>
        <v/>
      </c>
      <c r="J34" s="317"/>
      <c r="K34" s="317"/>
      <c r="L34" s="35"/>
    </row>
    <row r="35" spans="1:12" ht="16.95" customHeight="1">
      <c r="A35" s="34"/>
      <c r="B35" s="378" t="s">
        <v>456</v>
      </c>
      <c r="C35" s="378" t="s">
        <v>456</v>
      </c>
      <c r="D35" s="378" t="s">
        <v>456</v>
      </c>
      <c r="E35" s="378" t="s">
        <v>456</v>
      </c>
      <c r="F35" s="378" t="s">
        <v>456</v>
      </c>
      <c r="G35" s="378" t="s">
        <v>456</v>
      </c>
      <c r="H35" s="378" t="s">
        <v>456</v>
      </c>
      <c r="I35" s="317"/>
      <c r="J35" s="317"/>
      <c r="K35" s="317"/>
      <c r="L35" s="35"/>
    </row>
    <row r="36" spans="1:12" ht="16.95" customHeight="1">
      <c r="A36" s="34"/>
      <c r="B36" s="378" t="s">
        <v>456</v>
      </c>
      <c r="C36" s="378" t="s">
        <v>456</v>
      </c>
      <c r="D36" s="378" t="s">
        <v>456</v>
      </c>
      <c r="E36" s="378" t="s">
        <v>456</v>
      </c>
      <c r="F36" s="378" t="s">
        <v>456</v>
      </c>
      <c r="G36" s="378" t="s">
        <v>456</v>
      </c>
      <c r="H36" s="378" t="s">
        <v>456</v>
      </c>
      <c r="I36" s="318"/>
      <c r="J36" s="318"/>
      <c r="K36" s="318"/>
      <c r="L36" s="35"/>
    </row>
    <row r="37" spans="1:12" ht="16.95" customHeight="1">
      <c r="A37" s="34"/>
      <c r="B37" s="30"/>
      <c r="C37" s="30"/>
      <c r="D37" s="30"/>
      <c r="E37" s="30"/>
      <c r="F37" s="30"/>
      <c r="G37" s="30"/>
      <c r="H37" s="30"/>
      <c r="I37" s="30"/>
      <c r="J37" s="30"/>
      <c r="K37" s="30"/>
      <c r="L37" s="35"/>
    </row>
    <row r="38" spans="1:12" ht="16.95" customHeight="1">
      <c r="A38" s="34"/>
      <c r="B38" s="30"/>
      <c r="C38" s="30"/>
      <c r="D38" s="30"/>
      <c r="E38" s="30"/>
      <c r="F38" s="30"/>
      <c r="G38" s="30"/>
      <c r="H38" s="30"/>
      <c r="I38" s="30"/>
      <c r="J38" s="30"/>
      <c r="K38" s="30"/>
      <c r="L38" s="35"/>
    </row>
    <row r="39" spans="1:12" ht="16.95" customHeight="1">
      <c r="A39" s="34"/>
      <c r="B39" s="312" t="s">
        <v>457</v>
      </c>
      <c r="C39" s="312" t="s">
        <v>457</v>
      </c>
      <c r="D39" s="312" t="s">
        <v>457</v>
      </c>
      <c r="E39" s="312" t="s">
        <v>457</v>
      </c>
      <c r="F39" s="312" t="s">
        <v>457</v>
      </c>
      <c r="G39" s="312" t="s">
        <v>457</v>
      </c>
      <c r="H39" s="312" t="s">
        <v>457</v>
      </c>
      <c r="I39" s="312" t="s">
        <v>457</v>
      </c>
      <c r="J39" s="312" t="s">
        <v>457</v>
      </c>
      <c r="K39" s="312" t="s">
        <v>457</v>
      </c>
      <c r="L39" s="35"/>
    </row>
    <row r="40" spans="1:12" ht="16.95" customHeight="1">
      <c r="A40" s="34"/>
      <c r="B40" s="379" t="s">
        <v>458</v>
      </c>
      <c r="C40" s="379" t="s">
        <v>458</v>
      </c>
      <c r="D40" s="379" t="s">
        <v>458</v>
      </c>
      <c r="E40" s="315" t="str">
        <f>IF($I$12="","",IFERROR(INDEX(GAJI!$O$5:$O$124,MATCH($I$12,GAJI!$A$5:$A$124,0)),""))</f>
        <v/>
      </c>
      <c r="F40" s="315"/>
      <c r="G40" s="379" t="s">
        <v>459</v>
      </c>
      <c r="H40" s="379" t="s">
        <v>459</v>
      </c>
      <c r="I40" s="379" t="s">
        <v>459</v>
      </c>
      <c r="J40" s="315" t="str">
        <f>IF($I$12="","",IFERROR(INDEX(GAJI!$Q$5:$Q$124,MATCH($I$12,GAJI!$A$5:$A$124,0)),""))</f>
        <v/>
      </c>
      <c r="K40" s="315"/>
      <c r="L40" s="35"/>
    </row>
    <row r="41" spans="1:12" ht="16.95" customHeight="1">
      <c r="A41" s="34"/>
      <c r="B41" s="30"/>
      <c r="C41" s="30"/>
      <c r="D41" s="30"/>
      <c r="E41" s="30"/>
      <c r="F41" s="30"/>
      <c r="G41" s="30"/>
      <c r="H41" s="30"/>
      <c r="I41" s="30"/>
      <c r="J41" s="30"/>
      <c r="K41" s="30"/>
      <c r="L41" s="35"/>
    </row>
    <row r="42" spans="1:12" ht="16.95" customHeight="1">
      <c r="A42" s="34"/>
      <c r="B42" s="30"/>
      <c r="C42" s="30"/>
      <c r="D42" s="30"/>
      <c r="E42" s="30"/>
      <c r="F42" s="30"/>
      <c r="G42" s="30"/>
      <c r="H42" s="30"/>
      <c r="I42" s="30"/>
      <c r="J42" s="30"/>
      <c r="K42" s="30"/>
      <c r="L42" s="35"/>
    </row>
    <row r="43" spans="1:12" ht="16.95" customHeight="1">
      <c r="A43" s="34"/>
      <c r="B43" s="299" t="s">
        <v>460</v>
      </c>
      <c r="C43" s="299" t="s">
        <v>460</v>
      </c>
      <c r="D43" s="299" t="s">
        <v>460</v>
      </c>
      <c r="E43" s="299" t="s">
        <v>460</v>
      </c>
      <c r="F43" s="299" t="s">
        <v>460</v>
      </c>
      <c r="G43" s="299" t="s">
        <v>461</v>
      </c>
      <c r="H43" s="299" t="s">
        <v>461</v>
      </c>
      <c r="I43" s="299" t="s">
        <v>461</v>
      </c>
      <c r="J43" s="299" t="s">
        <v>461</v>
      </c>
      <c r="K43" s="299" t="s">
        <v>461</v>
      </c>
      <c r="L43" s="35"/>
    </row>
    <row r="44" spans="1:12" ht="16.95" customHeight="1">
      <c r="A44" s="34"/>
      <c r="B44" s="311"/>
      <c r="C44" s="311"/>
      <c r="D44" s="311"/>
      <c r="E44" s="311"/>
      <c r="F44" s="311"/>
      <c r="G44" s="311"/>
      <c r="H44" s="311"/>
      <c r="I44" s="311"/>
      <c r="J44" s="311"/>
      <c r="K44" s="311"/>
      <c r="L44" s="35"/>
    </row>
    <row r="45" spans="1:12" ht="16.95" customHeight="1">
      <c r="A45" s="34"/>
      <c r="B45" s="311"/>
      <c r="C45" s="311"/>
      <c r="D45" s="311"/>
      <c r="E45" s="311"/>
      <c r="F45" s="311"/>
      <c r="G45" s="311"/>
      <c r="H45" s="311"/>
      <c r="I45" s="311"/>
      <c r="J45" s="311"/>
      <c r="K45" s="311"/>
      <c r="L45" s="35"/>
    </row>
    <row r="46" spans="1:12" ht="16.95" customHeight="1">
      <c r="A46" s="34"/>
      <c r="B46" s="311"/>
      <c r="C46" s="311"/>
      <c r="D46" s="311"/>
      <c r="E46" s="311"/>
      <c r="F46" s="311"/>
      <c r="G46" s="311"/>
      <c r="H46" s="311"/>
      <c r="I46" s="311"/>
      <c r="J46" s="311"/>
      <c r="K46" s="311"/>
      <c r="L46" s="35"/>
    </row>
    <row r="47" spans="1:12" ht="16.95" customHeight="1">
      <c r="A47" s="34"/>
      <c r="B47" s="311"/>
      <c r="C47" s="311"/>
      <c r="D47" s="311"/>
      <c r="E47" s="311"/>
      <c r="F47" s="311"/>
      <c r="G47" s="311"/>
      <c r="H47" s="311"/>
      <c r="I47" s="311"/>
      <c r="J47" s="311"/>
      <c r="K47" s="311"/>
      <c r="L47" s="35"/>
    </row>
    <row r="48" spans="1:12" ht="16.95" customHeight="1">
      <c r="A48" s="34"/>
      <c r="B48" s="377" t="str">
        <f>IF($I$12="","",IFERROR(INDEX(GAJI!$C$5:$C$124,MATCH($I$12,GAJI!$A$5:$A$124,0)),""))</f>
        <v/>
      </c>
      <c r="C48" s="377"/>
      <c r="D48" s="377"/>
      <c r="E48" s="377"/>
      <c r="F48" s="377"/>
      <c r="G48" s="377" t="str">
        <f>IF($I$12="","",IFERROR(INDEX(GAJI!$V$5:$V$124,MATCH($I$12,GAJI!$A$5:$A$124,0)),""))</f>
        <v/>
      </c>
      <c r="H48" s="377"/>
      <c r="I48" s="377"/>
      <c r="J48" s="377"/>
      <c r="K48" s="377"/>
      <c r="L48" s="35"/>
    </row>
    <row r="49" spans="1:12" ht="16.95" customHeight="1">
      <c r="A49" s="34"/>
      <c r="B49" s="299" t="s">
        <v>462</v>
      </c>
      <c r="C49" s="299" t="s">
        <v>462</v>
      </c>
      <c r="D49" s="299" t="s">
        <v>462</v>
      </c>
      <c r="E49" s="299" t="s">
        <v>462</v>
      </c>
      <c r="F49" s="299" t="s">
        <v>462</v>
      </c>
      <c r="G49" s="299" t="s">
        <v>434</v>
      </c>
      <c r="H49" s="299" t="s">
        <v>434</v>
      </c>
      <c r="I49" s="299" t="s">
        <v>434</v>
      </c>
      <c r="J49" s="299" t="s">
        <v>434</v>
      </c>
      <c r="K49" s="299" t="s">
        <v>434</v>
      </c>
      <c r="L49" s="35"/>
    </row>
    <row r="50" spans="1:12" ht="16.95" customHeight="1">
      <c r="A50" s="34"/>
      <c r="B50" s="30"/>
      <c r="C50" s="30"/>
      <c r="D50" s="30"/>
      <c r="E50" s="30"/>
      <c r="F50" s="30"/>
      <c r="G50" s="30"/>
      <c r="H50" s="30"/>
      <c r="I50" s="30"/>
      <c r="J50" s="30"/>
      <c r="K50" s="30"/>
      <c r="L50" s="35"/>
    </row>
    <row r="51" spans="1:12" ht="4.05" customHeight="1">
      <c r="A51" s="34"/>
      <c r="B51" s="40"/>
      <c r="C51" s="40"/>
      <c r="D51" s="40"/>
      <c r="E51" s="40"/>
      <c r="F51" s="40"/>
      <c r="G51" s="40"/>
      <c r="H51" s="40"/>
      <c r="I51" s="40"/>
      <c r="J51" s="41"/>
      <c r="K51" s="41"/>
      <c r="L51" s="35"/>
    </row>
    <row r="52" spans="1:12" ht="16.95" customHeight="1">
      <c r="A52" s="34"/>
      <c r="B52" s="300" t="s">
        <v>463</v>
      </c>
      <c r="C52" s="300" t="s">
        <v>463</v>
      </c>
      <c r="D52" s="300" t="s">
        <v>463</v>
      </c>
      <c r="E52" s="300" t="s">
        <v>463</v>
      </c>
      <c r="F52" s="300" t="s">
        <v>463</v>
      </c>
      <c r="G52" s="300" t="s">
        <v>463</v>
      </c>
      <c r="H52" s="300" t="s">
        <v>463</v>
      </c>
      <c r="I52" s="300" t="s">
        <v>463</v>
      </c>
      <c r="J52" s="300" t="s">
        <v>463</v>
      </c>
      <c r="K52" s="300" t="s">
        <v>463</v>
      </c>
      <c r="L52" s="35"/>
    </row>
    <row r="53" spans="1:12" ht="16.95" customHeight="1">
      <c r="A53" s="34"/>
      <c r="B53" s="300" t="s">
        <v>463</v>
      </c>
      <c r="C53" s="300" t="s">
        <v>463</v>
      </c>
      <c r="D53" s="300" t="s">
        <v>463</v>
      </c>
      <c r="E53" s="300" t="s">
        <v>463</v>
      </c>
      <c r="F53" s="300" t="s">
        <v>463</v>
      </c>
      <c r="G53" s="300" t="s">
        <v>463</v>
      </c>
      <c r="H53" s="300" t="s">
        <v>463</v>
      </c>
      <c r="I53" s="300" t="s">
        <v>463</v>
      </c>
      <c r="J53" s="300" t="s">
        <v>463</v>
      </c>
      <c r="K53" s="300" t="s">
        <v>463</v>
      </c>
      <c r="L53" s="35"/>
    </row>
    <row r="54" spans="1:12" ht="16.95" customHeight="1">
      <c r="A54" s="36"/>
      <c r="B54" s="37"/>
      <c r="C54" s="37"/>
      <c r="D54" s="37"/>
      <c r="E54" s="37"/>
      <c r="F54" s="37"/>
      <c r="G54" s="37"/>
      <c r="H54" s="37"/>
      <c r="I54" s="37"/>
      <c r="J54" s="37"/>
      <c r="K54" s="37"/>
      <c r="L54" s="38"/>
    </row>
    <row r="55" spans="1:12" ht="7.95" customHeight="1">
      <c r="A55" s="30"/>
      <c r="B55" s="30"/>
      <c r="C55" s="30"/>
      <c r="D55" s="30"/>
      <c r="E55" s="30"/>
      <c r="F55" s="30"/>
      <c r="G55" s="30"/>
      <c r="H55" s="30"/>
      <c r="I55" s="30"/>
      <c r="J55" s="30"/>
      <c r="K55" s="30"/>
      <c r="L55" s="30"/>
    </row>
  </sheetData>
  <mergeCells count="73">
    <mergeCell ref="B3:F5"/>
    <mergeCell ref="B6:F6"/>
    <mergeCell ref="B7:F7"/>
    <mergeCell ref="H3:K3"/>
    <mergeCell ref="H4:K4"/>
    <mergeCell ref="H5:K5"/>
    <mergeCell ref="H6:K6"/>
    <mergeCell ref="H7:K7"/>
    <mergeCell ref="B11:H13"/>
    <mergeCell ref="B14:H14"/>
    <mergeCell ref="I11:K11"/>
    <mergeCell ref="I12:K13"/>
    <mergeCell ref="I14:K14"/>
    <mergeCell ref="B16:F16"/>
    <mergeCell ref="G16:K16"/>
    <mergeCell ref="B17:C17"/>
    <mergeCell ref="D17:F17"/>
    <mergeCell ref="G17:H17"/>
    <mergeCell ref="I17:K17"/>
    <mergeCell ref="B18:C18"/>
    <mergeCell ref="D18:F18"/>
    <mergeCell ref="G18:H18"/>
    <mergeCell ref="I18:K18"/>
    <mergeCell ref="B19:C19"/>
    <mergeCell ref="D19:F19"/>
    <mergeCell ref="G19:H19"/>
    <mergeCell ref="I19:K19"/>
    <mergeCell ref="B20:C20"/>
    <mergeCell ref="D20:F20"/>
    <mergeCell ref="G20:H20"/>
    <mergeCell ref="I20:K20"/>
    <mergeCell ref="B23:F24"/>
    <mergeCell ref="G23:K24"/>
    <mergeCell ref="B25:D25"/>
    <mergeCell ref="E25:F25"/>
    <mergeCell ref="B26:D26"/>
    <mergeCell ref="E26:F26"/>
    <mergeCell ref="B27:D27"/>
    <mergeCell ref="E27:F27"/>
    <mergeCell ref="J25:K25"/>
    <mergeCell ref="G26:I26"/>
    <mergeCell ref="J26:K26"/>
    <mergeCell ref="G27:I27"/>
    <mergeCell ref="J27:K27"/>
    <mergeCell ref="G25:I25"/>
    <mergeCell ref="J28:K28"/>
    <mergeCell ref="G29:I29"/>
    <mergeCell ref="J29:K29"/>
    <mergeCell ref="B31:D31"/>
    <mergeCell ref="E31:F31"/>
    <mergeCell ref="G31:I31"/>
    <mergeCell ref="J31:K31"/>
    <mergeCell ref="B28:D28"/>
    <mergeCell ref="E28:F28"/>
    <mergeCell ref="B29:D29"/>
    <mergeCell ref="E29:F29"/>
    <mergeCell ref="G28:I28"/>
    <mergeCell ref="B34:H36"/>
    <mergeCell ref="I34:K36"/>
    <mergeCell ref="B39:K39"/>
    <mergeCell ref="B40:D40"/>
    <mergeCell ref="E40:F40"/>
    <mergeCell ref="G40:I40"/>
    <mergeCell ref="J40:K40"/>
    <mergeCell ref="B49:F49"/>
    <mergeCell ref="G49:K49"/>
    <mergeCell ref="B52:K53"/>
    <mergeCell ref="B43:F43"/>
    <mergeCell ref="G43:K43"/>
    <mergeCell ref="B44:F47"/>
    <mergeCell ref="G44:K47"/>
    <mergeCell ref="B48:F48"/>
    <mergeCell ref="G48:K48"/>
  </mergeCells>
  <dataValidations count="1">
    <dataValidation type="list" sqref="I12" xr:uid="{00000000-0002-0000-1300-000000000000}">
      <formula1>INDIRECT("'GAJI'!$A$5:$A$124")</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14"/>
  <sheetViews>
    <sheetView showGridLines="0" workbookViewId="0">
      <selection sqref="A1:J2"/>
    </sheetView>
  </sheetViews>
  <sheetFormatPr defaultRowHeight="13.8"/>
  <cols>
    <col min="1" max="1" width="21" customWidth="1"/>
    <col min="2" max="2" width="31" customWidth="1"/>
    <col min="3" max="3" width="20" customWidth="1"/>
    <col min="4" max="4" width="27" customWidth="1"/>
    <col min="5" max="9" width="20" customWidth="1"/>
    <col min="10" max="10" width="28" customWidth="1"/>
  </cols>
  <sheetData>
    <row r="1" spans="1:10">
      <c r="A1" s="394" t="s">
        <v>851</v>
      </c>
      <c r="B1" s="394"/>
      <c r="C1" s="394"/>
      <c r="D1" s="394"/>
      <c r="E1" s="394"/>
      <c r="F1" s="394"/>
      <c r="G1" s="394"/>
      <c r="H1" s="394"/>
      <c r="I1" s="394"/>
      <c r="J1" s="394"/>
    </row>
    <row r="2" spans="1:10">
      <c r="A2" s="394"/>
      <c r="B2" s="394"/>
      <c r="C2" s="394"/>
      <c r="D2" s="394"/>
      <c r="E2" s="394"/>
      <c r="F2" s="394"/>
      <c r="G2" s="394"/>
      <c r="H2" s="394"/>
      <c r="I2" s="394"/>
      <c r="J2" s="394"/>
    </row>
    <row r="3" spans="1:10" ht="30" customHeight="1">
      <c r="A3" s="395" t="s">
        <v>852</v>
      </c>
      <c r="B3" s="395"/>
      <c r="C3" s="395"/>
      <c r="D3" s="395"/>
      <c r="E3" s="395"/>
      <c r="F3" s="395"/>
      <c r="G3" s="395"/>
      <c r="H3" s="395"/>
      <c r="I3" s="395"/>
      <c r="J3" s="395"/>
    </row>
    <row r="5" spans="1:10">
      <c r="A5" s="66" t="s">
        <v>853</v>
      </c>
      <c r="B5" s="66" t="s">
        <v>854</v>
      </c>
      <c r="C5" s="66" t="s">
        <v>855</v>
      </c>
      <c r="D5" s="66" t="s">
        <v>856</v>
      </c>
    </row>
    <row r="6" spans="1:10">
      <c r="A6" t="s">
        <v>857</v>
      </c>
      <c r="B6">
        <f ca="1">COUNTIF(INVOICE_PIUTANG!$S$5:$S$151,"&gt;0")</f>
        <v>1</v>
      </c>
      <c r="C6" s="84">
        <f ca="1">SUM(INVOICE_PIUTANG!$S$5:$S$151)</f>
        <v>33500000</v>
      </c>
      <c r="D6" t="s">
        <v>858</v>
      </c>
    </row>
    <row r="7" spans="1:10">
      <c r="A7" t="s">
        <v>859</v>
      </c>
      <c r="B7">
        <f ca="1">COUNTIF(INVOICE_PIUTANG!$T$5:$T$151,"&gt;0")</f>
        <v>0</v>
      </c>
      <c r="C7" s="84">
        <f ca="1">SUM(INVOICE_PIUTANG!$T$5:$T$151)</f>
        <v>0</v>
      </c>
      <c r="D7" t="s">
        <v>860</v>
      </c>
    </row>
    <row r="8" spans="1:10">
      <c r="A8" t="s">
        <v>861</v>
      </c>
      <c r="B8">
        <f ca="1">COUNTIF(INVOICE_PIUTANG!$U$5:$U$151,"&gt;0")</f>
        <v>0</v>
      </c>
      <c r="C8" s="84">
        <f ca="1">SUM(INVOICE_PIUTANG!$U$5:$U$151)</f>
        <v>0</v>
      </c>
      <c r="D8" t="s">
        <v>862</v>
      </c>
    </row>
    <row r="9" spans="1:10">
      <c r="A9" t="s">
        <v>863</v>
      </c>
      <c r="B9">
        <f ca="1">COUNTIF(INVOICE_PIUTANG!$V$5:$V$151,"&gt;0")</f>
        <v>0</v>
      </c>
      <c r="C9" s="84">
        <f ca="1">SUM(INVOICE_PIUTANG!$V$5:$V$151)</f>
        <v>0</v>
      </c>
      <c r="D9" t="s">
        <v>864</v>
      </c>
    </row>
    <row r="10" spans="1:10">
      <c r="A10" t="s">
        <v>865</v>
      </c>
      <c r="B10">
        <f ca="1">COUNTIF(INVOICE_PIUTANG!$W$5:$W$151,"&gt;0")</f>
        <v>0</v>
      </c>
      <c r="C10" s="84">
        <f ca="1">SUM(INVOICE_PIUTANG!$W$5:$W$151)</f>
        <v>0</v>
      </c>
      <c r="D10" t="s">
        <v>866</v>
      </c>
    </row>
    <row r="11" spans="1:10">
      <c r="A11" s="65" t="s">
        <v>867</v>
      </c>
      <c r="B11" s="65">
        <f ca="1">SUM(B6:B10)</f>
        <v>1</v>
      </c>
      <c r="C11" s="85">
        <f ca="1">SUM(C6:C10)</f>
        <v>33500000</v>
      </c>
      <c r="D11" s="65"/>
    </row>
    <row r="14" spans="1:10" ht="27.6">
      <c r="A14" s="66" t="s">
        <v>62</v>
      </c>
      <c r="B14" s="66" t="s">
        <v>63</v>
      </c>
      <c r="C14" s="66" t="s">
        <v>868</v>
      </c>
      <c r="D14" s="66" t="s">
        <v>869</v>
      </c>
      <c r="E14" s="66" t="s">
        <v>870</v>
      </c>
      <c r="F14" s="66" t="s">
        <v>871</v>
      </c>
      <c r="G14" s="66" t="s">
        <v>77</v>
      </c>
      <c r="H14" s="66" t="s">
        <v>872</v>
      </c>
      <c r="I14" s="66" t="s">
        <v>873</v>
      </c>
      <c r="J14" s="66" t="s">
        <v>65</v>
      </c>
    </row>
    <row r="15" spans="1:10">
      <c r="A15" t="str">
        <f>IF(PERKARA!A5="","",PERKARA!A5)</f>
        <v>001/2026</v>
      </c>
      <c r="B15" t="str">
        <f>IF(A15="","",PERKARA!B5)</f>
        <v>PT KKG</v>
      </c>
      <c r="C15" s="84">
        <f>IF(A15="","",PERKARA!G5)</f>
        <v>165000000</v>
      </c>
      <c r="D15" s="84">
        <f>IF(A15="","",PERKARA!H5)</f>
        <v>49500000</v>
      </c>
      <c r="E15" s="84">
        <f>IF(A15="","",PERKARA!I5)</f>
        <v>16000000</v>
      </c>
      <c r="F15" s="84">
        <f>IF(A15="","",PERKARA!J5)</f>
        <v>149000000</v>
      </c>
      <c r="G15" s="84">
        <f>IF(A15="","",PERKARA!P5)</f>
        <v>33500000</v>
      </c>
      <c r="H15" s="84">
        <f ca="1">IF(A15="","",SUMIFS(INVOICE_PIUTANG!$L$5:$L$151,INVOICE_PIUTANG!$D$5:$D$151,A15,INVOICE_PIUTANG!$M$5:$M$151,"&gt;0"))</f>
        <v>0</v>
      </c>
      <c r="I15">
        <f ca="1">IF(A15="","",IFERROR(_xludf.MAXIFS(INVOICE_PIUTANG!$M$5:$M$151,INVOICE_PIUTANG!$D$5:$D$151,A15),0))</f>
        <v>0</v>
      </c>
      <c r="J15" t="str">
        <f>IF(OR(A15="",PERKARA!D5=""),"",PERKARA!D5)</f>
        <v>Fajar Roni</v>
      </c>
    </row>
    <row r="16" spans="1:10">
      <c r="A16" t="str">
        <f>IF(PERKARA!A6="","",PERKARA!A6)</f>
        <v/>
      </c>
      <c r="B16" t="str">
        <f>IF(A16="","",PERKARA!B6)</f>
        <v/>
      </c>
      <c r="C16" s="84" t="str">
        <f>IF(A16="","",PERKARA!G6)</f>
        <v/>
      </c>
      <c r="D16" s="84" t="str">
        <f>IF(A16="","",PERKARA!H6)</f>
        <v/>
      </c>
      <c r="E16" s="84" t="str">
        <f>IF(A16="","",PERKARA!I6)</f>
        <v/>
      </c>
      <c r="F16" s="84" t="str">
        <f>IF(A16="","",PERKARA!J6)</f>
        <v/>
      </c>
      <c r="G16" s="84" t="str">
        <f>IF(A16="","",PERKARA!P6)</f>
        <v/>
      </c>
      <c r="H16" s="84" t="str">
        <f>IF(A16="","",SUMIFS(INVOICE_PIUTANG!$L$5:$L$151,INVOICE_PIUTANG!$D$5:$D$151,A16,INVOICE_PIUTANG!$M$5:$M$151,"&gt;0"))</f>
        <v/>
      </c>
      <c r="I16" t="str">
        <f>IF(A16="","",IFERROR(_xludf.MAXIFS(INVOICE_PIUTANG!$M$5:$M$151,INVOICE_PIUTANG!$D$5:$D$151,A16),0))</f>
        <v/>
      </c>
      <c r="J16" t="str">
        <f>IF(OR(A16="",PERKARA!D6=""),"",PERKARA!D6)</f>
        <v/>
      </c>
    </row>
    <row r="17" spans="1:10">
      <c r="A17" t="str">
        <f>IF(PERKARA!A7="","",PERKARA!A7)</f>
        <v/>
      </c>
      <c r="B17" t="str">
        <f>IF(A17="","",PERKARA!B7)</f>
        <v/>
      </c>
      <c r="C17" s="84" t="str">
        <f>IF(A17="","",PERKARA!G7)</f>
        <v/>
      </c>
      <c r="D17" s="84" t="str">
        <f>IF(A17="","",PERKARA!H7)</f>
        <v/>
      </c>
      <c r="E17" s="84" t="str">
        <f>IF(A17="","",PERKARA!I7)</f>
        <v/>
      </c>
      <c r="F17" s="84" t="str">
        <f>IF(A17="","",PERKARA!J7)</f>
        <v/>
      </c>
      <c r="G17" s="84" t="str">
        <f>IF(A17="","",PERKARA!P7)</f>
        <v/>
      </c>
      <c r="H17" s="84" t="str">
        <f>IF(A17="","",SUMIFS(INVOICE_PIUTANG!$L$5:$L$151,INVOICE_PIUTANG!$D$5:$D$151,A17,INVOICE_PIUTANG!$M$5:$M$151,"&gt;0"))</f>
        <v/>
      </c>
      <c r="I17" t="str">
        <f>IF(A17="","",IFERROR(_xludf.MAXIFS(INVOICE_PIUTANG!$M$5:$M$151,INVOICE_PIUTANG!$D$5:$D$151,A17),0))</f>
        <v/>
      </c>
      <c r="J17" t="str">
        <f>IF(OR(A17="",PERKARA!D7=""),"",PERKARA!D7)</f>
        <v/>
      </c>
    </row>
    <row r="18" spans="1:10">
      <c r="A18" t="str">
        <f>IF(PERKARA!A8="","",PERKARA!A8)</f>
        <v/>
      </c>
      <c r="B18" t="str">
        <f>IF(A18="","",PERKARA!B8)</f>
        <v/>
      </c>
      <c r="C18" s="84" t="str">
        <f>IF(A18="","",PERKARA!G8)</f>
        <v/>
      </c>
      <c r="D18" s="84" t="str">
        <f>IF(A18="","",PERKARA!H8)</f>
        <v/>
      </c>
      <c r="E18" s="84" t="str">
        <f>IF(A18="","",PERKARA!I8)</f>
        <v/>
      </c>
      <c r="F18" s="84" t="str">
        <f>IF(A18="","",PERKARA!J8)</f>
        <v/>
      </c>
      <c r="G18" s="84" t="str">
        <f>IF(A18="","",PERKARA!P8)</f>
        <v/>
      </c>
      <c r="H18" s="84" t="str">
        <f>IF(A18="","",SUMIFS(INVOICE_PIUTANG!$L$5:$L$151,INVOICE_PIUTANG!$D$5:$D$151,A18,INVOICE_PIUTANG!$M$5:$M$151,"&gt;0"))</f>
        <v/>
      </c>
      <c r="I18" t="str">
        <f>IF(A18="","",IFERROR(_xludf.MAXIFS(INVOICE_PIUTANG!$M$5:$M$151,INVOICE_PIUTANG!$D$5:$D$151,A18),0))</f>
        <v/>
      </c>
      <c r="J18" t="str">
        <f>IF(OR(A18="",PERKARA!D8=""),"",PERKARA!D8)</f>
        <v/>
      </c>
    </row>
    <row r="19" spans="1:10">
      <c r="A19" t="str">
        <f>IF(PERKARA!A9="","",PERKARA!A9)</f>
        <v/>
      </c>
      <c r="B19" t="str">
        <f>IF(A19="","",PERKARA!B9)</f>
        <v/>
      </c>
      <c r="C19" s="84" t="str">
        <f>IF(A19="","",PERKARA!G9)</f>
        <v/>
      </c>
      <c r="D19" s="84" t="str">
        <f>IF(A19="","",PERKARA!H9)</f>
        <v/>
      </c>
      <c r="E19" s="84" t="str">
        <f>IF(A19="","",PERKARA!I9)</f>
        <v/>
      </c>
      <c r="F19" s="84" t="str">
        <f>IF(A19="","",PERKARA!J9)</f>
        <v/>
      </c>
      <c r="G19" s="84" t="str">
        <f>IF(A19="","",PERKARA!P9)</f>
        <v/>
      </c>
      <c r="H19" s="84" t="str">
        <f>IF(A19="","",SUMIFS(INVOICE_PIUTANG!$L$5:$L$151,INVOICE_PIUTANG!$D$5:$D$151,A19,INVOICE_PIUTANG!$M$5:$M$151,"&gt;0"))</f>
        <v/>
      </c>
      <c r="I19" t="str">
        <f>IF(A19="","",IFERROR(_xludf.MAXIFS(INVOICE_PIUTANG!$M$5:$M$151,INVOICE_PIUTANG!$D$5:$D$151,A19),0))</f>
        <v/>
      </c>
      <c r="J19" t="str">
        <f>IF(OR(A19="",PERKARA!D9=""),"",PERKARA!D9)</f>
        <v/>
      </c>
    </row>
    <row r="20" spans="1:10">
      <c r="A20" t="str">
        <f>IF(PERKARA!A10="","",PERKARA!A10)</f>
        <v/>
      </c>
      <c r="B20" t="str">
        <f>IF(A20="","",PERKARA!B10)</f>
        <v/>
      </c>
      <c r="C20" s="84" t="str">
        <f>IF(A20="","",PERKARA!G10)</f>
        <v/>
      </c>
      <c r="D20" s="84" t="str">
        <f>IF(A20="","",PERKARA!H10)</f>
        <v/>
      </c>
      <c r="E20" s="84" t="str">
        <f>IF(A20="","",PERKARA!I10)</f>
        <v/>
      </c>
      <c r="F20" s="84" t="str">
        <f>IF(A20="","",PERKARA!J10)</f>
        <v/>
      </c>
      <c r="G20" s="84" t="str">
        <f>IF(A20="","",PERKARA!P10)</f>
        <v/>
      </c>
      <c r="H20" s="84" t="str">
        <f>IF(A20="","",SUMIFS(INVOICE_PIUTANG!$L$5:$L$151,INVOICE_PIUTANG!$D$5:$D$151,A20,INVOICE_PIUTANG!$M$5:$M$151,"&gt;0"))</f>
        <v/>
      </c>
      <c r="I20" t="str">
        <f>IF(A20="","",IFERROR(_xludf.MAXIFS(INVOICE_PIUTANG!$M$5:$M$151,INVOICE_PIUTANG!$D$5:$D$151,A20),0))</f>
        <v/>
      </c>
      <c r="J20" t="str">
        <f>IF(OR(A20="",PERKARA!D10=""),"",PERKARA!D10)</f>
        <v/>
      </c>
    </row>
    <row r="21" spans="1:10">
      <c r="A21" t="str">
        <f>IF(PERKARA!A11="","",PERKARA!A11)</f>
        <v/>
      </c>
      <c r="B21" t="str">
        <f>IF(A21="","",PERKARA!B11)</f>
        <v/>
      </c>
      <c r="C21" s="84" t="str">
        <f>IF(A21="","",PERKARA!G11)</f>
        <v/>
      </c>
      <c r="D21" s="84" t="str">
        <f>IF(A21="","",PERKARA!H11)</f>
        <v/>
      </c>
      <c r="E21" s="84" t="str">
        <f>IF(A21="","",PERKARA!I11)</f>
        <v/>
      </c>
      <c r="F21" s="84" t="str">
        <f>IF(A21="","",PERKARA!J11)</f>
        <v/>
      </c>
      <c r="G21" s="84" t="str">
        <f>IF(A21="","",PERKARA!P11)</f>
        <v/>
      </c>
      <c r="H21" s="84" t="str">
        <f>IF(A21="","",SUMIFS(INVOICE_PIUTANG!$L$5:$L$151,INVOICE_PIUTANG!$D$5:$D$151,A21,INVOICE_PIUTANG!$M$5:$M$151,"&gt;0"))</f>
        <v/>
      </c>
      <c r="I21" t="str">
        <f>IF(A21="","",IFERROR(_xludf.MAXIFS(INVOICE_PIUTANG!$M$5:$M$151,INVOICE_PIUTANG!$D$5:$D$151,A21),0))</f>
        <v/>
      </c>
      <c r="J21" t="str">
        <f>IF(OR(A21="",PERKARA!D11=""),"",PERKARA!D11)</f>
        <v/>
      </c>
    </row>
    <row r="22" spans="1:10">
      <c r="A22" t="str">
        <f>IF(PERKARA!A12="","",PERKARA!A12)</f>
        <v/>
      </c>
      <c r="B22" t="str">
        <f>IF(A22="","",PERKARA!B12)</f>
        <v/>
      </c>
      <c r="C22" s="84" t="str">
        <f>IF(A22="","",PERKARA!G12)</f>
        <v/>
      </c>
      <c r="D22" s="84" t="str">
        <f>IF(A22="","",PERKARA!H12)</f>
        <v/>
      </c>
      <c r="E22" s="84" t="str">
        <f>IF(A22="","",PERKARA!I12)</f>
        <v/>
      </c>
      <c r="F22" s="84" t="str">
        <f>IF(A22="","",PERKARA!J12)</f>
        <v/>
      </c>
      <c r="G22" s="84" t="str">
        <f>IF(A22="","",PERKARA!P12)</f>
        <v/>
      </c>
      <c r="H22" s="84" t="str">
        <f>IF(A22="","",SUMIFS(INVOICE_PIUTANG!$L$5:$L$151,INVOICE_PIUTANG!$D$5:$D$151,A22,INVOICE_PIUTANG!$M$5:$M$151,"&gt;0"))</f>
        <v/>
      </c>
      <c r="I22" t="str">
        <f>IF(A22="","",IFERROR(_xludf.MAXIFS(INVOICE_PIUTANG!$M$5:$M$151,INVOICE_PIUTANG!$D$5:$D$151,A22),0))</f>
        <v/>
      </c>
      <c r="J22" t="str">
        <f>IF(OR(A22="",PERKARA!D12=""),"",PERKARA!D12)</f>
        <v/>
      </c>
    </row>
    <row r="23" spans="1:10">
      <c r="A23" t="str">
        <f>IF(PERKARA!A13="","",PERKARA!A13)</f>
        <v/>
      </c>
      <c r="B23" t="str">
        <f>IF(A23="","",PERKARA!B13)</f>
        <v/>
      </c>
      <c r="C23" s="84" t="str">
        <f>IF(A23="","",PERKARA!G13)</f>
        <v/>
      </c>
      <c r="D23" s="84" t="str">
        <f>IF(A23="","",PERKARA!H13)</f>
        <v/>
      </c>
      <c r="E23" s="84" t="str">
        <f>IF(A23="","",PERKARA!I13)</f>
        <v/>
      </c>
      <c r="F23" s="84" t="str">
        <f>IF(A23="","",PERKARA!J13)</f>
        <v/>
      </c>
      <c r="G23" s="84" t="str">
        <f>IF(A23="","",PERKARA!P13)</f>
        <v/>
      </c>
      <c r="H23" s="84" t="str">
        <f>IF(A23="","",SUMIFS(INVOICE_PIUTANG!$L$5:$L$151,INVOICE_PIUTANG!$D$5:$D$151,A23,INVOICE_PIUTANG!$M$5:$M$151,"&gt;0"))</f>
        <v/>
      </c>
      <c r="I23" t="str">
        <f>IF(A23="","",IFERROR(_xludf.MAXIFS(INVOICE_PIUTANG!$M$5:$M$151,INVOICE_PIUTANG!$D$5:$D$151,A23),0))</f>
        <v/>
      </c>
      <c r="J23" t="str">
        <f>IF(OR(A23="",PERKARA!D13=""),"",PERKARA!D13)</f>
        <v/>
      </c>
    </row>
    <row r="24" spans="1:10">
      <c r="A24" t="str">
        <f>IF(PERKARA!A14="","",PERKARA!A14)</f>
        <v/>
      </c>
      <c r="B24" t="str">
        <f>IF(A24="","",PERKARA!B14)</f>
        <v/>
      </c>
      <c r="C24" s="84" t="str">
        <f>IF(A24="","",PERKARA!G14)</f>
        <v/>
      </c>
      <c r="D24" s="84" t="str">
        <f>IF(A24="","",PERKARA!H14)</f>
        <v/>
      </c>
      <c r="E24" s="84" t="str">
        <f>IF(A24="","",PERKARA!I14)</f>
        <v/>
      </c>
      <c r="F24" s="84" t="str">
        <f>IF(A24="","",PERKARA!J14)</f>
        <v/>
      </c>
      <c r="G24" s="84" t="str">
        <f>IF(A24="","",PERKARA!P14)</f>
        <v/>
      </c>
      <c r="H24" s="84" t="str">
        <f>IF(A24="","",SUMIFS(INVOICE_PIUTANG!$L$5:$L$151,INVOICE_PIUTANG!$D$5:$D$151,A24,INVOICE_PIUTANG!$M$5:$M$151,"&gt;0"))</f>
        <v/>
      </c>
      <c r="I24" t="str">
        <f>IF(A24="","",IFERROR(_xludf.MAXIFS(INVOICE_PIUTANG!$M$5:$M$151,INVOICE_PIUTANG!$D$5:$D$151,A24),0))</f>
        <v/>
      </c>
      <c r="J24" t="str">
        <f>IF(OR(A24="",PERKARA!D14=""),"",PERKARA!D14)</f>
        <v/>
      </c>
    </row>
    <row r="25" spans="1:10">
      <c r="A25" t="str">
        <f>IF(PERKARA!A15="","",PERKARA!A15)</f>
        <v/>
      </c>
      <c r="B25" t="str">
        <f>IF(A25="","",PERKARA!B15)</f>
        <v/>
      </c>
      <c r="C25" s="84" t="str">
        <f>IF(A25="","",PERKARA!G15)</f>
        <v/>
      </c>
      <c r="D25" s="84" t="str">
        <f>IF(A25="","",PERKARA!H15)</f>
        <v/>
      </c>
      <c r="E25" s="84" t="str">
        <f>IF(A25="","",PERKARA!I15)</f>
        <v/>
      </c>
      <c r="F25" s="84" t="str">
        <f>IF(A25="","",PERKARA!J15)</f>
        <v/>
      </c>
      <c r="G25" s="84" t="str">
        <f>IF(A25="","",PERKARA!P15)</f>
        <v/>
      </c>
      <c r="H25" s="84" t="str">
        <f>IF(A25="","",SUMIFS(INVOICE_PIUTANG!$L$5:$L$151,INVOICE_PIUTANG!$D$5:$D$151,A25,INVOICE_PIUTANG!$M$5:$M$151,"&gt;0"))</f>
        <v/>
      </c>
      <c r="I25" t="str">
        <f>IF(A25="","",IFERROR(_xludf.MAXIFS(INVOICE_PIUTANG!$M$5:$M$151,INVOICE_PIUTANG!$D$5:$D$151,A25),0))</f>
        <v/>
      </c>
      <c r="J25" t="str">
        <f>IF(OR(A25="",PERKARA!D15=""),"",PERKARA!D15)</f>
        <v/>
      </c>
    </row>
    <row r="26" spans="1:10">
      <c r="A26" t="str">
        <f>IF(PERKARA!A16="","",PERKARA!A16)</f>
        <v/>
      </c>
      <c r="B26" t="str">
        <f>IF(A26="","",PERKARA!B16)</f>
        <v/>
      </c>
      <c r="C26" s="84" t="str">
        <f>IF(A26="","",PERKARA!G16)</f>
        <v/>
      </c>
      <c r="D26" s="84" t="str">
        <f>IF(A26="","",PERKARA!H16)</f>
        <v/>
      </c>
      <c r="E26" s="84" t="str">
        <f>IF(A26="","",PERKARA!I16)</f>
        <v/>
      </c>
      <c r="F26" s="84" t="str">
        <f>IF(A26="","",PERKARA!J16)</f>
        <v/>
      </c>
      <c r="G26" s="84" t="str">
        <f>IF(A26="","",PERKARA!P16)</f>
        <v/>
      </c>
      <c r="H26" s="84" t="str">
        <f>IF(A26="","",SUMIFS(INVOICE_PIUTANG!$L$5:$L$151,INVOICE_PIUTANG!$D$5:$D$151,A26,INVOICE_PIUTANG!$M$5:$M$151,"&gt;0"))</f>
        <v/>
      </c>
      <c r="I26" t="str">
        <f>IF(A26="","",IFERROR(_xludf.MAXIFS(INVOICE_PIUTANG!$M$5:$M$151,INVOICE_PIUTANG!$D$5:$D$151,A26),0))</f>
        <v/>
      </c>
      <c r="J26" t="str">
        <f>IF(OR(A26="",PERKARA!D16=""),"",PERKARA!D16)</f>
        <v/>
      </c>
    </row>
    <row r="27" spans="1:10">
      <c r="A27" t="str">
        <f>IF(PERKARA!A17="","",PERKARA!A17)</f>
        <v/>
      </c>
      <c r="B27" t="str">
        <f>IF(A27="","",PERKARA!B17)</f>
        <v/>
      </c>
      <c r="C27" s="84" t="str">
        <f>IF(A27="","",PERKARA!G17)</f>
        <v/>
      </c>
      <c r="D27" s="84" t="str">
        <f>IF(A27="","",PERKARA!H17)</f>
        <v/>
      </c>
      <c r="E27" s="84" t="str">
        <f>IF(A27="","",PERKARA!I17)</f>
        <v/>
      </c>
      <c r="F27" s="84" t="str">
        <f>IF(A27="","",PERKARA!J17)</f>
        <v/>
      </c>
      <c r="G27" s="84" t="str">
        <f>IF(A27="","",PERKARA!P17)</f>
        <v/>
      </c>
      <c r="H27" s="84" t="str">
        <f>IF(A27="","",SUMIFS(INVOICE_PIUTANG!$L$5:$L$151,INVOICE_PIUTANG!$D$5:$D$151,A27,INVOICE_PIUTANG!$M$5:$M$151,"&gt;0"))</f>
        <v/>
      </c>
      <c r="I27" t="str">
        <f>IF(A27="","",IFERROR(_xludf.MAXIFS(INVOICE_PIUTANG!$M$5:$M$151,INVOICE_PIUTANG!$D$5:$D$151,A27),0))</f>
        <v/>
      </c>
      <c r="J27" t="str">
        <f>IF(OR(A27="",PERKARA!D17=""),"",PERKARA!D17)</f>
        <v/>
      </c>
    </row>
    <row r="28" spans="1:10">
      <c r="A28" t="str">
        <f>IF(PERKARA!A18="","",PERKARA!A18)</f>
        <v/>
      </c>
      <c r="B28" t="str">
        <f>IF(A28="","",PERKARA!B18)</f>
        <v/>
      </c>
      <c r="C28" s="84" t="str">
        <f>IF(A28="","",PERKARA!G18)</f>
        <v/>
      </c>
      <c r="D28" s="84" t="str">
        <f>IF(A28="","",PERKARA!H18)</f>
        <v/>
      </c>
      <c r="E28" s="84" t="str">
        <f>IF(A28="","",PERKARA!I18)</f>
        <v/>
      </c>
      <c r="F28" s="84" t="str">
        <f>IF(A28="","",PERKARA!J18)</f>
        <v/>
      </c>
      <c r="G28" s="84" t="str">
        <f>IF(A28="","",PERKARA!P18)</f>
        <v/>
      </c>
      <c r="H28" s="84" t="str">
        <f>IF(A28="","",SUMIFS(INVOICE_PIUTANG!$L$5:$L$151,INVOICE_PIUTANG!$D$5:$D$151,A28,INVOICE_PIUTANG!$M$5:$M$151,"&gt;0"))</f>
        <v/>
      </c>
      <c r="I28" t="str">
        <f>IF(A28="","",IFERROR(_xludf.MAXIFS(INVOICE_PIUTANG!$M$5:$M$151,INVOICE_PIUTANG!$D$5:$D$151,A28),0))</f>
        <v/>
      </c>
      <c r="J28" t="str">
        <f>IF(OR(A28="",PERKARA!D18=""),"",PERKARA!D18)</f>
        <v/>
      </c>
    </row>
    <row r="29" spans="1:10">
      <c r="A29" t="str">
        <f>IF(PERKARA!A19="","",PERKARA!A19)</f>
        <v/>
      </c>
      <c r="B29" t="str">
        <f>IF(A29="","",PERKARA!B19)</f>
        <v/>
      </c>
      <c r="C29" s="84" t="str">
        <f>IF(A29="","",PERKARA!G19)</f>
        <v/>
      </c>
      <c r="D29" s="84" t="str">
        <f>IF(A29="","",PERKARA!H19)</f>
        <v/>
      </c>
      <c r="E29" s="84" t="str">
        <f>IF(A29="","",PERKARA!I19)</f>
        <v/>
      </c>
      <c r="F29" s="84" t="str">
        <f>IF(A29="","",PERKARA!J19)</f>
        <v/>
      </c>
      <c r="G29" s="84" t="str">
        <f>IF(A29="","",PERKARA!P19)</f>
        <v/>
      </c>
      <c r="H29" s="84" t="str">
        <f>IF(A29="","",SUMIFS(INVOICE_PIUTANG!$L$5:$L$151,INVOICE_PIUTANG!$D$5:$D$151,A29,INVOICE_PIUTANG!$M$5:$M$151,"&gt;0"))</f>
        <v/>
      </c>
      <c r="I29" t="str">
        <f>IF(A29="","",IFERROR(_xludf.MAXIFS(INVOICE_PIUTANG!$M$5:$M$151,INVOICE_PIUTANG!$D$5:$D$151,A29),0))</f>
        <v/>
      </c>
      <c r="J29" t="str">
        <f>IF(OR(A29="",PERKARA!D19=""),"",PERKARA!D19)</f>
        <v/>
      </c>
    </row>
    <row r="30" spans="1:10">
      <c r="A30" t="str">
        <f>IF(PERKARA!A20="","",PERKARA!A20)</f>
        <v/>
      </c>
      <c r="B30" t="str">
        <f>IF(A30="","",PERKARA!B20)</f>
        <v/>
      </c>
      <c r="C30" s="84" t="str">
        <f>IF(A30="","",PERKARA!G20)</f>
        <v/>
      </c>
      <c r="D30" s="84" t="str">
        <f>IF(A30="","",PERKARA!H20)</f>
        <v/>
      </c>
      <c r="E30" s="84" t="str">
        <f>IF(A30="","",PERKARA!I20)</f>
        <v/>
      </c>
      <c r="F30" s="84" t="str">
        <f>IF(A30="","",PERKARA!J20)</f>
        <v/>
      </c>
      <c r="G30" s="84" t="str">
        <f>IF(A30="","",PERKARA!P20)</f>
        <v/>
      </c>
      <c r="H30" s="84" t="str">
        <f>IF(A30="","",SUMIFS(INVOICE_PIUTANG!$L$5:$L$151,INVOICE_PIUTANG!$D$5:$D$151,A30,INVOICE_PIUTANG!$M$5:$M$151,"&gt;0"))</f>
        <v/>
      </c>
      <c r="I30" t="str">
        <f>IF(A30="","",IFERROR(_xludf.MAXIFS(INVOICE_PIUTANG!$M$5:$M$151,INVOICE_PIUTANG!$D$5:$D$151,A30),0))</f>
        <v/>
      </c>
      <c r="J30" t="str">
        <f>IF(OR(A30="",PERKARA!D20=""),"",PERKARA!D20)</f>
        <v/>
      </c>
    </row>
    <row r="31" spans="1:10">
      <c r="A31" t="str">
        <f>IF(PERKARA!A21="","",PERKARA!A21)</f>
        <v/>
      </c>
      <c r="B31" t="str">
        <f>IF(A31="","",PERKARA!B21)</f>
        <v/>
      </c>
      <c r="C31" s="84" t="str">
        <f>IF(A31="","",PERKARA!G21)</f>
        <v/>
      </c>
      <c r="D31" s="84" t="str">
        <f>IF(A31="","",PERKARA!H21)</f>
        <v/>
      </c>
      <c r="E31" s="84" t="str">
        <f>IF(A31="","",PERKARA!I21)</f>
        <v/>
      </c>
      <c r="F31" s="84" t="str">
        <f>IF(A31="","",PERKARA!J21)</f>
        <v/>
      </c>
      <c r="G31" s="84" t="str">
        <f>IF(A31="","",PERKARA!P21)</f>
        <v/>
      </c>
      <c r="H31" s="84" t="str">
        <f>IF(A31="","",SUMIFS(INVOICE_PIUTANG!$L$5:$L$151,INVOICE_PIUTANG!$D$5:$D$151,A31,INVOICE_PIUTANG!$M$5:$M$151,"&gt;0"))</f>
        <v/>
      </c>
      <c r="I31" t="str">
        <f>IF(A31="","",IFERROR(_xludf.MAXIFS(INVOICE_PIUTANG!$M$5:$M$151,INVOICE_PIUTANG!$D$5:$D$151,A31),0))</f>
        <v/>
      </c>
      <c r="J31" t="str">
        <f>IF(OR(A31="",PERKARA!D21=""),"",PERKARA!D21)</f>
        <v/>
      </c>
    </row>
    <row r="32" spans="1:10">
      <c r="A32" t="str">
        <f>IF(PERKARA!A22="","",PERKARA!A22)</f>
        <v/>
      </c>
      <c r="B32" t="str">
        <f>IF(A32="","",PERKARA!B22)</f>
        <v/>
      </c>
      <c r="C32" s="84" t="str">
        <f>IF(A32="","",PERKARA!G22)</f>
        <v/>
      </c>
      <c r="D32" s="84" t="str">
        <f>IF(A32="","",PERKARA!H22)</f>
        <v/>
      </c>
      <c r="E32" s="84" t="str">
        <f>IF(A32="","",PERKARA!I22)</f>
        <v/>
      </c>
      <c r="F32" s="84" t="str">
        <f>IF(A32="","",PERKARA!J22)</f>
        <v/>
      </c>
      <c r="G32" s="84" t="str">
        <f>IF(A32="","",PERKARA!P22)</f>
        <v/>
      </c>
      <c r="H32" s="84" t="str">
        <f>IF(A32="","",SUMIFS(INVOICE_PIUTANG!$L$5:$L$151,INVOICE_PIUTANG!$D$5:$D$151,A32,INVOICE_PIUTANG!$M$5:$M$151,"&gt;0"))</f>
        <v/>
      </c>
      <c r="I32" t="str">
        <f>IF(A32="","",IFERROR(_xludf.MAXIFS(INVOICE_PIUTANG!$M$5:$M$151,INVOICE_PIUTANG!$D$5:$D$151,A32),0))</f>
        <v/>
      </c>
      <c r="J32" t="str">
        <f>IF(OR(A32="",PERKARA!D22=""),"",PERKARA!D22)</f>
        <v/>
      </c>
    </row>
    <row r="33" spans="1:10">
      <c r="A33" t="str">
        <f>IF(PERKARA!A23="","",PERKARA!A23)</f>
        <v/>
      </c>
      <c r="B33" t="str">
        <f>IF(A33="","",PERKARA!B23)</f>
        <v/>
      </c>
      <c r="C33" s="84" t="str">
        <f>IF(A33="","",PERKARA!G23)</f>
        <v/>
      </c>
      <c r="D33" s="84" t="str">
        <f>IF(A33="","",PERKARA!H23)</f>
        <v/>
      </c>
      <c r="E33" s="84" t="str">
        <f>IF(A33="","",PERKARA!I23)</f>
        <v/>
      </c>
      <c r="F33" s="84" t="str">
        <f>IF(A33="","",PERKARA!J23)</f>
        <v/>
      </c>
      <c r="G33" s="84" t="str">
        <f>IF(A33="","",PERKARA!P23)</f>
        <v/>
      </c>
      <c r="H33" s="84" t="str">
        <f>IF(A33="","",SUMIFS(INVOICE_PIUTANG!$L$5:$L$151,INVOICE_PIUTANG!$D$5:$D$151,A33,INVOICE_PIUTANG!$M$5:$M$151,"&gt;0"))</f>
        <v/>
      </c>
      <c r="I33" t="str">
        <f>IF(A33="","",IFERROR(_xludf.MAXIFS(INVOICE_PIUTANG!$M$5:$M$151,INVOICE_PIUTANG!$D$5:$D$151,A33),0))</f>
        <v/>
      </c>
      <c r="J33" t="str">
        <f>IF(OR(A33="",PERKARA!D23=""),"",PERKARA!D23)</f>
        <v/>
      </c>
    </row>
    <row r="34" spans="1:10">
      <c r="A34" t="str">
        <f>IF(PERKARA!A24="","",PERKARA!A24)</f>
        <v/>
      </c>
      <c r="B34" t="str">
        <f>IF(A34="","",PERKARA!B24)</f>
        <v/>
      </c>
      <c r="C34" s="84" t="str">
        <f>IF(A34="","",PERKARA!G24)</f>
        <v/>
      </c>
      <c r="D34" s="84" t="str">
        <f>IF(A34="","",PERKARA!H24)</f>
        <v/>
      </c>
      <c r="E34" s="84" t="str">
        <f>IF(A34="","",PERKARA!I24)</f>
        <v/>
      </c>
      <c r="F34" s="84" t="str">
        <f>IF(A34="","",PERKARA!J24)</f>
        <v/>
      </c>
      <c r="G34" s="84" t="str">
        <f>IF(A34="","",PERKARA!P24)</f>
        <v/>
      </c>
      <c r="H34" s="84" t="str">
        <f>IF(A34="","",SUMIFS(INVOICE_PIUTANG!$L$5:$L$151,INVOICE_PIUTANG!$D$5:$D$151,A34,INVOICE_PIUTANG!$M$5:$M$151,"&gt;0"))</f>
        <v/>
      </c>
      <c r="I34" t="str">
        <f>IF(A34="","",IFERROR(_xludf.MAXIFS(INVOICE_PIUTANG!$M$5:$M$151,INVOICE_PIUTANG!$D$5:$D$151,A34),0))</f>
        <v/>
      </c>
      <c r="J34" t="str">
        <f>IF(OR(A34="",PERKARA!D24=""),"",PERKARA!D24)</f>
        <v/>
      </c>
    </row>
    <row r="35" spans="1:10">
      <c r="A35" t="str">
        <f>IF(PERKARA!A25="","",PERKARA!A25)</f>
        <v/>
      </c>
      <c r="B35" t="str">
        <f>IF(A35="","",PERKARA!B25)</f>
        <v/>
      </c>
      <c r="C35" s="84" t="str">
        <f>IF(A35="","",PERKARA!G25)</f>
        <v/>
      </c>
      <c r="D35" s="84" t="str">
        <f>IF(A35="","",PERKARA!H25)</f>
        <v/>
      </c>
      <c r="E35" s="84" t="str">
        <f>IF(A35="","",PERKARA!I25)</f>
        <v/>
      </c>
      <c r="F35" s="84" t="str">
        <f>IF(A35="","",PERKARA!J25)</f>
        <v/>
      </c>
      <c r="G35" s="84" t="str">
        <f>IF(A35="","",PERKARA!P25)</f>
        <v/>
      </c>
      <c r="H35" s="84" t="str">
        <f>IF(A35="","",SUMIFS(INVOICE_PIUTANG!$L$5:$L$151,INVOICE_PIUTANG!$D$5:$D$151,A35,INVOICE_PIUTANG!$M$5:$M$151,"&gt;0"))</f>
        <v/>
      </c>
      <c r="I35" t="str">
        <f>IF(A35="","",IFERROR(_xludf.MAXIFS(INVOICE_PIUTANG!$M$5:$M$151,INVOICE_PIUTANG!$D$5:$D$151,A35),0))</f>
        <v/>
      </c>
      <c r="J35" t="str">
        <f>IF(OR(A35="",PERKARA!D25=""),"",PERKARA!D25)</f>
        <v/>
      </c>
    </row>
    <row r="36" spans="1:10">
      <c r="A36" t="str">
        <f>IF(PERKARA!A26="","",PERKARA!A26)</f>
        <v/>
      </c>
      <c r="B36" t="str">
        <f>IF(A36="","",PERKARA!B26)</f>
        <v/>
      </c>
      <c r="C36" s="84" t="str">
        <f>IF(A36="","",PERKARA!G26)</f>
        <v/>
      </c>
      <c r="D36" s="84" t="str">
        <f>IF(A36="","",PERKARA!H26)</f>
        <v/>
      </c>
      <c r="E36" s="84" t="str">
        <f>IF(A36="","",PERKARA!I26)</f>
        <v/>
      </c>
      <c r="F36" s="84" t="str">
        <f>IF(A36="","",PERKARA!J26)</f>
        <v/>
      </c>
      <c r="G36" s="84" t="str">
        <f>IF(A36="","",PERKARA!P26)</f>
        <v/>
      </c>
      <c r="H36" s="84" t="str">
        <f>IF(A36="","",SUMIFS(INVOICE_PIUTANG!$L$5:$L$151,INVOICE_PIUTANG!$D$5:$D$151,A36,INVOICE_PIUTANG!$M$5:$M$151,"&gt;0"))</f>
        <v/>
      </c>
      <c r="I36" t="str">
        <f>IF(A36="","",IFERROR(_xludf.MAXIFS(INVOICE_PIUTANG!$M$5:$M$151,INVOICE_PIUTANG!$D$5:$D$151,A36),0))</f>
        <v/>
      </c>
      <c r="J36" t="str">
        <f>IF(OR(A36="",PERKARA!D26=""),"",PERKARA!D26)</f>
        <v/>
      </c>
    </row>
    <row r="37" spans="1:10">
      <c r="A37" t="str">
        <f>IF(PERKARA!A27="","",PERKARA!A27)</f>
        <v/>
      </c>
      <c r="B37" t="str">
        <f>IF(A37="","",PERKARA!B27)</f>
        <v/>
      </c>
      <c r="C37" s="84" t="str">
        <f>IF(A37="","",PERKARA!G27)</f>
        <v/>
      </c>
      <c r="D37" s="84" t="str">
        <f>IF(A37="","",PERKARA!H27)</f>
        <v/>
      </c>
      <c r="E37" s="84" t="str">
        <f>IF(A37="","",PERKARA!I27)</f>
        <v/>
      </c>
      <c r="F37" s="84" t="str">
        <f>IF(A37="","",PERKARA!J27)</f>
        <v/>
      </c>
      <c r="G37" s="84" t="str">
        <f>IF(A37="","",PERKARA!P27)</f>
        <v/>
      </c>
      <c r="H37" s="84" t="str">
        <f>IF(A37="","",SUMIFS(INVOICE_PIUTANG!$L$5:$L$151,INVOICE_PIUTANG!$D$5:$D$151,A37,INVOICE_PIUTANG!$M$5:$M$151,"&gt;0"))</f>
        <v/>
      </c>
      <c r="I37" t="str">
        <f>IF(A37="","",IFERROR(_xludf.MAXIFS(INVOICE_PIUTANG!$M$5:$M$151,INVOICE_PIUTANG!$D$5:$D$151,A37),0))</f>
        <v/>
      </c>
      <c r="J37" t="str">
        <f>IF(OR(A37="",PERKARA!D27=""),"",PERKARA!D27)</f>
        <v/>
      </c>
    </row>
    <row r="38" spans="1:10">
      <c r="A38" t="str">
        <f>IF(PERKARA!A28="","",PERKARA!A28)</f>
        <v/>
      </c>
      <c r="B38" t="str">
        <f>IF(A38="","",PERKARA!B28)</f>
        <v/>
      </c>
      <c r="C38" s="84" t="str">
        <f>IF(A38="","",PERKARA!G28)</f>
        <v/>
      </c>
      <c r="D38" s="84" t="str">
        <f>IF(A38="","",PERKARA!H28)</f>
        <v/>
      </c>
      <c r="E38" s="84" t="str">
        <f>IF(A38="","",PERKARA!I28)</f>
        <v/>
      </c>
      <c r="F38" s="84" t="str">
        <f>IF(A38="","",PERKARA!J28)</f>
        <v/>
      </c>
      <c r="G38" s="84" t="str">
        <f>IF(A38="","",PERKARA!P28)</f>
        <v/>
      </c>
      <c r="H38" s="84" t="str">
        <f>IF(A38="","",SUMIFS(INVOICE_PIUTANG!$L$5:$L$151,INVOICE_PIUTANG!$D$5:$D$151,A38,INVOICE_PIUTANG!$M$5:$M$151,"&gt;0"))</f>
        <v/>
      </c>
      <c r="I38" t="str">
        <f>IF(A38="","",IFERROR(_xludf.MAXIFS(INVOICE_PIUTANG!$M$5:$M$151,INVOICE_PIUTANG!$D$5:$D$151,A38),0))</f>
        <v/>
      </c>
      <c r="J38" t="str">
        <f>IF(OR(A38="",PERKARA!D28=""),"",PERKARA!D28)</f>
        <v/>
      </c>
    </row>
    <row r="39" spans="1:10">
      <c r="A39" t="str">
        <f>IF(PERKARA!A29="","",PERKARA!A29)</f>
        <v/>
      </c>
      <c r="B39" t="str">
        <f>IF(A39="","",PERKARA!B29)</f>
        <v/>
      </c>
      <c r="C39" s="84" t="str">
        <f>IF(A39="","",PERKARA!G29)</f>
        <v/>
      </c>
      <c r="D39" s="84" t="str">
        <f>IF(A39="","",PERKARA!H29)</f>
        <v/>
      </c>
      <c r="E39" s="84" t="str">
        <f>IF(A39="","",PERKARA!I29)</f>
        <v/>
      </c>
      <c r="F39" s="84" t="str">
        <f>IF(A39="","",PERKARA!J29)</f>
        <v/>
      </c>
      <c r="G39" s="84" t="str">
        <f>IF(A39="","",PERKARA!P29)</f>
        <v/>
      </c>
      <c r="H39" s="84" t="str">
        <f>IF(A39="","",SUMIFS(INVOICE_PIUTANG!$L$5:$L$151,INVOICE_PIUTANG!$D$5:$D$151,A39,INVOICE_PIUTANG!$M$5:$M$151,"&gt;0"))</f>
        <v/>
      </c>
      <c r="I39" t="str">
        <f>IF(A39="","",IFERROR(_xludf.MAXIFS(INVOICE_PIUTANG!$M$5:$M$151,INVOICE_PIUTANG!$D$5:$D$151,A39),0))</f>
        <v/>
      </c>
      <c r="J39" t="str">
        <f>IF(OR(A39="",PERKARA!D29=""),"",PERKARA!D29)</f>
        <v/>
      </c>
    </row>
    <row r="40" spans="1:10">
      <c r="A40" t="str">
        <f>IF(PERKARA!A30="","",PERKARA!A30)</f>
        <v/>
      </c>
      <c r="B40" t="str">
        <f>IF(A40="","",PERKARA!B30)</f>
        <v/>
      </c>
      <c r="C40" s="84" t="str">
        <f>IF(A40="","",PERKARA!G30)</f>
        <v/>
      </c>
      <c r="D40" s="84" t="str">
        <f>IF(A40="","",PERKARA!H30)</f>
        <v/>
      </c>
      <c r="E40" s="84" t="str">
        <f>IF(A40="","",PERKARA!I30)</f>
        <v/>
      </c>
      <c r="F40" s="84" t="str">
        <f>IF(A40="","",PERKARA!J30)</f>
        <v/>
      </c>
      <c r="G40" s="84" t="str">
        <f>IF(A40="","",PERKARA!P30)</f>
        <v/>
      </c>
      <c r="H40" s="84" t="str">
        <f>IF(A40="","",SUMIFS(INVOICE_PIUTANG!$L$5:$L$151,INVOICE_PIUTANG!$D$5:$D$151,A40,INVOICE_PIUTANG!$M$5:$M$151,"&gt;0"))</f>
        <v/>
      </c>
      <c r="I40" t="str">
        <f>IF(A40="","",IFERROR(_xludf.MAXIFS(INVOICE_PIUTANG!$M$5:$M$151,INVOICE_PIUTANG!$D$5:$D$151,A40),0))</f>
        <v/>
      </c>
      <c r="J40" t="str">
        <f>IF(OR(A40="",PERKARA!D30=""),"",PERKARA!D30)</f>
        <v/>
      </c>
    </row>
    <row r="41" spans="1:10">
      <c r="A41" t="str">
        <f>IF(PERKARA!A31="","",PERKARA!A31)</f>
        <v/>
      </c>
      <c r="B41" t="str">
        <f>IF(A41="","",PERKARA!B31)</f>
        <v/>
      </c>
      <c r="C41" s="84" t="str">
        <f>IF(A41="","",PERKARA!G31)</f>
        <v/>
      </c>
      <c r="D41" s="84" t="str">
        <f>IF(A41="","",PERKARA!H31)</f>
        <v/>
      </c>
      <c r="E41" s="84" t="str">
        <f>IF(A41="","",PERKARA!I31)</f>
        <v/>
      </c>
      <c r="F41" s="84" t="str">
        <f>IF(A41="","",PERKARA!J31)</f>
        <v/>
      </c>
      <c r="G41" s="84" t="str">
        <f>IF(A41="","",PERKARA!P31)</f>
        <v/>
      </c>
      <c r="H41" s="84" t="str">
        <f>IF(A41="","",SUMIFS(INVOICE_PIUTANG!$L$5:$L$151,INVOICE_PIUTANG!$D$5:$D$151,A41,INVOICE_PIUTANG!$M$5:$M$151,"&gt;0"))</f>
        <v/>
      </c>
      <c r="I41" t="str">
        <f>IF(A41="","",IFERROR(_xludf.MAXIFS(INVOICE_PIUTANG!$M$5:$M$151,INVOICE_PIUTANG!$D$5:$D$151,A41),0))</f>
        <v/>
      </c>
      <c r="J41" t="str">
        <f>IF(OR(A41="",PERKARA!D31=""),"",PERKARA!D31)</f>
        <v/>
      </c>
    </row>
    <row r="42" spans="1:10">
      <c r="A42" t="str">
        <f>IF(PERKARA!A32="","",PERKARA!A32)</f>
        <v/>
      </c>
      <c r="B42" t="str">
        <f>IF(A42="","",PERKARA!B32)</f>
        <v/>
      </c>
      <c r="C42" s="84" t="str">
        <f>IF(A42="","",PERKARA!G32)</f>
        <v/>
      </c>
      <c r="D42" s="84" t="str">
        <f>IF(A42="","",PERKARA!H32)</f>
        <v/>
      </c>
      <c r="E42" s="84" t="str">
        <f>IF(A42="","",PERKARA!I32)</f>
        <v/>
      </c>
      <c r="F42" s="84" t="str">
        <f>IF(A42="","",PERKARA!J32)</f>
        <v/>
      </c>
      <c r="G42" s="84" t="str">
        <f>IF(A42="","",PERKARA!P32)</f>
        <v/>
      </c>
      <c r="H42" s="84" t="str">
        <f>IF(A42="","",SUMIFS(INVOICE_PIUTANG!$L$5:$L$151,INVOICE_PIUTANG!$D$5:$D$151,A42,INVOICE_PIUTANG!$M$5:$M$151,"&gt;0"))</f>
        <v/>
      </c>
      <c r="I42" t="str">
        <f>IF(A42="","",IFERROR(_xludf.MAXIFS(INVOICE_PIUTANG!$M$5:$M$151,INVOICE_PIUTANG!$D$5:$D$151,A42),0))</f>
        <v/>
      </c>
      <c r="J42" t="str">
        <f>IF(OR(A42="",PERKARA!D32=""),"",PERKARA!D32)</f>
        <v/>
      </c>
    </row>
    <row r="43" spans="1:10">
      <c r="A43" t="str">
        <f>IF(PERKARA!A33="","",PERKARA!A33)</f>
        <v/>
      </c>
      <c r="B43" t="str">
        <f>IF(A43="","",PERKARA!B33)</f>
        <v/>
      </c>
      <c r="C43" s="84" t="str">
        <f>IF(A43="","",PERKARA!G33)</f>
        <v/>
      </c>
      <c r="D43" s="84" t="str">
        <f>IF(A43="","",PERKARA!H33)</f>
        <v/>
      </c>
      <c r="E43" s="84" t="str">
        <f>IF(A43="","",PERKARA!I33)</f>
        <v/>
      </c>
      <c r="F43" s="84" t="str">
        <f>IF(A43="","",PERKARA!J33)</f>
        <v/>
      </c>
      <c r="G43" s="84" t="str">
        <f>IF(A43="","",PERKARA!P33)</f>
        <v/>
      </c>
      <c r="H43" s="84" t="str">
        <f>IF(A43="","",SUMIFS(INVOICE_PIUTANG!$L$5:$L$151,INVOICE_PIUTANG!$D$5:$D$151,A43,INVOICE_PIUTANG!$M$5:$M$151,"&gt;0"))</f>
        <v/>
      </c>
      <c r="I43" t="str">
        <f>IF(A43="","",IFERROR(_xludf.MAXIFS(INVOICE_PIUTANG!$M$5:$M$151,INVOICE_PIUTANG!$D$5:$D$151,A43),0))</f>
        <v/>
      </c>
      <c r="J43" t="str">
        <f>IF(OR(A43="",PERKARA!D33=""),"",PERKARA!D33)</f>
        <v/>
      </c>
    </row>
    <row r="44" spans="1:10">
      <c r="A44" t="str">
        <f>IF(PERKARA!A34="","",PERKARA!A34)</f>
        <v/>
      </c>
      <c r="B44" t="str">
        <f>IF(A44="","",PERKARA!B34)</f>
        <v/>
      </c>
      <c r="C44" s="84" t="str">
        <f>IF(A44="","",PERKARA!G34)</f>
        <v/>
      </c>
      <c r="D44" s="84" t="str">
        <f>IF(A44="","",PERKARA!H34)</f>
        <v/>
      </c>
      <c r="E44" s="84" t="str">
        <f>IF(A44="","",PERKARA!I34)</f>
        <v/>
      </c>
      <c r="F44" s="84" t="str">
        <f>IF(A44="","",PERKARA!J34)</f>
        <v/>
      </c>
      <c r="G44" s="84" t="str">
        <f>IF(A44="","",PERKARA!P34)</f>
        <v/>
      </c>
      <c r="H44" s="84" t="str">
        <f>IF(A44="","",SUMIFS(INVOICE_PIUTANG!$L$5:$L$151,INVOICE_PIUTANG!$D$5:$D$151,A44,INVOICE_PIUTANG!$M$5:$M$151,"&gt;0"))</f>
        <v/>
      </c>
      <c r="I44" t="str">
        <f>IF(A44="","",IFERROR(_xludf.MAXIFS(INVOICE_PIUTANG!$M$5:$M$151,INVOICE_PIUTANG!$D$5:$D$151,A44),0))</f>
        <v/>
      </c>
      <c r="J44" t="str">
        <f>IF(OR(A44="",PERKARA!D34=""),"",PERKARA!D34)</f>
        <v/>
      </c>
    </row>
    <row r="45" spans="1:10">
      <c r="A45" t="str">
        <f>IF(PERKARA!A35="","",PERKARA!A35)</f>
        <v/>
      </c>
      <c r="B45" t="str">
        <f>IF(A45="","",PERKARA!B35)</f>
        <v/>
      </c>
      <c r="C45" s="84" t="str">
        <f>IF(A45="","",PERKARA!G35)</f>
        <v/>
      </c>
      <c r="D45" s="84" t="str">
        <f>IF(A45="","",PERKARA!H35)</f>
        <v/>
      </c>
      <c r="E45" s="84" t="str">
        <f>IF(A45="","",PERKARA!I35)</f>
        <v/>
      </c>
      <c r="F45" s="84" t="str">
        <f>IF(A45="","",PERKARA!J35)</f>
        <v/>
      </c>
      <c r="G45" s="84" t="str">
        <f>IF(A45="","",PERKARA!P35)</f>
        <v/>
      </c>
      <c r="H45" s="84" t="str">
        <f>IF(A45="","",SUMIFS(INVOICE_PIUTANG!$L$5:$L$151,INVOICE_PIUTANG!$D$5:$D$151,A45,INVOICE_PIUTANG!$M$5:$M$151,"&gt;0"))</f>
        <v/>
      </c>
      <c r="I45" t="str">
        <f>IF(A45="","",IFERROR(_xludf.MAXIFS(INVOICE_PIUTANG!$M$5:$M$151,INVOICE_PIUTANG!$D$5:$D$151,A45),0))</f>
        <v/>
      </c>
      <c r="J45" t="str">
        <f>IF(OR(A45="",PERKARA!D35=""),"",PERKARA!D35)</f>
        <v/>
      </c>
    </row>
    <row r="46" spans="1:10">
      <c r="A46" t="str">
        <f>IF(PERKARA!A36="","",PERKARA!A36)</f>
        <v/>
      </c>
      <c r="B46" t="str">
        <f>IF(A46="","",PERKARA!B36)</f>
        <v/>
      </c>
      <c r="C46" s="84" t="str">
        <f>IF(A46="","",PERKARA!G36)</f>
        <v/>
      </c>
      <c r="D46" s="84" t="str">
        <f>IF(A46="","",PERKARA!H36)</f>
        <v/>
      </c>
      <c r="E46" s="84" t="str">
        <f>IF(A46="","",PERKARA!I36)</f>
        <v/>
      </c>
      <c r="F46" s="84" t="str">
        <f>IF(A46="","",PERKARA!J36)</f>
        <v/>
      </c>
      <c r="G46" s="84" t="str">
        <f>IF(A46="","",PERKARA!P36)</f>
        <v/>
      </c>
      <c r="H46" s="84" t="str">
        <f>IF(A46="","",SUMIFS(INVOICE_PIUTANG!$L$5:$L$151,INVOICE_PIUTANG!$D$5:$D$151,A46,INVOICE_PIUTANG!$M$5:$M$151,"&gt;0"))</f>
        <v/>
      </c>
      <c r="I46" t="str">
        <f>IF(A46="","",IFERROR(_xludf.MAXIFS(INVOICE_PIUTANG!$M$5:$M$151,INVOICE_PIUTANG!$D$5:$D$151,A46),0))</f>
        <v/>
      </c>
      <c r="J46" t="str">
        <f>IF(OR(A46="",PERKARA!D36=""),"",PERKARA!D36)</f>
        <v/>
      </c>
    </row>
    <row r="47" spans="1:10">
      <c r="A47" t="str">
        <f>IF(PERKARA!A37="","",PERKARA!A37)</f>
        <v/>
      </c>
      <c r="B47" t="str">
        <f>IF(A47="","",PERKARA!B37)</f>
        <v/>
      </c>
      <c r="C47" s="84" t="str">
        <f>IF(A47="","",PERKARA!G37)</f>
        <v/>
      </c>
      <c r="D47" s="84" t="str">
        <f>IF(A47="","",PERKARA!H37)</f>
        <v/>
      </c>
      <c r="E47" s="84" t="str">
        <f>IF(A47="","",PERKARA!I37)</f>
        <v/>
      </c>
      <c r="F47" s="84" t="str">
        <f>IF(A47="","",PERKARA!J37)</f>
        <v/>
      </c>
      <c r="G47" s="84" t="str">
        <f>IF(A47="","",PERKARA!P37)</f>
        <v/>
      </c>
      <c r="H47" s="84" t="str">
        <f>IF(A47="","",SUMIFS(INVOICE_PIUTANG!$L$5:$L$151,INVOICE_PIUTANG!$D$5:$D$151,A47,INVOICE_PIUTANG!$M$5:$M$151,"&gt;0"))</f>
        <v/>
      </c>
      <c r="I47" t="str">
        <f>IF(A47="","",IFERROR(_xludf.MAXIFS(INVOICE_PIUTANG!$M$5:$M$151,INVOICE_PIUTANG!$D$5:$D$151,A47),0))</f>
        <v/>
      </c>
      <c r="J47" t="str">
        <f>IF(OR(A47="",PERKARA!D37=""),"",PERKARA!D37)</f>
        <v/>
      </c>
    </row>
    <row r="48" spans="1:10">
      <c r="A48" t="str">
        <f>IF(PERKARA!A38="","",PERKARA!A38)</f>
        <v/>
      </c>
      <c r="B48" t="str">
        <f>IF(A48="","",PERKARA!B38)</f>
        <v/>
      </c>
      <c r="C48" s="84" t="str">
        <f>IF(A48="","",PERKARA!G38)</f>
        <v/>
      </c>
      <c r="D48" s="84" t="str">
        <f>IF(A48="","",PERKARA!H38)</f>
        <v/>
      </c>
      <c r="E48" s="84" t="str">
        <f>IF(A48="","",PERKARA!I38)</f>
        <v/>
      </c>
      <c r="F48" s="84" t="str">
        <f>IF(A48="","",PERKARA!J38)</f>
        <v/>
      </c>
      <c r="G48" s="84" t="str">
        <f>IF(A48="","",PERKARA!P38)</f>
        <v/>
      </c>
      <c r="H48" s="84" t="str">
        <f>IF(A48="","",SUMIFS(INVOICE_PIUTANG!$L$5:$L$151,INVOICE_PIUTANG!$D$5:$D$151,A48,INVOICE_PIUTANG!$M$5:$M$151,"&gt;0"))</f>
        <v/>
      </c>
      <c r="I48" t="str">
        <f>IF(A48="","",IFERROR(_xludf.MAXIFS(INVOICE_PIUTANG!$M$5:$M$151,INVOICE_PIUTANG!$D$5:$D$151,A48),0))</f>
        <v/>
      </c>
      <c r="J48" t="str">
        <f>IF(OR(A48="",PERKARA!D38=""),"",PERKARA!D38)</f>
        <v/>
      </c>
    </row>
    <row r="49" spans="1:10">
      <c r="A49" t="str">
        <f>IF(PERKARA!A39="","",PERKARA!A39)</f>
        <v/>
      </c>
      <c r="B49" t="str">
        <f>IF(A49="","",PERKARA!B39)</f>
        <v/>
      </c>
      <c r="C49" s="84" t="str">
        <f>IF(A49="","",PERKARA!G39)</f>
        <v/>
      </c>
      <c r="D49" s="84" t="str">
        <f>IF(A49="","",PERKARA!H39)</f>
        <v/>
      </c>
      <c r="E49" s="84" t="str">
        <f>IF(A49="","",PERKARA!I39)</f>
        <v/>
      </c>
      <c r="F49" s="84" t="str">
        <f>IF(A49="","",PERKARA!J39)</f>
        <v/>
      </c>
      <c r="G49" s="84" t="str">
        <f>IF(A49="","",PERKARA!P39)</f>
        <v/>
      </c>
      <c r="H49" s="84" t="str">
        <f>IF(A49="","",SUMIFS(INVOICE_PIUTANG!$L$5:$L$151,INVOICE_PIUTANG!$D$5:$D$151,A49,INVOICE_PIUTANG!$M$5:$M$151,"&gt;0"))</f>
        <v/>
      </c>
      <c r="I49" t="str">
        <f>IF(A49="","",IFERROR(_xludf.MAXIFS(INVOICE_PIUTANG!$M$5:$M$151,INVOICE_PIUTANG!$D$5:$D$151,A49),0))</f>
        <v/>
      </c>
      <c r="J49" t="str">
        <f>IF(OR(A49="",PERKARA!D39=""),"",PERKARA!D39)</f>
        <v/>
      </c>
    </row>
    <row r="50" spans="1:10">
      <c r="A50" t="str">
        <f>IF(PERKARA!A40="","",PERKARA!A40)</f>
        <v/>
      </c>
      <c r="B50" t="str">
        <f>IF(A50="","",PERKARA!B40)</f>
        <v/>
      </c>
      <c r="C50" s="84" t="str">
        <f>IF(A50="","",PERKARA!G40)</f>
        <v/>
      </c>
      <c r="D50" s="84" t="str">
        <f>IF(A50="","",PERKARA!H40)</f>
        <v/>
      </c>
      <c r="E50" s="84" t="str">
        <f>IF(A50="","",PERKARA!I40)</f>
        <v/>
      </c>
      <c r="F50" s="84" t="str">
        <f>IF(A50="","",PERKARA!J40)</f>
        <v/>
      </c>
      <c r="G50" s="84" t="str">
        <f>IF(A50="","",PERKARA!P40)</f>
        <v/>
      </c>
      <c r="H50" s="84" t="str">
        <f>IF(A50="","",SUMIFS(INVOICE_PIUTANG!$L$5:$L$151,INVOICE_PIUTANG!$D$5:$D$151,A50,INVOICE_PIUTANG!$M$5:$M$151,"&gt;0"))</f>
        <v/>
      </c>
      <c r="I50" t="str">
        <f>IF(A50="","",IFERROR(_xludf.MAXIFS(INVOICE_PIUTANG!$M$5:$M$151,INVOICE_PIUTANG!$D$5:$D$151,A50),0))</f>
        <v/>
      </c>
      <c r="J50" t="str">
        <f>IF(OR(A50="",PERKARA!D40=""),"",PERKARA!D40)</f>
        <v/>
      </c>
    </row>
    <row r="51" spans="1:10">
      <c r="A51" t="str">
        <f>IF(PERKARA!A41="","",PERKARA!A41)</f>
        <v/>
      </c>
      <c r="B51" t="str">
        <f>IF(A51="","",PERKARA!B41)</f>
        <v/>
      </c>
      <c r="C51" s="84" t="str">
        <f>IF(A51="","",PERKARA!G41)</f>
        <v/>
      </c>
      <c r="D51" s="84" t="str">
        <f>IF(A51="","",PERKARA!H41)</f>
        <v/>
      </c>
      <c r="E51" s="84" t="str">
        <f>IF(A51="","",PERKARA!I41)</f>
        <v/>
      </c>
      <c r="F51" s="84" t="str">
        <f>IF(A51="","",PERKARA!J41)</f>
        <v/>
      </c>
      <c r="G51" s="84" t="str">
        <f>IF(A51="","",PERKARA!P41)</f>
        <v/>
      </c>
      <c r="H51" s="84" t="str">
        <f>IF(A51="","",SUMIFS(INVOICE_PIUTANG!$L$5:$L$151,INVOICE_PIUTANG!$D$5:$D$151,A51,INVOICE_PIUTANG!$M$5:$M$151,"&gt;0"))</f>
        <v/>
      </c>
      <c r="I51" t="str">
        <f>IF(A51="","",IFERROR(_xludf.MAXIFS(INVOICE_PIUTANG!$M$5:$M$151,INVOICE_PIUTANG!$D$5:$D$151,A51),0))</f>
        <v/>
      </c>
      <c r="J51" t="str">
        <f>IF(OR(A51="",PERKARA!D41=""),"",PERKARA!D41)</f>
        <v/>
      </c>
    </row>
    <row r="52" spans="1:10">
      <c r="A52" t="str">
        <f>IF(PERKARA!A42="","",PERKARA!A42)</f>
        <v/>
      </c>
      <c r="B52" t="str">
        <f>IF(A52="","",PERKARA!B42)</f>
        <v/>
      </c>
      <c r="C52" s="84" t="str">
        <f>IF(A52="","",PERKARA!G42)</f>
        <v/>
      </c>
      <c r="D52" s="84" t="str">
        <f>IF(A52="","",PERKARA!H42)</f>
        <v/>
      </c>
      <c r="E52" s="84" t="str">
        <f>IF(A52="","",PERKARA!I42)</f>
        <v/>
      </c>
      <c r="F52" s="84" t="str">
        <f>IF(A52="","",PERKARA!J42)</f>
        <v/>
      </c>
      <c r="G52" s="84" t="str">
        <f>IF(A52="","",PERKARA!P42)</f>
        <v/>
      </c>
      <c r="H52" s="84" t="str">
        <f>IF(A52="","",SUMIFS(INVOICE_PIUTANG!$L$5:$L$151,INVOICE_PIUTANG!$D$5:$D$151,A52,INVOICE_PIUTANG!$M$5:$M$151,"&gt;0"))</f>
        <v/>
      </c>
      <c r="I52" t="str">
        <f>IF(A52="","",IFERROR(_xludf.MAXIFS(INVOICE_PIUTANG!$M$5:$M$151,INVOICE_PIUTANG!$D$5:$D$151,A52),0))</f>
        <v/>
      </c>
      <c r="J52" t="str">
        <f>IF(OR(A52="",PERKARA!D42=""),"",PERKARA!D42)</f>
        <v/>
      </c>
    </row>
    <row r="53" spans="1:10">
      <c r="A53" t="str">
        <f>IF(PERKARA!A43="","",PERKARA!A43)</f>
        <v/>
      </c>
      <c r="B53" t="str">
        <f>IF(A53="","",PERKARA!B43)</f>
        <v/>
      </c>
      <c r="C53" s="84" t="str">
        <f>IF(A53="","",PERKARA!G43)</f>
        <v/>
      </c>
      <c r="D53" s="84" t="str">
        <f>IF(A53="","",PERKARA!H43)</f>
        <v/>
      </c>
      <c r="E53" s="84" t="str">
        <f>IF(A53="","",PERKARA!I43)</f>
        <v/>
      </c>
      <c r="F53" s="84" t="str">
        <f>IF(A53="","",PERKARA!J43)</f>
        <v/>
      </c>
      <c r="G53" s="84" t="str">
        <f>IF(A53="","",PERKARA!P43)</f>
        <v/>
      </c>
      <c r="H53" s="84" t="str">
        <f>IF(A53="","",SUMIFS(INVOICE_PIUTANG!$L$5:$L$151,INVOICE_PIUTANG!$D$5:$D$151,A53,INVOICE_PIUTANG!$M$5:$M$151,"&gt;0"))</f>
        <v/>
      </c>
      <c r="I53" t="str">
        <f>IF(A53="","",IFERROR(_xludf.MAXIFS(INVOICE_PIUTANG!$M$5:$M$151,INVOICE_PIUTANG!$D$5:$D$151,A53),0))</f>
        <v/>
      </c>
      <c r="J53" t="str">
        <f>IF(OR(A53="",PERKARA!D43=""),"",PERKARA!D43)</f>
        <v/>
      </c>
    </row>
    <row r="54" spans="1:10">
      <c r="A54" t="str">
        <f>IF(PERKARA!A44="","",PERKARA!A44)</f>
        <v/>
      </c>
      <c r="B54" t="str">
        <f>IF(A54="","",PERKARA!B44)</f>
        <v/>
      </c>
      <c r="C54" s="84" t="str">
        <f>IF(A54="","",PERKARA!G44)</f>
        <v/>
      </c>
      <c r="D54" s="84" t="str">
        <f>IF(A54="","",PERKARA!H44)</f>
        <v/>
      </c>
      <c r="E54" s="84" t="str">
        <f>IF(A54="","",PERKARA!I44)</f>
        <v/>
      </c>
      <c r="F54" s="84" t="str">
        <f>IF(A54="","",PERKARA!J44)</f>
        <v/>
      </c>
      <c r="G54" s="84" t="str">
        <f>IF(A54="","",PERKARA!P44)</f>
        <v/>
      </c>
      <c r="H54" s="84" t="str">
        <f>IF(A54="","",SUMIFS(INVOICE_PIUTANG!$L$5:$L$151,INVOICE_PIUTANG!$D$5:$D$151,A54,INVOICE_PIUTANG!$M$5:$M$151,"&gt;0"))</f>
        <v/>
      </c>
      <c r="I54" t="str">
        <f>IF(A54="","",IFERROR(_xludf.MAXIFS(INVOICE_PIUTANG!$M$5:$M$151,INVOICE_PIUTANG!$D$5:$D$151,A54),0))</f>
        <v/>
      </c>
      <c r="J54" t="str">
        <f>IF(OR(A54="",PERKARA!D44=""),"",PERKARA!D44)</f>
        <v/>
      </c>
    </row>
    <row r="55" spans="1:10">
      <c r="A55" t="str">
        <f>IF(PERKARA!A45="","",PERKARA!A45)</f>
        <v/>
      </c>
      <c r="B55" t="str">
        <f>IF(A55="","",PERKARA!B45)</f>
        <v/>
      </c>
      <c r="C55" s="84" t="str">
        <f>IF(A55="","",PERKARA!G45)</f>
        <v/>
      </c>
      <c r="D55" s="84" t="str">
        <f>IF(A55="","",PERKARA!H45)</f>
        <v/>
      </c>
      <c r="E55" s="84" t="str">
        <f>IF(A55="","",PERKARA!I45)</f>
        <v/>
      </c>
      <c r="F55" s="84" t="str">
        <f>IF(A55="","",PERKARA!J45)</f>
        <v/>
      </c>
      <c r="G55" s="84" t="str">
        <f>IF(A55="","",PERKARA!P45)</f>
        <v/>
      </c>
      <c r="H55" s="84" t="str">
        <f>IF(A55="","",SUMIFS(INVOICE_PIUTANG!$L$5:$L$151,INVOICE_PIUTANG!$D$5:$D$151,A55,INVOICE_PIUTANG!$M$5:$M$151,"&gt;0"))</f>
        <v/>
      </c>
      <c r="I55" t="str">
        <f>IF(A55="","",IFERROR(_xludf.MAXIFS(INVOICE_PIUTANG!$M$5:$M$151,INVOICE_PIUTANG!$D$5:$D$151,A55),0))</f>
        <v/>
      </c>
      <c r="J55" t="str">
        <f>IF(OR(A55="",PERKARA!D45=""),"",PERKARA!D45)</f>
        <v/>
      </c>
    </row>
    <row r="56" spans="1:10">
      <c r="A56" t="str">
        <f>IF(PERKARA!A46="","",PERKARA!A46)</f>
        <v/>
      </c>
      <c r="B56" t="str">
        <f>IF(A56="","",PERKARA!B46)</f>
        <v/>
      </c>
      <c r="C56" s="84" t="str">
        <f>IF(A56="","",PERKARA!G46)</f>
        <v/>
      </c>
      <c r="D56" s="84" t="str">
        <f>IF(A56="","",PERKARA!H46)</f>
        <v/>
      </c>
      <c r="E56" s="84" t="str">
        <f>IF(A56="","",PERKARA!I46)</f>
        <v/>
      </c>
      <c r="F56" s="84" t="str">
        <f>IF(A56="","",PERKARA!J46)</f>
        <v/>
      </c>
      <c r="G56" s="84" t="str">
        <f>IF(A56="","",PERKARA!P46)</f>
        <v/>
      </c>
      <c r="H56" s="84" t="str">
        <f>IF(A56="","",SUMIFS(INVOICE_PIUTANG!$L$5:$L$151,INVOICE_PIUTANG!$D$5:$D$151,A56,INVOICE_PIUTANG!$M$5:$M$151,"&gt;0"))</f>
        <v/>
      </c>
      <c r="I56" t="str">
        <f>IF(A56="","",IFERROR(_xludf.MAXIFS(INVOICE_PIUTANG!$M$5:$M$151,INVOICE_PIUTANG!$D$5:$D$151,A56),0))</f>
        <v/>
      </c>
      <c r="J56" t="str">
        <f>IF(OR(A56="",PERKARA!D46=""),"",PERKARA!D46)</f>
        <v/>
      </c>
    </row>
    <row r="57" spans="1:10">
      <c r="A57" t="str">
        <f>IF(PERKARA!A47="","",PERKARA!A47)</f>
        <v/>
      </c>
      <c r="B57" t="str">
        <f>IF(A57="","",PERKARA!B47)</f>
        <v/>
      </c>
      <c r="C57" s="84" t="str">
        <f>IF(A57="","",PERKARA!G47)</f>
        <v/>
      </c>
      <c r="D57" s="84" t="str">
        <f>IF(A57="","",PERKARA!H47)</f>
        <v/>
      </c>
      <c r="E57" s="84" t="str">
        <f>IF(A57="","",PERKARA!I47)</f>
        <v/>
      </c>
      <c r="F57" s="84" t="str">
        <f>IF(A57="","",PERKARA!J47)</f>
        <v/>
      </c>
      <c r="G57" s="84" t="str">
        <f>IF(A57="","",PERKARA!P47)</f>
        <v/>
      </c>
      <c r="H57" s="84" t="str">
        <f>IF(A57="","",SUMIFS(INVOICE_PIUTANG!$L$5:$L$151,INVOICE_PIUTANG!$D$5:$D$151,A57,INVOICE_PIUTANG!$M$5:$M$151,"&gt;0"))</f>
        <v/>
      </c>
      <c r="I57" t="str">
        <f>IF(A57="","",IFERROR(_xludf.MAXIFS(INVOICE_PIUTANG!$M$5:$M$151,INVOICE_PIUTANG!$D$5:$D$151,A57),0))</f>
        <v/>
      </c>
      <c r="J57" t="str">
        <f>IF(OR(A57="",PERKARA!D47=""),"",PERKARA!D47)</f>
        <v/>
      </c>
    </row>
    <row r="58" spans="1:10">
      <c r="A58" t="str">
        <f>IF(PERKARA!A48="","",PERKARA!A48)</f>
        <v/>
      </c>
      <c r="B58" t="str">
        <f>IF(A58="","",PERKARA!B48)</f>
        <v/>
      </c>
      <c r="C58" s="84" t="str">
        <f>IF(A58="","",PERKARA!G48)</f>
        <v/>
      </c>
      <c r="D58" s="84" t="str">
        <f>IF(A58="","",PERKARA!H48)</f>
        <v/>
      </c>
      <c r="E58" s="84" t="str">
        <f>IF(A58="","",PERKARA!I48)</f>
        <v/>
      </c>
      <c r="F58" s="84" t="str">
        <f>IF(A58="","",PERKARA!J48)</f>
        <v/>
      </c>
      <c r="G58" s="84" t="str">
        <f>IF(A58="","",PERKARA!P48)</f>
        <v/>
      </c>
      <c r="H58" s="84" t="str">
        <f>IF(A58="","",SUMIFS(INVOICE_PIUTANG!$L$5:$L$151,INVOICE_PIUTANG!$D$5:$D$151,A58,INVOICE_PIUTANG!$M$5:$M$151,"&gt;0"))</f>
        <v/>
      </c>
      <c r="I58" t="str">
        <f>IF(A58="","",IFERROR(_xludf.MAXIFS(INVOICE_PIUTANG!$M$5:$M$151,INVOICE_PIUTANG!$D$5:$D$151,A58),0))</f>
        <v/>
      </c>
      <c r="J58" t="str">
        <f>IF(OR(A58="",PERKARA!D48=""),"",PERKARA!D48)</f>
        <v/>
      </c>
    </row>
    <row r="59" spans="1:10">
      <c r="A59" t="str">
        <f>IF(PERKARA!A49="","",PERKARA!A49)</f>
        <v/>
      </c>
      <c r="B59" t="str">
        <f>IF(A59="","",PERKARA!B49)</f>
        <v/>
      </c>
      <c r="C59" s="84" t="str">
        <f>IF(A59="","",PERKARA!G49)</f>
        <v/>
      </c>
      <c r="D59" s="84" t="str">
        <f>IF(A59="","",PERKARA!H49)</f>
        <v/>
      </c>
      <c r="E59" s="84" t="str">
        <f>IF(A59="","",PERKARA!I49)</f>
        <v/>
      </c>
      <c r="F59" s="84" t="str">
        <f>IF(A59="","",PERKARA!J49)</f>
        <v/>
      </c>
      <c r="G59" s="84" t="str">
        <f>IF(A59="","",PERKARA!P49)</f>
        <v/>
      </c>
      <c r="H59" s="84" t="str">
        <f>IF(A59="","",SUMIFS(INVOICE_PIUTANG!$L$5:$L$151,INVOICE_PIUTANG!$D$5:$D$151,A59,INVOICE_PIUTANG!$M$5:$M$151,"&gt;0"))</f>
        <v/>
      </c>
      <c r="I59" t="str">
        <f>IF(A59="","",IFERROR(_xludf.MAXIFS(INVOICE_PIUTANG!$M$5:$M$151,INVOICE_PIUTANG!$D$5:$D$151,A59),0))</f>
        <v/>
      </c>
      <c r="J59" t="str">
        <f>IF(OR(A59="",PERKARA!D49=""),"",PERKARA!D49)</f>
        <v/>
      </c>
    </row>
    <row r="60" spans="1:10">
      <c r="A60" t="str">
        <f>IF(PERKARA!A50="","",PERKARA!A50)</f>
        <v/>
      </c>
      <c r="B60" t="str">
        <f>IF(A60="","",PERKARA!B50)</f>
        <v/>
      </c>
      <c r="C60" s="84" t="str">
        <f>IF(A60="","",PERKARA!G50)</f>
        <v/>
      </c>
      <c r="D60" s="84" t="str">
        <f>IF(A60="","",PERKARA!H50)</f>
        <v/>
      </c>
      <c r="E60" s="84" t="str">
        <f>IF(A60="","",PERKARA!I50)</f>
        <v/>
      </c>
      <c r="F60" s="84" t="str">
        <f>IF(A60="","",PERKARA!J50)</f>
        <v/>
      </c>
      <c r="G60" s="84" t="str">
        <f>IF(A60="","",PERKARA!P50)</f>
        <v/>
      </c>
      <c r="H60" s="84" t="str">
        <f>IF(A60="","",SUMIFS(INVOICE_PIUTANG!$L$5:$L$151,INVOICE_PIUTANG!$D$5:$D$151,A60,INVOICE_PIUTANG!$M$5:$M$151,"&gt;0"))</f>
        <v/>
      </c>
      <c r="I60" t="str">
        <f>IF(A60="","",IFERROR(_xludf.MAXIFS(INVOICE_PIUTANG!$M$5:$M$151,INVOICE_PIUTANG!$D$5:$D$151,A60),0))</f>
        <v/>
      </c>
      <c r="J60" t="str">
        <f>IF(OR(A60="",PERKARA!D50=""),"",PERKARA!D50)</f>
        <v/>
      </c>
    </row>
    <row r="61" spans="1:10">
      <c r="A61" t="str">
        <f>IF(PERKARA!A51="","",PERKARA!A51)</f>
        <v/>
      </c>
      <c r="B61" t="str">
        <f>IF(A61="","",PERKARA!B51)</f>
        <v/>
      </c>
      <c r="C61" s="84" t="str">
        <f>IF(A61="","",PERKARA!G51)</f>
        <v/>
      </c>
      <c r="D61" s="84" t="str">
        <f>IF(A61="","",PERKARA!H51)</f>
        <v/>
      </c>
      <c r="E61" s="84" t="str">
        <f>IF(A61="","",PERKARA!I51)</f>
        <v/>
      </c>
      <c r="F61" s="84" t="str">
        <f>IF(A61="","",PERKARA!J51)</f>
        <v/>
      </c>
      <c r="G61" s="84" t="str">
        <f>IF(A61="","",PERKARA!P51)</f>
        <v/>
      </c>
      <c r="H61" s="84" t="str">
        <f>IF(A61="","",SUMIFS(INVOICE_PIUTANG!$L$5:$L$151,INVOICE_PIUTANG!$D$5:$D$151,A61,INVOICE_PIUTANG!$M$5:$M$151,"&gt;0"))</f>
        <v/>
      </c>
      <c r="I61" t="str">
        <f>IF(A61="","",IFERROR(_xludf.MAXIFS(INVOICE_PIUTANG!$M$5:$M$151,INVOICE_PIUTANG!$D$5:$D$151,A61),0))</f>
        <v/>
      </c>
      <c r="J61" t="str">
        <f>IF(OR(A61="",PERKARA!D51=""),"",PERKARA!D51)</f>
        <v/>
      </c>
    </row>
    <row r="62" spans="1:10">
      <c r="A62" t="str">
        <f>IF(PERKARA!A52="","",PERKARA!A52)</f>
        <v/>
      </c>
      <c r="B62" t="str">
        <f>IF(A62="","",PERKARA!B52)</f>
        <v/>
      </c>
      <c r="C62" s="84" t="str">
        <f>IF(A62="","",PERKARA!G52)</f>
        <v/>
      </c>
      <c r="D62" s="84" t="str">
        <f>IF(A62="","",PERKARA!H52)</f>
        <v/>
      </c>
      <c r="E62" s="84" t="str">
        <f>IF(A62="","",PERKARA!I52)</f>
        <v/>
      </c>
      <c r="F62" s="84" t="str">
        <f>IF(A62="","",PERKARA!J52)</f>
        <v/>
      </c>
      <c r="G62" s="84" t="str">
        <f>IF(A62="","",PERKARA!P52)</f>
        <v/>
      </c>
      <c r="H62" s="84" t="str">
        <f>IF(A62="","",SUMIFS(INVOICE_PIUTANG!$L$5:$L$151,INVOICE_PIUTANG!$D$5:$D$151,A62,INVOICE_PIUTANG!$M$5:$M$151,"&gt;0"))</f>
        <v/>
      </c>
      <c r="I62" t="str">
        <f>IF(A62="","",IFERROR(_xludf.MAXIFS(INVOICE_PIUTANG!$M$5:$M$151,INVOICE_PIUTANG!$D$5:$D$151,A62),0))</f>
        <v/>
      </c>
      <c r="J62" t="str">
        <f>IF(OR(A62="",PERKARA!D52=""),"",PERKARA!D52)</f>
        <v/>
      </c>
    </row>
    <row r="63" spans="1:10">
      <c r="A63" t="str">
        <f>IF(PERKARA!A53="","",PERKARA!A53)</f>
        <v/>
      </c>
      <c r="B63" t="str">
        <f>IF(A63="","",PERKARA!B53)</f>
        <v/>
      </c>
      <c r="C63" s="84" t="str">
        <f>IF(A63="","",PERKARA!G53)</f>
        <v/>
      </c>
      <c r="D63" s="84" t="str">
        <f>IF(A63="","",PERKARA!H53)</f>
        <v/>
      </c>
      <c r="E63" s="84" t="str">
        <f>IF(A63="","",PERKARA!I53)</f>
        <v/>
      </c>
      <c r="F63" s="84" t="str">
        <f>IF(A63="","",PERKARA!J53)</f>
        <v/>
      </c>
      <c r="G63" s="84" t="str">
        <f>IF(A63="","",PERKARA!P53)</f>
        <v/>
      </c>
      <c r="H63" s="84" t="str">
        <f>IF(A63="","",SUMIFS(INVOICE_PIUTANG!$L$5:$L$151,INVOICE_PIUTANG!$D$5:$D$151,A63,INVOICE_PIUTANG!$M$5:$M$151,"&gt;0"))</f>
        <v/>
      </c>
      <c r="I63" t="str">
        <f>IF(A63="","",IFERROR(_xludf.MAXIFS(INVOICE_PIUTANG!$M$5:$M$151,INVOICE_PIUTANG!$D$5:$D$151,A63),0))</f>
        <v/>
      </c>
      <c r="J63" t="str">
        <f>IF(OR(A63="",PERKARA!D53=""),"",PERKARA!D53)</f>
        <v/>
      </c>
    </row>
    <row r="64" spans="1:10">
      <c r="A64" t="str">
        <f>IF(PERKARA!A54="","",PERKARA!A54)</f>
        <v/>
      </c>
      <c r="B64" t="str">
        <f>IF(A64="","",PERKARA!B54)</f>
        <v/>
      </c>
      <c r="C64" s="84" t="str">
        <f>IF(A64="","",PERKARA!G54)</f>
        <v/>
      </c>
      <c r="D64" s="84" t="str">
        <f>IF(A64="","",PERKARA!H54)</f>
        <v/>
      </c>
      <c r="E64" s="84" t="str">
        <f>IF(A64="","",PERKARA!I54)</f>
        <v/>
      </c>
      <c r="F64" s="84" t="str">
        <f>IF(A64="","",PERKARA!J54)</f>
        <v/>
      </c>
      <c r="G64" s="84" t="str">
        <f>IF(A64="","",PERKARA!P54)</f>
        <v/>
      </c>
      <c r="H64" s="84" t="str">
        <f>IF(A64="","",SUMIFS(INVOICE_PIUTANG!$L$5:$L$151,INVOICE_PIUTANG!$D$5:$D$151,A64,INVOICE_PIUTANG!$M$5:$M$151,"&gt;0"))</f>
        <v/>
      </c>
      <c r="I64" t="str">
        <f>IF(A64="","",IFERROR(_xludf.MAXIFS(INVOICE_PIUTANG!$M$5:$M$151,INVOICE_PIUTANG!$D$5:$D$151,A64),0))</f>
        <v/>
      </c>
      <c r="J64" t="str">
        <f>IF(OR(A64="",PERKARA!D54=""),"",PERKARA!D54)</f>
        <v/>
      </c>
    </row>
    <row r="65" spans="1:10">
      <c r="A65" t="str">
        <f>IF(PERKARA!A55="","",PERKARA!A55)</f>
        <v/>
      </c>
      <c r="B65" t="str">
        <f>IF(A65="","",PERKARA!B55)</f>
        <v/>
      </c>
      <c r="C65" s="84" t="str">
        <f>IF(A65="","",PERKARA!G55)</f>
        <v/>
      </c>
      <c r="D65" s="84" t="str">
        <f>IF(A65="","",PERKARA!H55)</f>
        <v/>
      </c>
      <c r="E65" s="84" t="str">
        <f>IF(A65="","",PERKARA!I55)</f>
        <v/>
      </c>
      <c r="F65" s="84" t="str">
        <f>IF(A65="","",PERKARA!J55)</f>
        <v/>
      </c>
      <c r="G65" s="84" t="str">
        <f>IF(A65="","",PERKARA!P55)</f>
        <v/>
      </c>
      <c r="H65" s="84" t="str">
        <f>IF(A65="","",SUMIFS(INVOICE_PIUTANG!$L$5:$L$151,INVOICE_PIUTANG!$D$5:$D$151,A65,INVOICE_PIUTANG!$M$5:$M$151,"&gt;0"))</f>
        <v/>
      </c>
      <c r="I65" t="str">
        <f>IF(A65="","",IFERROR(_xludf.MAXIFS(INVOICE_PIUTANG!$M$5:$M$151,INVOICE_PIUTANG!$D$5:$D$151,A65),0))</f>
        <v/>
      </c>
      <c r="J65" t="str">
        <f>IF(OR(A65="",PERKARA!D55=""),"",PERKARA!D55)</f>
        <v/>
      </c>
    </row>
    <row r="66" spans="1:10">
      <c r="A66" t="str">
        <f>IF(PERKARA!A56="","",PERKARA!A56)</f>
        <v/>
      </c>
      <c r="B66" t="str">
        <f>IF(A66="","",PERKARA!B56)</f>
        <v/>
      </c>
      <c r="C66" s="84" t="str">
        <f>IF(A66="","",PERKARA!G56)</f>
        <v/>
      </c>
      <c r="D66" s="84" t="str">
        <f>IF(A66="","",PERKARA!H56)</f>
        <v/>
      </c>
      <c r="E66" s="84" t="str">
        <f>IF(A66="","",PERKARA!I56)</f>
        <v/>
      </c>
      <c r="F66" s="84" t="str">
        <f>IF(A66="","",PERKARA!J56)</f>
        <v/>
      </c>
      <c r="G66" s="84" t="str">
        <f>IF(A66="","",PERKARA!P56)</f>
        <v/>
      </c>
      <c r="H66" s="84" t="str">
        <f>IF(A66="","",SUMIFS(INVOICE_PIUTANG!$L$5:$L$151,INVOICE_PIUTANG!$D$5:$D$151,A66,INVOICE_PIUTANG!$M$5:$M$151,"&gt;0"))</f>
        <v/>
      </c>
      <c r="I66" t="str">
        <f>IF(A66="","",IFERROR(_xludf.MAXIFS(INVOICE_PIUTANG!$M$5:$M$151,INVOICE_PIUTANG!$D$5:$D$151,A66),0))</f>
        <v/>
      </c>
      <c r="J66" t="str">
        <f>IF(OR(A66="",PERKARA!D56=""),"",PERKARA!D56)</f>
        <v/>
      </c>
    </row>
    <row r="67" spans="1:10">
      <c r="A67" t="str">
        <f>IF(PERKARA!A57="","",PERKARA!A57)</f>
        <v/>
      </c>
      <c r="B67" t="str">
        <f>IF(A67="","",PERKARA!B57)</f>
        <v/>
      </c>
      <c r="C67" s="84" t="str">
        <f>IF(A67="","",PERKARA!G57)</f>
        <v/>
      </c>
      <c r="D67" s="84" t="str">
        <f>IF(A67="","",PERKARA!H57)</f>
        <v/>
      </c>
      <c r="E67" s="84" t="str">
        <f>IF(A67="","",PERKARA!I57)</f>
        <v/>
      </c>
      <c r="F67" s="84" t="str">
        <f>IF(A67="","",PERKARA!J57)</f>
        <v/>
      </c>
      <c r="G67" s="84" t="str">
        <f>IF(A67="","",PERKARA!P57)</f>
        <v/>
      </c>
      <c r="H67" s="84" t="str">
        <f>IF(A67="","",SUMIFS(INVOICE_PIUTANG!$L$5:$L$151,INVOICE_PIUTANG!$D$5:$D$151,A67,INVOICE_PIUTANG!$M$5:$M$151,"&gt;0"))</f>
        <v/>
      </c>
      <c r="I67" t="str">
        <f>IF(A67="","",IFERROR(_xludf.MAXIFS(INVOICE_PIUTANG!$M$5:$M$151,INVOICE_PIUTANG!$D$5:$D$151,A67),0))</f>
        <v/>
      </c>
      <c r="J67" t="str">
        <f>IF(OR(A67="",PERKARA!D57=""),"",PERKARA!D57)</f>
        <v/>
      </c>
    </row>
    <row r="68" spans="1:10">
      <c r="A68" t="str">
        <f>IF(PERKARA!A58="","",PERKARA!A58)</f>
        <v/>
      </c>
      <c r="B68" t="str">
        <f>IF(A68="","",PERKARA!B58)</f>
        <v/>
      </c>
      <c r="C68" s="84" t="str">
        <f>IF(A68="","",PERKARA!G58)</f>
        <v/>
      </c>
      <c r="D68" s="84" t="str">
        <f>IF(A68="","",PERKARA!H58)</f>
        <v/>
      </c>
      <c r="E68" s="84" t="str">
        <f>IF(A68="","",PERKARA!I58)</f>
        <v/>
      </c>
      <c r="F68" s="84" t="str">
        <f>IF(A68="","",PERKARA!J58)</f>
        <v/>
      </c>
      <c r="G68" s="84" t="str">
        <f>IF(A68="","",PERKARA!P58)</f>
        <v/>
      </c>
      <c r="H68" s="84" t="str">
        <f>IF(A68="","",SUMIFS(INVOICE_PIUTANG!$L$5:$L$151,INVOICE_PIUTANG!$D$5:$D$151,A68,INVOICE_PIUTANG!$M$5:$M$151,"&gt;0"))</f>
        <v/>
      </c>
      <c r="I68" t="str">
        <f>IF(A68="","",IFERROR(_xludf.MAXIFS(INVOICE_PIUTANG!$M$5:$M$151,INVOICE_PIUTANG!$D$5:$D$151,A68),0))</f>
        <v/>
      </c>
      <c r="J68" t="str">
        <f>IF(OR(A68="",PERKARA!D58=""),"",PERKARA!D58)</f>
        <v/>
      </c>
    </row>
    <row r="69" spans="1:10">
      <c r="A69" t="str">
        <f>IF(PERKARA!A59="","",PERKARA!A59)</f>
        <v/>
      </c>
      <c r="B69" t="str">
        <f>IF(A69="","",PERKARA!B59)</f>
        <v/>
      </c>
      <c r="C69" s="84" t="str">
        <f>IF(A69="","",PERKARA!G59)</f>
        <v/>
      </c>
      <c r="D69" s="84" t="str">
        <f>IF(A69="","",PERKARA!H59)</f>
        <v/>
      </c>
      <c r="E69" s="84" t="str">
        <f>IF(A69="","",PERKARA!I59)</f>
        <v/>
      </c>
      <c r="F69" s="84" t="str">
        <f>IF(A69="","",PERKARA!J59)</f>
        <v/>
      </c>
      <c r="G69" s="84" t="str">
        <f>IF(A69="","",PERKARA!P59)</f>
        <v/>
      </c>
      <c r="H69" s="84" t="str">
        <f>IF(A69="","",SUMIFS(INVOICE_PIUTANG!$L$5:$L$151,INVOICE_PIUTANG!$D$5:$D$151,A69,INVOICE_PIUTANG!$M$5:$M$151,"&gt;0"))</f>
        <v/>
      </c>
      <c r="I69" t="str">
        <f>IF(A69="","",IFERROR(_xludf.MAXIFS(INVOICE_PIUTANG!$M$5:$M$151,INVOICE_PIUTANG!$D$5:$D$151,A69),0))</f>
        <v/>
      </c>
      <c r="J69" t="str">
        <f>IF(OR(A69="",PERKARA!D59=""),"",PERKARA!D59)</f>
        <v/>
      </c>
    </row>
    <row r="70" spans="1:10">
      <c r="A70" t="str">
        <f>IF(PERKARA!A60="","",PERKARA!A60)</f>
        <v/>
      </c>
      <c r="B70" t="str">
        <f>IF(A70="","",PERKARA!B60)</f>
        <v/>
      </c>
      <c r="C70" s="84" t="str">
        <f>IF(A70="","",PERKARA!G60)</f>
        <v/>
      </c>
      <c r="D70" s="84" t="str">
        <f>IF(A70="","",PERKARA!H60)</f>
        <v/>
      </c>
      <c r="E70" s="84" t="str">
        <f>IF(A70="","",PERKARA!I60)</f>
        <v/>
      </c>
      <c r="F70" s="84" t="str">
        <f>IF(A70="","",PERKARA!J60)</f>
        <v/>
      </c>
      <c r="G70" s="84" t="str">
        <f>IF(A70="","",PERKARA!P60)</f>
        <v/>
      </c>
      <c r="H70" s="84" t="str">
        <f>IF(A70="","",SUMIFS(INVOICE_PIUTANG!$L$5:$L$151,INVOICE_PIUTANG!$D$5:$D$151,A70,INVOICE_PIUTANG!$M$5:$M$151,"&gt;0"))</f>
        <v/>
      </c>
      <c r="I70" t="str">
        <f>IF(A70="","",IFERROR(_xludf.MAXIFS(INVOICE_PIUTANG!$M$5:$M$151,INVOICE_PIUTANG!$D$5:$D$151,A70),0))</f>
        <v/>
      </c>
      <c r="J70" t="str">
        <f>IF(OR(A70="",PERKARA!D60=""),"",PERKARA!D60)</f>
        <v/>
      </c>
    </row>
    <row r="71" spans="1:10">
      <c r="A71" t="str">
        <f>IF(PERKARA!A61="","",PERKARA!A61)</f>
        <v/>
      </c>
      <c r="B71" t="str">
        <f>IF(A71="","",PERKARA!B61)</f>
        <v/>
      </c>
      <c r="C71" s="84" t="str">
        <f>IF(A71="","",PERKARA!G61)</f>
        <v/>
      </c>
      <c r="D71" s="84" t="str">
        <f>IF(A71="","",PERKARA!H61)</f>
        <v/>
      </c>
      <c r="E71" s="84" t="str">
        <f>IF(A71="","",PERKARA!I61)</f>
        <v/>
      </c>
      <c r="F71" s="84" t="str">
        <f>IF(A71="","",PERKARA!J61)</f>
        <v/>
      </c>
      <c r="G71" s="84" t="str">
        <f>IF(A71="","",PERKARA!P61)</f>
        <v/>
      </c>
      <c r="H71" s="84" t="str">
        <f>IF(A71="","",SUMIFS(INVOICE_PIUTANG!$L$5:$L$151,INVOICE_PIUTANG!$D$5:$D$151,A71,INVOICE_PIUTANG!$M$5:$M$151,"&gt;0"))</f>
        <v/>
      </c>
      <c r="I71" t="str">
        <f>IF(A71="","",IFERROR(_xludf.MAXIFS(INVOICE_PIUTANG!$M$5:$M$151,INVOICE_PIUTANG!$D$5:$D$151,A71),0))</f>
        <v/>
      </c>
      <c r="J71" t="str">
        <f>IF(OR(A71="",PERKARA!D61=""),"",PERKARA!D61)</f>
        <v/>
      </c>
    </row>
    <row r="72" spans="1:10">
      <c r="A72" t="str">
        <f>IF(PERKARA!A62="","",PERKARA!A62)</f>
        <v/>
      </c>
      <c r="B72" t="str">
        <f>IF(A72="","",PERKARA!B62)</f>
        <v/>
      </c>
      <c r="C72" s="84" t="str">
        <f>IF(A72="","",PERKARA!G62)</f>
        <v/>
      </c>
      <c r="D72" s="84" t="str">
        <f>IF(A72="","",PERKARA!H62)</f>
        <v/>
      </c>
      <c r="E72" s="84" t="str">
        <f>IF(A72="","",PERKARA!I62)</f>
        <v/>
      </c>
      <c r="F72" s="84" t="str">
        <f>IF(A72="","",PERKARA!J62)</f>
        <v/>
      </c>
      <c r="G72" s="84" t="str">
        <f>IF(A72="","",PERKARA!P62)</f>
        <v/>
      </c>
      <c r="H72" s="84" t="str">
        <f>IF(A72="","",SUMIFS(INVOICE_PIUTANG!$L$5:$L$151,INVOICE_PIUTANG!$D$5:$D$151,A72,INVOICE_PIUTANG!$M$5:$M$151,"&gt;0"))</f>
        <v/>
      </c>
      <c r="I72" t="str">
        <f>IF(A72="","",IFERROR(_xludf.MAXIFS(INVOICE_PIUTANG!$M$5:$M$151,INVOICE_PIUTANG!$D$5:$D$151,A72),0))</f>
        <v/>
      </c>
      <c r="J72" t="str">
        <f>IF(OR(A72="",PERKARA!D62=""),"",PERKARA!D62)</f>
        <v/>
      </c>
    </row>
    <row r="73" spans="1:10">
      <c r="A73" t="str">
        <f>IF(PERKARA!A63="","",PERKARA!A63)</f>
        <v/>
      </c>
      <c r="B73" t="str">
        <f>IF(A73="","",PERKARA!B63)</f>
        <v/>
      </c>
      <c r="C73" s="84" t="str">
        <f>IF(A73="","",PERKARA!G63)</f>
        <v/>
      </c>
      <c r="D73" s="84" t="str">
        <f>IF(A73="","",PERKARA!H63)</f>
        <v/>
      </c>
      <c r="E73" s="84" t="str">
        <f>IF(A73="","",PERKARA!I63)</f>
        <v/>
      </c>
      <c r="F73" s="84" t="str">
        <f>IF(A73="","",PERKARA!J63)</f>
        <v/>
      </c>
      <c r="G73" s="84" t="str">
        <f>IF(A73="","",PERKARA!P63)</f>
        <v/>
      </c>
      <c r="H73" s="84" t="str">
        <f>IF(A73="","",SUMIFS(INVOICE_PIUTANG!$L$5:$L$151,INVOICE_PIUTANG!$D$5:$D$151,A73,INVOICE_PIUTANG!$M$5:$M$151,"&gt;0"))</f>
        <v/>
      </c>
      <c r="I73" t="str">
        <f>IF(A73="","",IFERROR(_xludf.MAXIFS(INVOICE_PIUTANG!$M$5:$M$151,INVOICE_PIUTANG!$D$5:$D$151,A73),0))</f>
        <v/>
      </c>
      <c r="J73" t="str">
        <f>IF(OR(A73="",PERKARA!D63=""),"",PERKARA!D63)</f>
        <v/>
      </c>
    </row>
    <row r="74" spans="1:10">
      <c r="A74" t="str">
        <f>IF(PERKARA!A64="","",PERKARA!A64)</f>
        <v/>
      </c>
      <c r="B74" t="str">
        <f>IF(A74="","",PERKARA!B64)</f>
        <v/>
      </c>
      <c r="C74" s="84" t="str">
        <f>IF(A74="","",PERKARA!G64)</f>
        <v/>
      </c>
      <c r="D74" s="84" t="str">
        <f>IF(A74="","",PERKARA!H64)</f>
        <v/>
      </c>
      <c r="E74" s="84" t="str">
        <f>IF(A74="","",PERKARA!I64)</f>
        <v/>
      </c>
      <c r="F74" s="84" t="str">
        <f>IF(A74="","",PERKARA!J64)</f>
        <v/>
      </c>
      <c r="G74" s="84" t="str">
        <f>IF(A74="","",PERKARA!P64)</f>
        <v/>
      </c>
      <c r="H74" s="84" t="str">
        <f>IF(A74="","",SUMIFS(INVOICE_PIUTANG!$L$5:$L$151,INVOICE_PIUTANG!$D$5:$D$151,A74,INVOICE_PIUTANG!$M$5:$M$151,"&gt;0"))</f>
        <v/>
      </c>
      <c r="I74" t="str">
        <f>IF(A74="","",IFERROR(_xludf.MAXIFS(INVOICE_PIUTANG!$M$5:$M$151,INVOICE_PIUTANG!$D$5:$D$151,A74),0))</f>
        <v/>
      </c>
      <c r="J74" t="str">
        <f>IF(OR(A74="",PERKARA!D64=""),"",PERKARA!D64)</f>
        <v/>
      </c>
    </row>
    <row r="75" spans="1:10">
      <c r="A75" t="str">
        <f>IF(PERKARA!A65="","",PERKARA!A65)</f>
        <v/>
      </c>
      <c r="B75" t="str">
        <f>IF(A75="","",PERKARA!B65)</f>
        <v/>
      </c>
      <c r="C75" s="84" t="str">
        <f>IF(A75="","",PERKARA!G65)</f>
        <v/>
      </c>
      <c r="D75" s="84" t="str">
        <f>IF(A75="","",PERKARA!H65)</f>
        <v/>
      </c>
      <c r="E75" s="84" t="str">
        <f>IF(A75="","",PERKARA!I65)</f>
        <v/>
      </c>
      <c r="F75" s="84" t="str">
        <f>IF(A75="","",PERKARA!J65)</f>
        <v/>
      </c>
      <c r="G75" s="84" t="str">
        <f>IF(A75="","",PERKARA!P65)</f>
        <v/>
      </c>
      <c r="H75" s="84" t="str">
        <f>IF(A75="","",SUMIFS(INVOICE_PIUTANG!$L$5:$L$151,INVOICE_PIUTANG!$D$5:$D$151,A75,INVOICE_PIUTANG!$M$5:$M$151,"&gt;0"))</f>
        <v/>
      </c>
      <c r="I75" t="str">
        <f>IF(A75="","",IFERROR(_xludf.MAXIFS(INVOICE_PIUTANG!$M$5:$M$151,INVOICE_PIUTANG!$D$5:$D$151,A75),0))</f>
        <v/>
      </c>
      <c r="J75" t="str">
        <f>IF(OR(A75="",PERKARA!D65=""),"",PERKARA!D65)</f>
        <v/>
      </c>
    </row>
    <row r="76" spans="1:10">
      <c r="A76" t="str">
        <f>IF(PERKARA!A66="","",PERKARA!A66)</f>
        <v/>
      </c>
      <c r="B76" t="str">
        <f>IF(A76="","",PERKARA!B66)</f>
        <v/>
      </c>
      <c r="C76" s="84" t="str">
        <f>IF(A76="","",PERKARA!G66)</f>
        <v/>
      </c>
      <c r="D76" s="84" t="str">
        <f>IF(A76="","",PERKARA!H66)</f>
        <v/>
      </c>
      <c r="E76" s="84" t="str">
        <f>IF(A76="","",PERKARA!I66)</f>
        <v/>
      </c>
      <c r="F76" s="84" t="str">
        <f>IF(A76="","",PERKARA!J66)</f>
        <v/>
      </c>
      <c r="G76" s="84" t="str">
        <f>IF(A76="","",PERKARA!P66)</f>
        <v/>
      </c>
      <c r="H76" s="84" t="str">
        <f>IF(A76="","",SUMIFS(INVOICE_PIUTANG!$L$5:$L$151,INVOICE_PIUTANG!$D$5:$D$151,A76,INVOICE_PIUTANG!$M$5:$M$151,"&gt;0"))</f>
        <v/>
      </c>
      <c r="I76" t="str">
        <f>IF(A76="","",IFERROR(_xludf.MAXIFS(INVOICE_PIUTANG!$M$5:$M$151,INVOICE_PIUTANG!$D$5:$D$151,A76),0))</f>
        <v/>
      </c>
      <c r="J76" t="str">
        <f>IF(OR(A76="",PERKARA!D66=""),"",PERKARA!D66)</f>
        <v/>
      </c>
    </row>
    <row r="77" spans="1:10">
      <c r="A77" t="str">
        <f>IF(PERKARA!A67="","",PERKARA!A67)</f>
        <v/>
      </c>
      <c r="B77" t="str">
        <f>IF(A77="","",PERKARA!B67)</f>
        <v/>
      </c>
      <c r="C77" s="84" t="str">
        <f>IF(A77="","",PERKARA!G67)</f>
        <v/>
      </c>
      <c r="D77" s="84" t="str">
        <f>IF(A77="","",PERKARA!H67)</f>
        <v/>
      </c>
      <c r="E77" s="84" t="str">
        <f>IF(A77="","",PERKARA!I67)</f>
        <v/>
      </c>
      <c r="F77" s="84" t="str">
        <f>IF(A77="","",PERKARA!J67)</f>
        <v/>
      </c>
      <c r="G77" s="84" t="str">
        <f>IF(A77="","",PERKARA!P67)</f>
        <v/>
      </c>
      <c r="H77" s="84" t="str">
        <f>IF(A77="","",SUMIFS(INVOICE_PIUTANG!$L$5:$L$151,INVOICE_PIUTANG!$D$5:$D$151,A77,INVOICE_PIUTANG!$M$5:$M$151,"&gt;0"))</f>
        <v/>
      </c>
      <c r="I77" t="str">
        <f>IF(A77="","",IFERROR(_xludf.MAXIFS(INVOICE_PIUTANG!$M$5:$M$151,INVOICE_PIUTANG!$D$5:$D$151,A77),0))</f>
        <v/>
      </c>
      <c r="J77" t="str">
        <f>IF(OR(A77="",PERKARA!D67=""),"",PERKARA!D67)</f>
        <v/>
      </c>
    </row>
    <row r="78" spans="1:10">
      <c r="A78" t="str">
        <f>IF(PERKARA!A68="","",PERKARA!A68)</f>
        <v/>
      </c>
      <c r="B78" t="str">
        <f>IF(A78="","",PERKARA!B68)</f>
        <v/>
      </c>
      <c r="C78" s="84" t="str">
        <f>IF(A78="","",PERKARA!G68)</f>
        <v/>
      </c>
      <c r="D78" s="84" t="str">
        <f>IF(A78="","",PERKARA!H68)</f>
        <v/>
      </c>
      <c r="E78" s="84" t="str">
        <f>IF(A78="","",PERKARA!I68)</f>
        <v/>
      </c>
      <c r="F78" s="84" t="str">
        <f>IF(A78="","",PERKARA!J68)</f>
        <v/>
      </c>
      <c r="G78" s="84" t="str">
        <f>IF(A78="","",PERKARA!P68)</f>
        <v/>
      </c>
      <c r="H78" s="84" t="str">
        <f>IF(A78="","",SUMIFS(INVOICE_PIUTANG!$L$5:$L$151,INVOICE_PIUTANG!$D$5:$D$151,A78,INVOICE_PIUTANG!$M$5:$M$151,"&gt;0"))</f>
        <v/>
      </c>
      <c r="I78" t="str">
        <f>IF(A78="","",IFERROR(_xludf.MAXIFS(INVOICE_PIUTANG!$M$5:$M$151,INVOICE_PIUTANG!$D$5:$D$151,A78),0))</f>
        <v/>
      </c>
      <c r="J78" t="str">
        <f>IF(OR(A78="",PERKARA!D68=""),"",PERKARA!D68)</f>
        <v/>
      </c>
    </row>
    <row r="79" spans="1:10">
      <c r="A79" t="str">
        <f>IF(PERKARA!A69="","",PERKARA!A69)</f>
        <v/>
      </c>
      <c r="B79" t="str">
        <f>IF(A79="","",PERKARA!B69)</f>
        <v/>
      </c>
      <c r="C79" s="84" t="str">
        <f>IF(A79="","",PERKARA!G69)</f>
        <v/>
      </c>
      <c r="D79" s="84" t="str">
        <f>IF(A79="","",PERKARA!H69)</f>
        <v/>
      </c>
      <c r="E79" s="84" t="str">
        <f>IF(A79="","",PERKARA!I69)</f>
        <v/>
      </c>
      <c r="F79" s="84" t="str">
        <f>IF(A79="","",PERKARA!J69)</f>
        <v/>
      </c>
      <c r="G79" s="84" t="str">
        <f>IF(A79="","",PERKARA!P69)</f>
        <v/>
      </c>
      <c r="H79" s="84" t="str">
        <f>IF(A79="","",SUMIFS(INVOICE_PIUTANG!$L$5:$L$151,INVOICE_PIUTANG!$D$5:$D$151,A79,INVOICE_PIUTANG!$M$5:$M$151,"&gt;0"))</f>
        <v/>
      </c>
      <c r="I79" t="str">
        <f>IF(A79="","",IFERROR(_xludf.MAXIFS(INVOICE_PIUTANG!$M$5:$M$151,INVOICE_PIUTANG!$D$5:$D$151,A79),0))</f>
        <v/>
      </c>
      <c r="J79" t="str">
        <f>IF(OR(A79="",PERKARA!D69=""),"",PERKARA!D69)</f>
        <v/>
      </c>
    </row>
    <row r="80" spans="1:10">
      <c r="A80" t="str">
        <f>IF(PERKARA!A70="","",PERKARA!A70)</f>
        <v/>
      </c>
      <c r="B80" t="str">
        <f>IF(A80="","",PERKARA!B70)</f>
        <v/>
      </c>
      <c r="C80" s="84" t="str">
        <f>IF(A80="","",PERKARA!G70)</f>
        <v/>
      </c>
      <c r="D80" s="84" t="str">
        <f>IF(A80="","",PERKARA!H70)</f>
        <v/>
      </c>
      <c r="E80" s="84" t="str">
        <f>IF(A80="","",PERKARA!I70)</f>
        <v/>
      </c>
      <c r="F80" s="84" t="str">
        <f>IF(A80="","",PERKARA!J70)</f>
        <v/>
      </c>
      <c r="G80" s="84" t="str">
        <f>IF(A80="","",PERKARA!P70)</f>
        <v/>
      </c>
      <c r="H80" s="84" t="str">
        <f>IF(A80="","",SUMIFS(INVOICE_PIUTANG!$L$5:$L$151,INVOICE_PIUTANG!$D$5:$D$151,A80,INVOICE_PIUTANG!$M$5:$M$151,"&gt;0"))</f>
        <v/>
      </c>
      <c r="I80" t="str">
        <f>IF(A80="","",IFERROR(_xludf.MAXIFS(INVOICE_PIUTANG!$M$5:$M$151,INVOICE_PIUTANG!$D$5:$D$151,A80),0))</f>
        <v/>
      </c>
      <c r="J80" t="str">
        <f>IF(OR(A80="",PERKARA!D70=""),"",PERKARA!D70)</f>
        <v/>
      </c>
    </row>
    <row r="81" spans="1:10">
      <c r="A81" t="str">
        <f>IF(PERKARA!A71="","",PERKARA!A71)</f>
        <v/>
      </c>
      <c r="B81" t="str">
        <f>IF(A81="","",PERKARA!B71)</f>
        <v/>
      </c>
      <c r="C81" s="84" t="str">
        <f>IF(A81="","",PERKARA!G71)</f>
        <v/>
      </c>
      <c r="D81" s="84" t="str">
        <f>IF(A81="","",PERKARA!H71)</f>
        <v/>
      </c>
      <c r="E81" s="84" t="str">
        <f>IF(A81="","",PERKARA!I71)</f>
        <v/>
      </c>
      <c r="F81" s="84" t="str">
        <f>IF(A81="","",PERKARA!J71)</f>
        <v/>
      </c>
      <c r="G81" s="84" t="str">
        <f>IF(A81="","",PERKARA!P71)</f>
        <v/>
      </c>
      <c r="H81" s="84" t="str">
        <f>IF(A81="","",SUMIFS(INVOICE_PIUTANG!$L$5:$L$151,INVOICE_PIUTANG!$D$5:$D$151,A81,INVOICE_PIUTANG!$M$5:$M$151,"&gt;0"))</f>
        <v/>
      </c>
      <c r="I81" t="str">
        <f>IF(A81="","",IFERROR(_xludf.MAXIFS(INVOICE_PIUTANG!$M$5:$M$151,INVOICE_PIUTANG!$D$5:$D$151,A81),0))</f>
        <v/>
      </c>
      <c r="J81" t="str">
        <f>IF(OR(A81="",PERKARA!D71=""),"",PERKARA!D71)</f>
        <v/>
      </c>
    </row>
    <row r="82" spans="1:10">
      <c r="A82" t="str">
        <f>IF(PERKARA!A72="","",PERKARA!A72)</f>
        <v/>
      </c>
      <c r="B82" t="str">
        <f>IF(A82="","",PERKARA!B72)</f>
        <v/>
      </c>
      <c r="C82" s="84" t="str">
        <f>IF(A82="","",PERKARA!G72)</f>
        <v/>
      </c>
      <c r="D82" s="84" t="str">
        <f>IF(A82="","",PERKARA!H72)</f>
        <v/>
      </c>
      <c r="E82" s="84" t="str">
        <f>IF(A82="","",PERKARA!I72)</f>
        <v/>
      </c>
      <c r="F82" s="84" t="str">
        <f>IF(A82="","",PERKARA!J72)</f>
        <v/>
      </c>
      <c r="G82" s="84" t="str">
        <f>IF(A82="","",PERKARA!P72)</f>
        <v/>
      </c>
      <c r="H82" s="84" t="str">
        <f>IF(A82="","",SUMIFS(INVOICE_PIUTANG!$L$5:$L$151,INVOICE_PIUTANG!$D$5:$D$151,A82,INVOICE_PIUTANG!$M$5:$M$151,"&gt;0"))</f>
        <v/>
      </c>
      <c r="I82" t="str">
        <f>IF(A82="","",IFERROR(_xludf.MAXIFS(INVOICE_PIUTANG!$M$5:$M$151,INVOICE_PIUTANG!$D$5:$D$151,A82),0))</f>
        <v/>
      </c>
      <c r="J82" t="str">
        <f>IF(OR(A82="",PERKARA!D72=""),"",PERKARA!D72)</f>
        <v/>
      </c>
    </row>
    <row r="83" spans="1:10">
      <c r="A83" t="str">
        <f>IF(PERKARA!A73="","",PERKARA!A73)</f>
        <v/>
      </c>
      <c r="B83" t="str">
        <f>IF(A83="","",PERKARA!B73)</f>
        <v/>
      </c>
      <c r="C83" s="84" t="str">
        <f>IF(A83="","",PERKARA!G73)</f>
        <v/>
      </c>
      <c r="D83" s="84" t="str">
        <f>IF(A83="","",PERKARA!H73)</f>
        <v/>
      </c>
      <c r="E83" s="84" t="str">
        <f>IF(A83="","",PERKARA!I73)</f>
        <v/>
      </c>
      <c r="F83" s="84" t="str">
        <f>IF(A83="","",PERKARA!J73)</f>
        <v/>
      </c>
      <c r="G83" s="84" t="str">
        <f>IF(A83="","",PERKARA!P73)</f>
        <v/>
      </c>
      <c r="H83" s="84" t="str">
        <f>IF(A83="","",SUMIFS(INVOICE_PIUTANG!$L$5:$L$151,INVOICE_PIUTANG!$D$5:$D$151,A83,INVOICE_PIUTANG!$M$5:$M$151,"&gt;0"))</f>
        <v/>
      </c>
      <c r="I83" t="str">
        <f>IF(A83="","",IFERROR(_xludf.MAXIFS(INVOICE_PIUTANG!$M$5:$M$151,INVOICE_PIUTANG!$D$5:$D$151,A83),0))</f>
        <v/>
      </c>
      <c r="J83" t="str">
        <f>IF(OR(A83="",PERKARA!D73=""),"",PERKARA!D73)</f>
        <v/>
      </c>
    </row>
    <row r="84" spans="1:10">
      <c r="A84" t="str">
        <f>IF(PERKARA!A74="","",PERKARA!A74)</f>
        <v/>
      </c>
      <c r="B84" t="str">
        <f>IF(A84="","",PERKARA!B74)</f>
        <v/>
      </c>
      <c r="C84" s="84" t="str">
        <f>IF(A84="","",PERKARA!G74)</f>
        <v/>
      </c>
      <c r="D84" s="84" t="str">
        <f>IF(A84="","",PERKARA!H74)</f>
        <v/>
      </c>
      <c r="E84" s="84" t="str">
        <f>IF(A84="","",PERKARA!I74)</f>
        <v/>
      </c>
      <c r="F84" s="84" t="str">
        <f>IF(A84="","",PERKARA!J74)</f>
        <v/>
      </c>
      <c r="G84" s="84" t="str">
        <f>IF(A84="","",PERKARA!P74)</f>
        <v/>
      </c>
      <c r="H84" s="84" t="str">
        <f>IF(A84="","",SUMIFS(INVOICE_PIUTANG!$L$5:$L$151,INVOICE_PIUTANG!$D$5:$D$151,A84,INVOICE_PIUTANG!$M$5:$M$151,"&gt;0"))</f>
        <v/>
      </c>
      <c r="I84" t="str">
        <f>IF(A84="","",IFERROR(_xludf.MAXIFS(INVOICE_PIUTANG!$M$5:$M$151,INVOICE_PIUTANG!$D$5:$D$151,A84),0))</f>
        <v/>
      </c>
      <c r="J84" t="str">
        <f>IF(OR(A84="",PERKARA!D74=""),"",PERKARA!D74)</f>
        <v/>
      </c>
    </row>
    <row r="85" spans="1:10">
      <c r="A85" t="str">
        <f>IF(PERKARA!A75="","",PERKARA!A75)</f>
        <v/>
      </c>
      <c r="B85" t="str">
        <f>IF(A85="","",PERKARA!B75)</f>
        <v/>
      </c>
      <c r="C85" s="84" t="str">
        <f>IF(A85="","",PERKARA!G75)</f>
        <v/>
      </c>
      <c r="D85" s="84" t="str">
        <f>IF(A85="","",PERKARA!H75)</f>
        <v/>
      </c>
      <c r="E85" s="84" t="str">
        <f>IF(A85="","",PERKARA!I75)</f>
        <v/>
      </c>
      <c r="F85" s="84" t="str">
        <f>IF(A85="","",PERKARA!J75)</f>
        <v/>
      </c>
      <c r="G85" s="84" t="str">
        <f>IF(A85="","",PERKARA!P75)</f>
        <v/>
      </c>
      <c r="H85" s="84" t="str">
        <f>IF(A85="","",SUMIFS(INVOICE_PIUTANG!$L$5:$L$151,INVOICE_PIUTANG!$D$5:$D$151,A85,INVOICE_PIUTANG!$M$5:$M$151,"&gt;0"))</f>
        <v/>
      </c>
      <c r="I85" t="str">
        <f>IF(A85="","",IFERROR(_xludf.MAXIFS(INVOICE_PIUTANG!$M$5:$M$151,INVOICE_PIUTANG!$D$5:$D$151,A85),0))</f>
        <v/>
      </c>
      <c r="J85" t="str">
        <f>IF(OR(A85="",PERKARA!D75=""),"",PERKARA!D75)</f>
        <v/>
      </c>
    </row>
    <row r="86" spans="1:10">
      <c r="A86" t="str">
        <f>IF(PERKARA!A76="","",PERKARA!A76)</f>
        <v/>
      </c>
      <c r="B86" t="str">
        <f>IF(A86="","",PERKARA!B76)</f>
        <v/>
      </c>
      <c r="C86" s="84" t="str">
        <f>IF(A86="","",PERKARA!G76)</f>
        <v/>
      </c>
      <c r="D86" s="84" t="str">
        <f>IF(A86="","",PERKARA!H76)</f>
        <v/>
      </c>
      <c r="E86" s="84" t="str">
        <f>IF(A86="","",PERKARA!I76)</f>
        <v/>
      </c>
      <c r="F86" s="84" t="str">
        <f>IF(A86="","",PERKARA!J76)</f>
        <v/>
      </c>
      <c r="G86" s="84" t="str">
        <f>IF(A86="","",PERKARA!P76)</f>
        <v/>
      </c>
      <c r="H86" s="84" t="str">
        <f>IF(A86="","",SUMIFS(INVOICE_PIUTANG!$L$5:$L$151,INVOICE_PIUTANG!$D$5:$D$151,A86,INVOICE_PIUTANG!$M$5:$M$151,"&gt;0"))</f>
        <v/>
      </c>
      <c r="I86" t="str">
        <f>IF(A86="","",IFERROR(_xludf.MAXIFS(INVOICE_PIUTANG!$M$5:$M$151,INVOICE_PIUTANG!$D$5:$D$151,A86),0))</f>
        <v/>
      </c>
      <c r="J86" t="str">
        <f>IF(OR(A86="",PERKARA!D76=""),"",PERKARA!D76)</f>
        <v/>
      </c>
    </row>
    <row r="87" spans="1:10">
      <c r="A87" t="str">
        <f>IF(PERKARA!A77="","",PERKARA!A77)</f>
        <v/>
      </c>
      <c r="B87" t="str">
        <f>IF(A87="","",PERKARA!B77)</f>
        <v/>
      </c>
      <c r="C87" s="84" t="str">
        <f>IF(A87="","",PERKARA!G77)</f>
        <v/>
      </c>
      <c r="D87" s="84" t="str">
        <f>IF(A87="","",PERKARA!H77)</f>
        <v/>
      </c>
      <c r="E87" s="84" t="str">
        <f>IF(A87="","",PERKARA!I77)</f>
        <v/>
      </c>
      <c r="F87" s="84" t="str">
        <f>IF(A87="","",PERKARA!J77)</f>
        <v/>
      </c>
      <c r="G87" s="84" t="str">
        <f>IF(A87="","",PERKARA!P77)</f>
        <v/>
      </c>
      <c r="H87" s="84" t="str">
        <f>IF(A87="","",SUMIFS(INVOICE_PIUTANG!$L$5:$L$151,INVOICE_PIUTANG!$D$5:$D$151,A87,INVOICE_PIUTANG!$M$5:$M$151,"&gt;0"))</f>
        <v/>
      </c>
      <c r="I87" t="str">
        <f>IF(A87="","",IFERROR(_xludf.MAXIFS(INVOICE_PIUTANG!$M$5:$M$151,INVOICE_PIUTANG!$D$5:$D$151,A87),0))</f>
        <v/>
      </c>
      <c r="J87" t="str">
        <f>IF(OR(A87="",PERKARA!D77=""),"",PERKARA!D77)</f>
        <v/>
      </c>
    </row>
    <row r="88" spans="1:10">
      <c r="A88" t="str">
        <f>IF(PERKARA!A78="","",PERKARA!A78)</f>
        <v/>
      </c>
      <c r="B88" t="str">
        <f>IF(A88="","",PERKARA!B78)</f>
        <v/>
      </c>
      <c r="C88" s="84" t="str">
        <f>IF(A88="","",PERKARA!G78)</f>
        <v/>
      </c>
      <c r="D88" s="84" t="str">
        <f>IF(A88="","",PERKARA!H78)</f>
        <v/>
      </c>
      <c r="E88" s="84" t="str">
        <f>IF(A88="","",PERKARA!I78)</f>
        <v/>
      </c>
      <c r="F88" s="84" t="str">
        <f>IF(A88="","",PERKARA!J78)</f>
        <v/>
      </c>
      <c r="G88" s="84" t="str">
        <f>IF(A88="","",PERKARA!P78)</f>
        <v/>
      </c>
      <c r="H88" s="84" t="str">
        <f>IF(A88="","",SUMIFS(INVOICE_PIUTANG!$L$5:$L$151,INVOICE_PIUTANG!$D$5:$D$151,A88,INVOICE_PIUTANG!$M$5:$M$151,"&gt;0"))</f>
        <v/>
      </c>
      <c r="I88" t="str">
        <f>IF(A88="","",IFERROR(_xludf.MAXIFS(INVOICE_PIUTANG!$M$5:$M$151,INVOICE_PIUTANG!$D$5:$D$151,A88),0))</f>
        <v/>
      </c>
      <c r="J88" t="str">
        <f>IF(OR(A88="",PERKARA!D78=""),"",PERKARA!D78)</f>
        <v/>
      </c>
    </row>
    <row r="89" spans="1:10">
      <c r="A89" t="str">
        <f>IF(PERKARA!A79="","",PERKARA!A79)</f>
        <v/>
      </c>
      <c r="B89" t="str">
        <f>IF(A89="","",PERKARA!B79)</f>
        <v/>
      </c>
      <c r="C89" s="84" t="str">
        <f>IF(A89="","",PERKARA!G79)</f>
        <v/>
      </c>
      <c r="D89" s="84" t="str">
        <f>IF(A89="","",PERKARA!H79)</f>
        <v/>
      </c>
      <c r="E89" s="84" t="str">
        <f>IF(A89="","",PERKARA!I79)</f>
        <v/>
      </c>
      <c r="F89" s="84" t="str">
        <f>IF(A89="","",PERKARA!J79)</f>
        <v/>
      </c>
      <c r="G89" s="84" t="str">
        <f>IF(A89="","",PERKARA!P79)</f>
        <v/>
      </c>
      <c r="H89" s="84" t="str">
        <f>IF(A89="","",SUMIFS(INVOICE_PIUTANG!$L$5:$L$151,INVOICE_PIUTANG!$D$5:$D$151,A89,INVOICE_PIUTANG!$M$5:$M$151,"&gt;0"))</f>
        <v/>
      </c>
      <c r="I89" t="str">
        <f>IF(A89="","",IFERROR(_xludf.MAXIFS(INVOICE_PIUTANG!$M$5:$M$151,INVOICE_PIUTANG!$D$5:$D$151,A89),0))</f>
        <v/>
      </c>
      <c r="J89" t="str">
        <f>IF(OR(A89="",PERKARA!D79=""),"",PERKARA!D79)</f>
        <v/>
      </c>
    </row>
    <row r="90" spans="1:10">
      <c r="A90" t="str">
        <f>IF(PERKARA!A80="","",PERKARA!A80)</f>
        <v/>
      </c>
      <c r="B90" t="str">
        <f>IF(A90="","",PERKARA!B80)</f>
        <v/>
      </c>
      <c r="C90" s="84" t="str">
        <f>IF(A90="","",PERKARA!G80)</f>
        <v/>
      </c>
      <c r="D90" s="84" t="str">
        <f>IF(A90="","",PERKARA!H80)</f>
        <v/>
      </c>
      <c r="E90" s="84" t="str">
        <f>IF(A90="","",PERKARA!I80)</f>
        <v/>
      </c>
      <c r="F90" s="84" t="str">
        <f>IF(A90="","",PERKARA!J80)</f>
        <v/>
      </c>
      <c r="G90" s="84" t="str">
        <f>IF(A90="","",PERKARA!P80)</f>
        <v/>
      </c>
      <c r="H90" s="84" t="str">
        <f>IF(A90="","",SUMIFS(INVOICE_PIUTANG!$L$5:$L$151,INVOICE_PIUTANG!$D$5:$D$151,A90,INVOICE_PIUTANG!$M$5:$M$151,"&gt;0"))</f>
        <v/>
      </c>
      <c r="I90" t="str">
        <f>IF(A90="","",IFERROR(_xludf.MAXIFS(INVOICE_PIUTANG!$M$5:$M$151,INVOICE_PIUTANG!$D$5:$D$151,A90),0))</f>
        <v/>
      </c>
      <c r="J90" t="str">
        <f>IF(OR(A90="",PERKARA!D80=""),"",PERKARA!D80)</f>
        <v/>
      </c>
    </row>
    <row r="91" spans="1:10">
      <c r="A91" t="str">
        <f>IF(PERKARA!A81="","",PERKARA!A81)</f>
        <v/>
      </c>
      <c r="B91" t="str">
        <f>IF(A91="","",PERKARA!B81)</f>
        <v/>
      </c>
      <c r="C91" s="84" t="str">
        <f>IF(A91="","",PERKARA!G81)</f>
        <v/>
      </c>
      <c r="D91" s="84" t="str">
        <f>IF(A91="","",PERKARA!H81)</f>
        <v/>
      </c>
      <c r="E91" s="84" t="str">
        <f>IF(A91="","",PERKARA!I81)</f>
        <v/>
      </c>
      <c r="F91" s="84" t="str">
        <f>IF(A91="","",PERKARA!J81)</f>
        <v/>
      </c>
      <c r="G91" s="84" t="str">
        <f>IF(A91="","",PERKARA!P81)</f>
        <v/>
      </c>
      <c r="H91" s="84" t="str">
        <f>IF(A91="","",SUMIFS(INVOICE_PIUTANG!$L$5:$L$151,INVOICE_PIUTANG!$D$5:$D$151,A91,INVOICE_PIUTANG!$M$5:$M$151,"&gt;0"))</f>
        <v/>
      </c>
      <c r="I91" t="str">
        <f>IF(A91="","",IFERROR(_xludf.MAXIFS(INVOICE_PIUTANG!$M$5:$M$151,INVOICE_PIUTANG!$D$5:$D$151,A91),0))</f>
        <v/>
      </c>
      <c r="J91" t="str">
        <f>IF(OR(A91="",PERKARA!D81=""),"",PERKARA!D81)</f>
        <v/>
      </c>
    </row>
    <row r="92" spans="1:10">
      <c r="A92" t="str">
        <f>IF(PERKARA!A82="","",PERKARA!A82)</f>
        <v/>
      </c>
      <c r="B92" t="str">
        <f>IF(A92="","",PERKARA!B82)</f>
        <v/>
      </c>
      <c r="C92" s="84" t="str">
        <f>IF(A92="","",PERKARA!G82)</f>
        <v/>
      </c>
      <c r="D92" s="84" t="str">
        <f>IF(A92="","",PERKARA!H82)</f>
        <v/>
      </c>
      <c r="E92" s="84" t="str">
        <f>IF(A92="","",PERKARA!I82)</f>
        <v/>
      </c>
      <c r="F92" s="84" t="str">
        <f>IF(A92="","",PERKARA!J82)</f>
        <v/>
      </c>
      <c r="G92" s="84" t="str">
        <f>IF(A92="","",PERKARA!P82)</f>
        <v/>
      </c>
      <c r="H92" s="84" t="str">
        <f>IF(A92="","",SUMIFS(INVOICE_PIUTANG!$L$5:$L$151,INVOICE_PIUTANG!$D$5:$D$151,A92,INVOICE_PIUTANG!$M$5:$M$151,"&gt;0"))</f>
        <v/>
      </c>
      <c r="I92" t="str">
        <f>IF(A92="","",IFERROR(_xludf.MAXIFS(INVOICE_PIUTANG!$M$5:$M$151,INVOICE_PIUTANG!$D$5:$D$151,A92),0))</f>
        <v/>
      </c>
      <c r="J92" t="str">
        <f>IF(OR(A92="",PERKARA!D82=""),"",PERKARA!D82)</f>
        <v/>
      </c>
    </row>
    <row r="93" spans="1:10">
      <c r="A93" t="str">
        <f>IF(PERKARA!A83="","",PERKARA!A83)</f>
        <v/>
      </c>
      <c r="B93" t="str">
        <f>IF(A93="","",PERKARA!B83)</f>
        <v/>
      </c>
      <c r="C93" s="84" t="str">
        <f>IF(A93="","",PERKARA!G83)</f>
        <v/>
      </c>
      <c r="D93" s="84" t="str">
        <f>IF(A93="","",PERKARA!H83)</f>
        <v/>
      </c>
      <c r="E93" s="84" t="str">
        <f>IF(A93="","",PERKARA!I83)</f>
        <v/>
      </c>
      <c r="F93" s="84" t="str">
        <f>IF(A93="","",PERKARA!J83)</f>
        <v/>
      </c>
      <c r="G93" s="84" t="str">
        <f>IF(A93="","",PERKARA!P83)</f>
        <v/>
      </c>
      <c r="H93" s="84" t="str">
        <f>IF(A93="","",SUMIFS(INVOICE_PIUTANG!$L$5:$L$151,INVOICE_PIUTANG!$D$5:$D$151,A93,INVOICE_PIUTANG!$M$5:$M$151,"&gt;0"))</f>
        <v/>
      </c>
      <c r="I93" t="str">
        <f>IF(A93="","",IFERROR(_xludf.MAXIFS(INVOICE_PIUTANG!$M$5:$M$151,INVOICE_PIUTANG!$D$5:$D$151,A93),0))</f>
        <v/>
      </c>
      <c r="J93" t="str">
        <f>IF(OR(A93="",PERKARA!D83=""),"",PERKARA!D83)</f>
        <v/>
      </c>
    </row>
    <row r="94" spans="1:10">
      <c r="A94" t="str">
        <f>IF(PERKARA!A84="","",PERKARA!A84)</f>
        <v/>
      </c>
      <c r="B94" t="str">
        <f>IF(A94="","",PERKARA!B84)</f>
        <v/>
      </c>
      <c r="C94" s="84" t="str">
        <f>IF(A94="","",PERKARA!G84)</f>
        <v/>
      </c>
      <c r="D94" s="84" t="str">
        <f>IF(A94="","",PERKARA!H84)</f>
        <v/>
      </c>
      <c r="E94" s="84" t="str">
        <f>IF(A94="","",PERKARA!I84)</f>
        <v/>
      </c>
      <c r="F94" s="84" t="str">
        <f>IF(A94="","",PERKARA!J84)</f>
        <v/>
      </c>
      <c r="G94" s="84" t="str">
        <f>IF(A94="","",PERKARA!P84)</f>
        <v/>
      </c>
      <c r="H94" s="84" t="str">
        <f>IF(A94="","",SUMIFS(INVOICE_PIUTANG!$L$5:$L$151,INVOICE_PIUTANG!$D$5:$D$151,A94,INVOICE_PIUTANG!$M$5:$M$151,"&gt;0"))</f>
        <v/>
      </c>
      <c r="I94" t="str">
        <f>IF(A94="","",IFERROR(_xludf.MAXIFS(INVOICE_PIUTANG!$M$5:$M$151,INVOICE_PIUTANG!$D$5:$D$151,A94),0))</f>
        <v/>
      </c>
      <c r="J94" t="str">
        <f>IF(OR(A94="",PERKARA!D84=""),"",PERKARA!D84)</f>
        <v/>
      </c>
    </row>
    <row r="95" spans="1:10">
      <c r="A95" t="str">
        <f>IF(PERKARA!A85="","",PERKARA!A85)</f>
        <v/>
      </c>
      <c r="B95" t="str">
        <f>IF(A95="","",PERKARA!B85)</f>
        <v/>
      </c>
      <c r="C95" s="84" t="str">
        <f>IF(A95="","",PERKARA!G85)</f>
        <v/>
      </c>
      <c r="D95" s="84" t="str">
        <f>IF(A95="","",PERKARA!H85)</f>
        <v/>
      </c>
      <c r="E95" s="84" t="str">
        <f>IF(A95="","",PERKARA!I85)</f>
        <v/>
      </c>
      <c r="F95" s="84" t="str">
        <f>IF(A95="","",PERKARA!J85)</f>
        <v/>
      </c>
      <c r="G95" s="84" t="str">
        <f>IF(A95="","",PERKARA!P85)</f>
        <v/>
      </c>
      <c r="H95" s="84" t="str">
        <f>IF(A95="","",SUMIFS(INVOICE_PIUTANG!$L$5:$L$151,INVOICE_PIUTANG!$D$5:$D$151,A95,INVOICE_PIUTANG!$M$5:$M$151,"&gt;0"))</f>
        <v/>
      </c>
      <c r="I95" t="str">
        <f>IF(A95="","",IFERROR(_xludf.MAXIFS(INVOICE_PIUTANG!$M$5:$M$151,INVOICE_PIUTANG!$D$5:$D$151,A95),0))</f>
        <v/>
      </c>
      <c r="J95" t="str">
        <f>IF(OR(A95="",PERKARA!D85=""),"",PERKARA!D85)</f>
        <v/>
      </c>
    </row>
    <row r="96" spans="1:10">
      <c r="A96" t="str">
        <f>IF(PERKARA!A86="","",PERKARA!A86)</f>
        <v/>
      </c>
      <c r="B96" t="str">
        <f>IF(A96="","",PERKARA!B86)</f>
        <v/>
      </c>
      <c r="C96" s="84" t="str">
        <f>IF(A96="","",PERKARA!G86)</f>
        <v/>
      </c>
      <c r="D96" s="84" t="str">
        <f>IF(A96="","",PERKARA!H86)</f>
        <v/>
      </c>
      <c r="E96" s="84" t="str">
        <f>IF(A96="","",PERKARA!I86)</f>
        <v/>
      </c>
      <c r="F96" s="84" t="str">
        <f>IF(A96="","",PERKARA!J86)</f>
        <v/>
      </c>
      <c r="G96" s="84" t="str">
        <f>IF(A96="","",PERKARA!P86)</f>
        <v/>
      </c>
      <c r="H96" s="84" t="str">
        <f>IF(A96="","",SUMIFS(INVOICE_PIUTANG!$L$5:$L$151,INVOICE_PIUTANG!$D$5:$D$151,A96,INVOICE_PIUTANG!$M$5:$M$151,"&gt;0"))</f>
        <v/>
      </c>
      <c r="I96" t="str">
        <f>IF(A96="","",IFERROR(_xludf.MAXIFS(INVOICE_PIUTANG!$M$5:$M$151,INVOICE_PIUTANG!$D$5:$D$151,A96),0))</f>
        <v/>
      </c>
      <c r="J96" t="str">
        <f>IF(OR(A96="",PERKARA!D86=""),"",PERKARA!D86)</f>
        <v/>
      </c>
    </row>
    <row r="97" spans="1:10">
      <c r="A97" t="str">
        <f>IF(PERKARA!A87="","",PERKARA!A87)</f>
        <v/>
      </c>
      <c r="B97" t="str">
        <f>IF(A97="","",PERKARA!B87)</f>
        <v/>
      </c>
      <c r="C97" s="84" t="str">
        <f>IF(A97="","",PERKARA!G87)</f>
        <v/>
      </c>
      <c r="D97" s="84" t="str">
        <f>IF(A97="","",PERKARA!H87)</f>
        <v/>
      </c>
      <c r="E97" s="84" t="str">
        <f>IF(A97="","",PERKARA!I87)</f>
        <v/>
      </c>
      <c r="F97" s="84" t="str">
        <f>IF(A97="","",PERKARA!J87)</f>
        <v/>
      </c>
      <c r="G97" s="84" t="str">
        <f>IF(A97="","",PERKARA!P87)</f>
        <v/>
      </c>
      <c r="H97" s="84" t="str">
        <f>IF(A97="","",SUMIFS(INVOICE_PIUTANG!$L$5:$L$151,INVOICE_PIUTANG!$D$5:$D$151,A97,INVOICE_PIUTANG!$M$5:$M$151,"&gt;0"))</f>
        <v/>
      </c>
      <c r="I97" t="str">
        <f>IF(A97="","",IFERROR(_xludf.MAXIFS(INVOICE_PIUTANG!$M$5:$M$151,INVOICE_PIUTANG!$D$5:$D$151,A97),0))</f>
        <v/>
      </c>
      <c r="J97" t="str">
        <f>IF(OR(A97="",PERKARA!D87=""),"",PERKARA!D87)</f>
        <v/>
      </c>
    </row>
    <row r="98" spans="1:10">
      <c r="A98" t="str">
        <f>IF(PERKARA!A88="","",PERKARA!A88)</f>
        <v/>
      </c>
      <c r="B98" t="str">
        <f>IF(A98="","",PERKARA!B88)</f>
        <v/>
      </c>
      <c r="C98" s="84" t="str">
        <f>IF(A98="","",PERKARA!G88)</f>
        <v/>
      </c>
      <c r="D98" s="84" t="str">
        <f>IF(A98="","",PERKARA!H88)</f>
        <v/>
      </c>
      <c r="E98" s="84" t="str">
        <f>IF(A98="","",PERKARA!I88)</f>
        <v/>
      </c>
      <c r="F98" s="84" t="str">
        <f>IF(A98="","",PERKARA!J88)</f>
        <v/>
      </c>
      <c r="G98" s="84" t="str">
        <f>IF(A98="","",PERKARA!P88)</f>
        <v/>
      </c>
      <c r="H98" s="84" t="str">
        <f>IF(A98="","",SUMIFS(INVOICE_PIUTANG!$L$5:$L$151,INVOICE_PIUTANG!$D$5:$D$151,A98,INVOICE_PIUTANG!$M$5:$M$151,"&gt;0"))</f>
        <v/>
      </c>
      <c r="I98" t="str">
        <f>IF(A98="","",IFERROR(_xludf.MAXIFS(INVOICE_PIUTANG!$M$5:$M$151,INVOICE_PIUTANG!$D$5:$D$151,A98),0))</f>
        <v/>
      </c>
      <c r="J98" t="str">
        <f>IF(OR(A98="",PERKARA!D88=""),"",PERKARA!D88)</f>
        <v/>
      </c>
    </row>
    <row r="99" spans="1:10">
      <c r="A99" t="str">
        <f>IF(PERKARA!A89="","",PERKARA!A89)</f>
        <v/>
      </c>
      <c r="B99" t="str">
        <f>IF(A99="","",PERKARA!B89)</f>
        <v/>
      </c>
      <c r="C99" s="84" t="str">
        <f>IF(A99="","",PERKARA!G89)</f>
        <v/>
      </c>
      <c r="D99" s="84" t="str">
        <f>IF(A99="","",PERKARA!H89)</f>
        <v/>
      </c>
      <c r="E99" s="84" t="str">
        <f>IF(A99="","",PERKARA!I89)</f>
        <v/>
      </c>
      <c r="F99" s="84" t="str">
        <f>IF(A99="","",PERKARA!J89)</f>
        <v/>
      </c>
      <c r="G99" s="84" t="str">
        <f>IF(A99="","",PERKARA!P89)</f>
        <v/>
      </c>
      <c r="H99" s="84" t="str">
        <f>IF(A99="","",SUMIFS(INVOICE_PIUTANG!$L$5:$L$151,INVOICE_PIUTANG!$D$5:$D$151,A99,INVOICE_PIUTANG!$M$5:$M$151,"&gt;0"))</f>
        <v/>
      </c>
      <c r="I99" t="str">
        <f>IF(A99="","",IFERROR(_xludf.MAXIFS(INVOICE_PIUTANG!$M$5:$M$151,INVOICE_PIUTANG!$D$5:$D$151,A99),0))</f>
        <v/>
      </c>
      <c r="J99" t="str">
        <f>IF(OR(A99="",PERKARA!D89=""),"",PERKARA!D89)</f>
        <v/>
      </c>
    </row>
    <row r="100" spans="1:10">
      <c r="A100" t="str">
        <f>IF(PERKARA!A90="","",PERKARA!A90)</f>
        <v/>
      </c>
      <c r="B100" t="str">
        <f>IF(A100="","",PERKARA!B90)</f>
        <v/>
      </c>
      <c r="C100" s="84" t="str">
        <f>IF(A100="","",PERKARA!G90)</f>
        <v/>
      </c>
      <c r="D100" s="84" t="str">
        <f>IF(A100="","",PERKARA!H90)</f>
        <v/>
      </c>
      <c r="E100" s="84" t="str">
        <f>IF(A100="","",PERKARA!I90)</f>
        <v/>
      </c>
      <c r="F100" s="84" t="str">
        <f>IF(A100="","",PERKARA!J90)</f>
        <v/>
      </c>
      <c r="G100" s="84" t="str">
        <f>IF(A100="","",PERKARA!P90)</f>
        <v/>
      </c>
      <c r="H100" s="84" t="str">
        <f>IF(A100="","",SUMIFS(INVOICE_PIUTANG!$L$5:$L$151,INVOICE_PIUTANG!$D$5:$D$151,A100,INVOICE_PIUTANG!$M$5:$M$151,"&gt;0"))</f>
        <v/>
      </c>
      <c r="I100" t="str">
        <f>IF(A100="","",IFERROR(_xludf.MAXIFS(INVOICE_PIUTANG!$M$5:$M$151,INVOICE_PIUTANG!$D$5:$D$151,A100),0))</f>
        <v/>
      </c>
      <c r="J100" t="str">
        <f>IF(OR(A100="",PERKARA!D90=""),"",PERKARA!D90)</f>
        <v/>
      </c>
    </row>
    <row r="101" spans="1:10">
      <c r="A101" t="str">
        <f>IF(PERKARA!A91="","",PERKARA!A91)</f>
        <v/>
      </c>
      <c r="B101" t="str">
        <f>IF(A101="","",PERKARA!B91)</f>
        <v/>
      </c>
      <c r="C101" s="84" t="str">
        <f>IF(A101="","",PERKARA!G91)</f>
        <v/>
      </c>
      <c r="D101" s="84" t="str">
        <f>IF(A101="","",PERKARA!H91)</f>
        <v/>
      </c>
      <c r="E101" s="84" t="str">
        <f>IF(A101="","",PERKARA!I91)</f>
        <v/>
      </c>
      <c r="F101" s="84" t="str">
        <f>IF(A101="","",PERKARA!J91)</f>
        <v/>
      </c>
      <c r="G101" s="84" t="str">
        <f>IF(A101="","",PERKARA!P91)</f>
        <v/>
      </c>
      <c r="H101" s="84" t="str">
        <f>IF(A101="","",SUMIFS(INVOICE_PIUTANG!$L$5:$L$151,INVOICE_PIUTANG!$D$5:$D$151,A101,INVOICE_PIUTANG!$M$5:$M$151,"&gt;0"))</f>
        <v/>
      </c>
      <c r="I101" t="str">
        <f>IF(A101="","",IFERROR(_xludf.MAXIFS(INVOICE_PIUTANG!$M$5:$M$151,INVOICE_PIUTANG!$D$5:$D$151,A101),0))</f>
        <v/>
      </c>
      <c r="J101" t="str">
        <f>IF(OR(A101="",PERKARA!D91=""),"",PERKARA!D91)</f>
        <v/>
      </c>
    </row>
    <row r="102" spans="1:10">
      <c r="A102" t="str">
        <f>IF(PERKARA!A92="","",PERKARA!A92)</f>
        <v/>
      </c>
      <c r="B102" t="str">
        <f>IF(A102="","",PERKARA!B92)</f>
        <v/>
      </c>
      <c r="C102" s="84" t="str">
        <f>IF(A102="","",PERKARA!G92)</f>
        <v/>
      </c>
      <c r="D102" s="84" t="str">
        <f>IF(A102="","",PERKARA!H92)</f>
        <v/>
      </c>
      <c r="E102" s="84" t="str">
        <f>IF(A102="","",PERKARA!I92)</f>
        <v/>
      </c>
      <c r="F102" s="84" t="str">
        <f>IF(A102="","",PERKARA!J92)</f>
        <v/>
      </c>
      <c r="G102" s="84" t="str">
        <f>IF(A102="","",PERKARA!P92)</f>
        <v/>
      </c>
      <c r="H102" s="84" t="str">
        <f>IF(A102="","",SUMIFS(INVOICE_PIUTANG!$L$5:$L$151,INVOICE_PIUTANG!$D$5:$D$151,A102,INVOICE_PIUTANG!$M$5:$M$151,"&gt;0"))</f>
        <v/>
      </c>
      <c r="I102" t="str">
        <f>IF(A102="","",IFERROR(_xludf.MAXIFS(INVOICE_PIUTANG!$M$5:$M$151,INVOICE_PIUTANG!$D$5:$D$151,A102),0))</f>
        <v/>
      </c>
      <c r="J102" t="str">
        <f>IF(OR(A102="",PERKARA!D92=""),"",PERKARA!D92)</f>
        <v/>
      </c>
    </row>
    <row r="103" spans="1:10">
      <c r="A103" t="str">
        <f>IF(PERKARA!A93="","",PERKARA!A93)</f>
        <v/>
      </c>
      <c r="B103" t="str">
        <f>IF(A103="","",PERKARA!B93)</f>
        <v/>
      </c>
      <c r="C103" s="84" t="str">
        <f>IF(A103="","",PERKARA!G93)</f>
        <v/>
      </c>
      <c r="D103" s="84" t="str">
        <f>IF(A103="","",PERKARA!H93)</f>
        <v/>
      </c>
      <c r="E103" s="84" t="str">
        <f>IF(A103="","",PERKARA!I93)</f>
        <v/>
      </c>
      <c r="F103" s="84" t="str">
        <f>IF(A103="","",PERKARA!J93)</f>
        <v/>
      </c>
      <c r="G103" s="84" t="str">
        <f>IF(A103="","",PERKARA!P93)</f>
        <v/>
      </c>
      <c r="H103" s="84" t="str">
        <f>IF(A103="","",SUMIFS(INVOICE_PIUTANG!$L$5:$L$151,INVOICE_PIUTANG!$D$5:$D$151,A103,INVOICE_PIUTANG!$M$5:$M$151,"&gt;0"))</f>
        <v/>
      </c>
      <c r="I103" t="str">
        <f>IF(A103="","",IFERROR(_xludf.MAXIFS(INVOICE_PIUTANG!$M$5:$M$151,INVOICE_PIUTANG!$D$5:$D$151,A103),0))</f>
        <v/>
      </c>
      <c r="J103" t="str">
        <f>IF(OR(A103="",PERKARA!D93=""),"",PERKARA!D93)</f>
        <v/>
      </c>
    </row>
    <row r="104" spans="1:10">
      <c r="A104" t="str">
        <f>IF(PERKARA!A94="","",PERKARA!A94)</f>
        <v/>
      </c>
      <c r="B104" t="str">
        <f>IF(A104="","",PERKARA!B94)</f>
        <v/>
      </c>
      <c r="C104" s="84" t="str">
        <f>IF(A104="","",PERKARA!G94)</f>
        <v/>
      </c>
      <c r="D104" s="84" t="str">
        <f>IF(A104="","",PERKARA!H94)</f>
        <v/>
      </c>
      <c r="E104" s="84" t="str">
        <f>IF(A104="","",PERKARA!I94)</f>
        <v/>
      </c>
      <c r="F104" s="84" t="str">
        <f>IF(A104="","",PERKARA!J94)</f>
        <v/>
      </c>
      <c r="G104" s="84" t="str">
        <f>IF(A104="","",PERKARA!P94)</f>
        <v/>
      </c>
      <c r="H104" s="84" t="str">
        <f>IF(A104="","",SUMIFS(INVOICE_PIUTANG!$L$5:$L$151,INVOICE_PIUTANG!$D$5:$D$151,A104,INVOICE_PIUTANG!$M$5:$M$151,"&gt;0"))</f>
        <v/>
      </c>
      <c r="I104" t="str">
        <f>IF(A104="","",IFERROR(_xludf.MAXIFS(INVOICE_PIUTANG!$M$5:$M$151,INVOICE_PIUTANG!$D$5:$D$151,A104),0))</f>
        <v/>
      </c>
      <c r="J104" t="str">
        <f>IF(OR(A104="",PERKARA!D94=""),"",PERKARA!D94)</f>
        <v/>
      </c>
    </row>
    <row r="105" spans="1:10">
      <c r="A105" t="str">
        <f>IF(PERKARA!A95="","",PERKARA!A95)</f>
        <v/>
      </c>
      <c r="B105" t="str">
        <f>IF(A105="","",PERKARA!B95)</f>
        <v/>
      </c>
      <c r="C105" s="84" t="str">
        <f>IF(A105="","",PERKARA!G95)</f>
        <v/>
      </c>
      <c r="D105" s="84" t="str">
        <f>IF(A105="","",PERKARA!H95)</f>
        <v/>
      </c>
      <c r="E105" s="84" t="str">
        <f>IF(A105="","",PERKARA!I95)</f>
        <v/>
      </c>
      <c r="F105" s="84" t="str">
        <f>IF(A105="","",PERKARA!J95)</f>
        <v/>
      </c>
      <c r="G105" s="84" t="str">
        <f>IF(A105="","",PERKARA!P95)</f>
        <v/>
      </c>
      <c r="H105" s="84" t="str">
        <f>IF(A105="","",SUMIFS(INVOICE_PIUTANG!$L$5:$L$151,INVOICE_PIUTANG!$D$5:$D$151,A105,INVOICE_PIUTANG!$M$5:$M$151,"&gt;0"))</f>
        <v/>
      </c>
      <c r="I105" t="str">
        <f>IF(A105="","",IFERROR(_xludf.MAXIFS(INVOICE_PIUTANG!$M$5:$M$151,INVOICE_PIUTANG!$D$5:$D$151,A105),0))</f>
        <v/>
      </c>
      <c r="J105" t="str">
        <f>IF(OR(A105="",PERKARA!D95=""),"",PERKARA!D95)</f>
        <v/>
      </c>
    </row>
    <row r="106" spans="1:10">
      <c r="A106" t="str">
        <f>IF(PERKARA!A96="","",PERKARA!A96)</f>
        <v/>
      </c>
      <c r="B106" t="str">
        <f>IF(A106="","",PERKARA!B96)</f>
        <v/>
      </c>
      <c r="C106" s="84" t="str">
        <f>IF(A106="","",PERKARA!G96)</f>
        <v/>
      </c>
      <c r="D106" s="84" t="str">
        <f>IF(A106="","",PERKARA!H96)</f>
        <v/>
      </c>
      <c r="E106" s="84" t="str">
        <f>IF(A106="","",PERKARA!I96)</f>
        <v/>
      </c>
      <c r="F106" s="84" t="str">
        <f>IF(A106="","",PERKARA!J96)</f>
        <v/>
      </c>
      <c r="G106" s="84" t="str">
        <f>IF(A106="","",PERKARA!P96)</f>
        <v/>
      </c>
      <c r="H106" s="84" t="str">
        <f>IF(A106="","",SUMIFS(INVOICE_PIUTANG!$L$5:$L$151,INVOICE_PIUTANG!$D$5:$D$151,A106,INVOICE_PIUTANG!$M$5:$M$151,"&gt;0"))</f>
        <v/>
      </c>
      <c r="I106" t="str">
        <f>IF(A106="","",IFERROR(_xludf.MAXIFS(INVOICE_PIUTANG!$M$5:$M$151,INVOICE_PIUTANG!$D$5:$D$151,A106),0))</f>
        <v/>
      </c>
      <c r="J106" t="str">
        <f>IF(OR(A106="",PERKARA!D96=""),"",PERKARA!D96)</f>
        <v/>
      </c>
    </row>
    <row r="107" spans="1:10">
      <c r="A107" t="str">
        <f>IF(PERKARA!A97="","",PERKARA!A97)</f>
        <v/>
      </c>
      <c r="B107" t="str">
        <f>IF(A107="","",PERKARA!B97)</f>
        <v/>
      </c>
      <c r="C107" s="84" t="str">
        <f>IF(A107="","",PERKARA!G97)</f>
        <v/>
      </c>
      <c r="D107" s="84" t="str">
        <f>IF(A107="","",PERKARA!H97)</f>
        <v/>
      </c>
      <c r="E107" s="84" t="str">
        <f>IF(A107="","",PERKARA!I97)</f>
        <v/>
      </c>
      <c r="F107" s="84" t="str">
        <f>IF(A107="","",PERKARA!J97)</f>
        <v/>
      </c>
      <c r="G107" s="84" t="str">
        <f>IF(A107="","",PERKARA!P97)</f>
        <v/>
      </c>
      <c r="H107" s="84" t="str">
        <f>IF(A107="","",SUMIFS(INVOICE_PIUTANG!$L$5:$L$151,INVOICE_PIUTANG!$D$5:$D$151,A107,INVOICE_PIUTANG!$M$5:$M$151,"&gt;0"))</f>
        <v/>
      </c>
      <c r="I107" t="str">
        <f>IF(A107="","",IFERROR(_xludf.MAXIFS(INVOICE_PIUTANG!$M$5:$M$151,INVOICE_PIUTANG!$D$5:$D$151,A107),0))</f>
        <v/>
      </c>
      <c r="J107" t="str">
        <f>IF(OR(A107="",PERKARA!D97=""),"",PERKARA!D97)</f>
        <v/>
      </c>
    </row>
    <row r="108" spans="1:10">
      <c r="A108" t="str">
        <f>IF(PERKARA!A98="","",PERKARA!A98)</f>
        <v/>
      </c>
      <c r="B108" t="str">
        <f>IF(A108="","",PERKARA!B98)</f>
        <v/>
      </c>
      <c r="C108" s="84" t="str">
        <f>IF(A108="","",PERKARA!G98)</f>
        <v/>
      </c>
      <c r="D108" s="84" t="str">
        <f>IF(A108="","",PERKARA!H98)</f>
        <v/>
      </c>
      <c r="E108" s="84" t="str">
        <f>IF(A108="","",PERKARA!I98)</f>
        <v/>
      </c>
      <c r="F108" s="84" t="str">
        <f>IF(A108="","",PERKARA!J98)</f>
        <v/>
      </c>
      <c r="G108" s="84" t="str">
        <f>IF(A108="","",PERKARA!P98)</f>
        <v/>
      </c>
      <c r="H108" s="84" t="str">
        <f>IF(A108="","",SUMIFS(INVOICE_PIUTANG!$L$5:$L$151,INVOICE_PIUTANG!$D$5:$D$151,A108,INVOICE_PIUTANG!$M$5:$M$151,"&gt;0"))</f>
        <v/>
      </c>
      <c r="I108" t="str">
        <f>IF(A108="","",IFERROR(_xludf.MAXIFS(INVOICE_PIUTANG!$M$5:$M$151,INVOICE_PIUTANG!$D$5:$D$151,A108),0))</f>
        <v/>
      </c>
      <c r="J108" t="str">
        <f>IF(OR(A108="",PERKARA!D98=""),"",PERKARA!D98)</f>
        <v/>
      </c>
    </row>
    <row r="109" spans="1:10">
      <c r="A109" t="str">
        <f>IF(PERKARA!A99="","",PERKARA!A99)</f>
        <v/>
      </c>
      <c r="B109" t="str">
        <f>IF(A109="","",PERKARA!B99)</f>
        <v/>
      </c>
      <c r="C109" s="84" t="str">
        <f>IF(A109="","",PERKARA!G99)</f>
        <v/>
      </c>
      <c r="D109" s="84" t="str">
        <f>IF(A109="","",PERKARA!H99)</f>
        <v/>
      </c>
      <c r="E109" s="84" t="str">
        <f>IF(A109="","",PERKARA!I99)</f>
        <v/>
      </c>
      <c r="F109" s="84" t="str">
        <f>IF(A109="","",PERKARA!J99)</f>
        <v/>
      </c>
      <c r="G109" s="84" t="str">
        <f>IF(A109="","",PERKARA!P99)</f>
        <v/>
      </c>
      <c r="H109" s="84" t="str">
        <f>IF(A109="","",SUMIFS(INVOICE_PIUTANG!$L$5:$L$151,INVOICE_PIUTANG!$D$5:$D$151,A109,INVOICE_PIUTANG!$M$5:$M$151,"&gt;0"))</f>
        <v/>
      </c>
      <c r="I109" t="str">
        <f>IF(A109="","",IFERROR(_xludf.MAXIFS(INVOICE_PIUTANG!$M$5:$M$151,INVOICE_PIUTANG!$D$5:$D$151,A109),0))</f>
        <v/>
      </c>
      <c r="J109" t="str">
        <f>IF(OR(A109="",PERKARA!D99=""),"",PERKARA!D99)</f>
        <v/>
      </c>
    </row>
    <row r="110" spans="1:10">
      <c r="A110" t="str">
        <f>IF(PERKARA!A100="","",PERKARA!A100)</f>
        <v/>
      </c>
      <c r="B110" t="str">
        <f>IF(A110="","",PERKARA!B100)</f>
        <v/>
      </c>
      <c r="C110" s="84" t="str">
        <f>IF(A110="","",PERKARA!G100)</f>
        <v/>
      </c>
      <c r="D110" s="84" t="str">
        <f>IF(A110="","",PERKARA!H100)</f>
        <v/>
      </c>
      <c r="E110" s="84" t="str">
        <f>IF(A110="","",PERKARA!I100)</f>
        <v/>
      </c>
      <c r="F110" s="84" t="str">
        <f>IF(A110="","",PERKARA!J100)</f>
        <v/>
      </c>
      <c r="G110" s="84" t="str">
        <f>IF(A110="","",PERKARA!P100)</f>
        <v/>
      </c>
      <c r="H110" s="84" t="str">
        <f>IF(A110="","",SUMIFS(INVOICE_PIUTANG!$L$5:$L$151,INVOICE_PIUTANG!$D$5:$D$151,A110,INVOICE_PIUTANG!$M$5:$M$151,"&gt;0"))</f>
        <v/>
      </c>
      <c r="I110" t="str">
        <f>IF(A110="","",IFERROR(_xludf.MAXIFS(INVOICE_PIUTANG!$M$5:$M$151,INVOICE_PIUTANG!$D$5:$D$151,A110),0))</f>
        <v/>
      </c>
      <c r="J110" t="str">
        <f>IF(OR(A110="",PERKARA!D100=""),"",PERKARA!D100)</f>
        <v/>
      </c>
    </row>
    <row r="111" spans="1:10">
      <c r="A111" t="str">
        <f>IF(PERKARA!A101="","",PERKARA!A101)</f>
        <v/>
      </c>
      <c r="B111" t="str">
        <f>IF(A111="","",PERKARA!B101)</f>
        <v/>
      </c>
      <c r="C111" s="84" t="str">
        <f>IF(A111="","",PERKARA!G101)</f>
        <v/>
      </c>
      <c r="D111" s="84" t="str">
        <f>IF(A111="","",PERKARA!H101)</f>
        <v/>
      </c>
      <c r="E111" s="84" t="str">
        <f>IF(A111="","",PERKARA!I101)</f>
        <v/>
      </c>
      <c r="F111" s="84" t="str">
        <f>IF(A111="","",PERKARA!J101)</f>
        <v/>
      </c>
      <c r="G111" s="84" t="str">
        <f>IF(A111="","",PERKARA!P101)</f>
        <v/>
      </c>
      <c r="H111" s="84" t="str">
        <f>IF(A111="","",SUMIFS(INVOICE_PIUTANG!$L$5:$L$151,INVOICE_PIUTANG!$D$5:$D$151,A111,INVOICE_PIUTANG!$M$5:$M$151,"&gt;0"))</f>
        <v/>
      </c>
      <c r="I111" t="str">
        <f>IF(A111="","",IFERROR(_xludf.MAXIFS(INVOICE_PIUTANG!$M$5:$M$151,INVOICE_PIUTANG!$D$5:$D$151,A111),0))</f>
        <v/>
      </c>
      <c r="J111" t="str">
        <f>IF(OR(A111="",PERKARA!D101=""),"",PERKARA!D101)</f>
        <v/>
      </c>
    </row>
    <row r="112" spans="1:10">
      <c r="A112" t="str">
        <f>IF(PERKARA!A102="","",PERKARA!A102)</f>
        <v/>
      </c>
      <c r="B112" t="str">
        <f>IF(A112="","",PERKARA!B102)</f>
        <v/>
      </c>
      <c r="C112" s="84" t="str">
        <f>IF(A112="","",PERKARA!G102)</f>
        <v/>
      </c>
      <c r="D112" s="84" t="str">
        <f>IF(A112="","",PERKARA!H102)</f>
        <v/>
      </c>
      <c r="E112" s="84" t="str">
        <f>IF(A112="","",PERKARA!I102)</f>
        <v/>
      </c>
      <c r="F112" s="84" t="str">
        <f>IF(A112="","",PERKARA!J102)</f>
        <v/>
      </c>
      <c r="G112" s="84" t="str">
        <f>IF(A112="","",PERKARA!P102)</f>
        <v/>
      </c>
      <c r="H112" s="84" t="str">
        <f>IF(A112="","",SUMIFS(INVOICE_PIUTANG!$L$5:$L$151,INVOICE_PIUTANG!$D$5:$D$151,A112,INVOICE_PIUTANG!$M$5:$M$151,"&gt;0"))</f>
        <v/>
      </c>
      <c r="I112" t="str">
        <f>IF(A112="","",IFERROR(_xludf.MAXIFS(INVOICE_PIUTANG!$M$5:$M$151,INVOICE_PIUTANG!$D$5:$D$151,A112),0))</f>
        <v/>
      </c>
      <c r="J112" t="str">
        <f>IF(OR(A112="",PERKARA!D102=""),"",PERKARA!D102)</f>
        <v/>
      </c>
    </row>
    <row r="113" spans="1:10">
      <c r="A113" t="str">
        <f>IF(PERKARA!A103="","",PERKARA!A103)</f>
        <v/>
      </c>
      <c r="B113" t="str">
        <f>IF(A113="","",PERKARA!B103)</f>
        <v/>
      </c>
      <c r="C113" s="84" t="str">
        <f>IF(A113="","",PERKARA!G103)</f>
        <v/>
      </c>
      <c r="D113" s="84" t="str">
        <f>IF(A113="","",PERKARA!H103)</f>
        <v/>
      </c>
      <c r="E113" s="84" t="str">
        <f>IF(A113="","",PERKARA!I103)</f>
        <v/>
      </c>
      <c r="F113" s="84" t="str">
        <f>IF(A113="","",PERKARA!J103)</f>
        <v/>
      </c>
      <c r="G113" s="84" t="str">
        <f>IF(A113="","",PERKARA!P103)</f>
        <v/>
      </c>
      <c r="H113" s="84" t="str">
        <f>IF(A113="","",SUMIFS(INVOICE_PIUTANG!$L$5:$L$151,INVOICE_PIUTANG!$D$5:$D$151,A113,INVOICE_PIUTANG!$M$5:$M$151,"&gt;0"))</f>
        <v/>
      </c>
      <c r="I113" t="str">
        <f>IF(A113="","",IFERROR(_xludf.MAXIFS(INVOICE_PIUTANG!$M$5:$M$151,INVOICE_PIUTANG!$D$5:$D$151,A113),0))</f>
        <v/>
      </c>
      <c r="J113" t="str">
        <f>IF(OR(A113="",PERKARA!D103=""),"",PERKARA!D103)</f>
        <v/>
      </c>
    </row>
    <row r="114" spans="1:10">
      <c r="A114" t="str">
        <f>IF(PERKARA!A104="","",PERKARA!A104)</f>
        <v/>
      </c>
      <c r="B114" t="str">
        <f>IF(A114="","",PERKARA!B104)</f>
        <v/>
      </c>
      <c r="C114" s="84" t="str">
        <f>IF(A114="","",PERKARA!G104)</f>
        <v/>
      </c>
      <c r="D114" s="84" t="str">
        <f>IF(A114="","",PERKARA!H104)</f>
        <v/>
      </c>
      <c r="E114" s="84" t="str">
        <f>IF(A114="","",PERKARA!I104)</f>
        <v/>
      </c>
      <c r="F114" s="84" t="str">
        <f>IF(A114="","",PERKARA!J104)</f>
        <v/>
      </c>
      <c r="G114" s="84" t="str">
        <f>IF(A114="","",PERKARA!P104)</f>
        <v/>
      </c>
      <c r="H114" s="84" t="str">
        <f>IF(A114="","",SUMIFS(INVOICE_PIUTANG!$L$5:$L$151,INVOICE_PIUTANG!$D$5:$D$151,A114,INVOICE_PIUTANG!$M$5:$M$151,"&gt;0"))</f>
        <v/>
      </c>
      <c r="I114" t="str">
        <f>IF(A114="","",IFERROR(_xludf.MAXIFS(INVOICE_PIUTANG!$M$5:$M$151,INVOICE_PIUTANG!$D$5:$D$151,A114),0))</f>
        <v/>
      </c>
      <c r="J114" t="str">
        <f>IF(OR(A114="",PERKARA!D104=""),"",PERKARA!D104)</f>
        <v/>
      </c>
    </row>
  </sheetData>
  <mergeCells count="2">
    <mergeCell ref="A1:J2"/>
    <mergeCell ref="A3:J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22"/>
  <sheetViews>
    <sheetView showGridLines="0" workbookViewId="0">
      <selection sqref="A1:N2"/>
    </sheetView>
  </sheetViews>
  <sheetFormatPr defaultRowHeight="13.8"/>
  <cols>
    <col min="1" max="1" width="26" customWidth="1"/>
    <col min="2" max="9" width="19" customWidth="1"/>
    <col min="10" max="14" width="18" customWidth="1"/>
  </cols>
  <sheetData>
    <row r="1" spans="1:14">
      <c r="A1" s="394" t="s">
        <v>874</v>
      </c>
      <c r="B1" s="394"/>
      <c r="C1" s="394"/>
      <c r="D1" s="394"/>
      <c r="E1" s="394"/>
      <c r="F1" s="394"/>
      <c r="G1" s="394"/>
      <c r="H1" s="394"/>
      <c r="I1" s="394"/>
      <c r="J1" s="394"/>
      <c r="K1" s="394"/>
      <c r="L1" s="394"/>
      <c r="M1" s="394"/>
      <c r="N1" s="394"/>
    </row>
    <row r="2" spans="1:14">
      <c r="A2" s="394"/>
      <c r="B2" s="394"/>
      <c r="C2" s="394"/>
      <c r="D2" s="394"/>
      <c r="E2" s="394"/>
      <c r="F2" s="394"/>
      <c r="G2" s="394"/>
      <c r="H2" s="394"/>
      <c r="I2" s="394"/>
      <c r="J2" s="394"/>
      <c r="K2" s="394"/>
      <c r="L2" s="394"/>
      <c r="M2" s="394"/>
      <c r="N2" s="394"/>
    </row>
    <row r="3" spans="1:14" ht="30" customHeight="1">
      <c r="A3" s="395" t="s">
        <v>875</v>
      </c>
      <c r="B3" s="395"/>
      <c r="C3" s="395"/>
      <c r="D3" s="395"/>
      <c r="E3" s="395"/>
      <c r="F3" s="395"/>
      <c r="G3" s="395"/>
      <c r="H3" s="395"/>
      <c r="I3" s="395"/>
      <c r="J3" s="395"/>
      <c r="K3" s="395"/>
      <c r="L3" s="395"/>
      <c r="M3" s="395"/>
      <c r="N3" s="395"/>
    </row>
    <row r="5" spans="1:14" ht="27.6">
      <c r="A5" s="66" t="s">
        <v>214</v>
      </c>
      <c r="B5" s="66" t="s">
        <v>876</v>
      </c>
      <c r="C5" s="66" t="s">
        <v>877</v>
      </c>
      <c r="D5" s="66" t="s">
        <v>878</v>
      </c>
      <c r="E5" s="66" t="s">
        <v>879</v>
      </c>
      <c r="F5" s="66" t="s">
        <v>880</v>
      </c>
      <c r="G5" s="66" t="s">
        <v>881</v>
      </c>
      <c r="H5" s="66" t="s">
        <v>528</v>
      </c>
      <c r="I5" s="66" t="s">
        <v>882</v>
      </c>
    </row>
    <row r="6" spans="1:14">
      <c r="A6" t="str">
        <f>MASTER!A5</f>
        <v>Fajar Roni</v>
      </c>
      <c r="B6" t="str">
        <f>MASTER!G7</f>
        <v>Kas Fajar</v>
      </c>
      <c r="C6" s="84">
        <f>IFERROR(INDEX(KAS_BANK!$L$5:$L$10,MATCH(B6,KAS_BANK!$A$5:$A$10,0)),0)</f>
        <v>-1000000</v>
      </c>
      <c r="D6" s="84">
        <f>MAX(C6,0)</f>
        <v>0</v>
      </c>
      <c r="E6" s="84">
        <f>MAX(-C6,0)</f>
        <v>1000000</v>
      </c>
      <c r="F6" s="84">
        <f>SUMIFS(REIMBURSE!$K$5:$K$124,REIMBURSE!$C$5:$C$124,A6)</f>
        <v>0</v>
      </c>
      <c r="G6" s="84">
        <f>SUMIFS(REIMBURSE!$J$5:$J$124,REIMBURSE!$C$5:$C$124,A6)</f>
        <v>0</v>
      </c>
      <c r="H6" s="84">
        <f>SUMIFS(PARTNER!$I$5:$I$124,PARTNER!$D$5:$D$124,A6,PARTNER!$E$5:$E$124,"Pengembalian Talangan")</f>
        <v>0</v>
      </c>
      <c r="I6" s="84">
        <f>MAX(E6,F6)</f>
        <v>1000000</v>
      </c>
    </row>
    <row r="7" spans="1:14">
      <c r="A7" t="str">
        <f>MASTER!A6</f>
        <v>Reza Evaldo Kusumah</v>
      </c>
      <c r="B7" t="str">
        <f>MASTER!G8</f>
        <v>Kas Reza</v>
      </c>
      <c r="C7" s="84">
        <f>IFERROR(INDEX(KAS_BANK!$L$5:$L$10,MATCH(B7,KAS_BANK!$A$5:$A$10,0)),0)</f>
        <v>0</v>
      </c>
      <c r="D7" s="84">
        <f>MAX(C7,0)</f>
        <v>0</v>
      </c>
      <c r="E7" s="84">
        <f>MAX(-C7,0)</f>
        <v>0</v>
      </c>
      <c r="F7" s="84">
        <f>SUMIFS(REIMBURSE!$K$5:$K$124,REIMBURSE!$C$5:$C$124,A7)</f>
        <v>0</v>
      </c>
      <c r="G7" s="84">
        <f>SUMIFS(REIMBURSE!$J$5:$J$124,REIMBURSE!$C$5:$C$124,A7)</f>
        <v>0</v>
      </c>
      <c r="H7" s="84">
        <f>SUMIFS(PARTNER!$I$5:$I$124,PARTNER!$D$5:$D$124,A7,PARTNER!$E$5:$E$124,"Pengembalian Talangan")</f>
        <v>0</v>
      </c>
      <c r="I7" s="84">
        <f>MAX(E7,F7)</f>
        <v>0</v>
      </c>
    </row>
    <row r="8" spans="1:14">
      <c r="A8" t="str">
        <f>MASTER!A7</f>
        <v>Anggara Putra</v>
      </c>
      <c r="B8" t="str">
        <f>MASTER!G9</f>
        <v>Kas Anggara</v>
      </c>
      <c r="C8" s="84">
        <f>IFERROR(INDEX(KAS_BANK!$L$5:$L$10,MATCH(B8,KAS_BANK!$A$5:$A$10,0)),0)</f>
        <v>0</v>
      </c>
      <c r="D8" s="84">
        <f>MAX(C8,0)</f>
        <v>0</v>
      </c>
      <c r="E8" s="84">
        <f>MAX(-C8,0)</f>
        <v>0</v>
      </c>
      <c r="F8" s="84">
        <f>SUMIFS(REIMBURSE!$K$5:$K$124,REIMBURSE!$C$5:$C$124,A8)</f>
        <v>0</v>
      </c>
      <c r="G8" s="84">
        <f>SUMIFS(REIMBURSE!$J$5:$J$124,REIMBURSE!$C$5:$C$124,A8)</f>
        <v>0</v>
      </c>
      <c r="H8" s="84">
        <f>SUMIFS(PARTNER!$I$5:$I$124,PARTNER!$D$5:$D$124,A8,PARTNER!$E$5:$E$124,"Pengembalian Talangan")</f>
        <v>0</v>
      </c>
      <c r="I8" s="84">
        <f>MAX(E8,F8)</f>
        <v>0</v>
      </c>
    </row>
    <row r="9" spans="1:14">
      <c r="A9" s="65" t="s">
        <v>883</v>
      </c>
      <c r="B9" s="65"/>
      <c r="C9" s="132">
        <f t="shared" ref="C9:I9" si="0">SUM(C6:C8)</f>
        <v>-1000000</v>
      </c>
      <c r="D9" s="132">
        <f t="shared" si="0"/>
        <v>0</v>
      </c>
      <c r="E9" s="132">
        <f t="shared" si="0"/>
        <v>1000000</v>
      </c>
      <c r="F9" s="132">
        <f t="shared" si="0"/>
        <v>0</v>
      </c>
      <c r="G9" s="132">
        <f t="shared" si="0"/>
        <v>0</v>
      </c>
      <c r="H9" s="132">
        <f t="shared" si="0"/>
        <v>0</v>
      </c>
      <c r="I9" s="132">
        <f t="shared" si="0"/>
        <v>1000000</v>
      </c>
    </row>
    <row r="12" spans="1:14">
      <c r="A12" s="396" t="s">
        <v>884</v>
      </c>
      <c r="B12" s="396"/>
      <c r="C12" s="396"/>
      <c r="D12" s="396"/>
      <c r="E12" s="396"/>
      <c r="F12" s="396"/>
      <c r="G12" s="396"/>
      <c r="H12" s="396"/>
      <c r="I12" s="396"/>
      <c r="J12" s="396"/>
      <c r="K12" s="396"/>
      <c r="L12" s="396"/>
      <c r="M12" s="396"/>
      <c r="N12" s="396"/>
    </row>
    <row r="13" spans="1:14">
      <c r="A13" s="66" t="s">
        <v>214</v>
      </c>
      <c r="B13" s="66" t="s">
        <v>231</v>
      </c>
      <c r="C13" s="66" t="s">
        <v>232</v>
      </c>
      <c r="D13" s="66" t="s">
        <v>233</v>
      </c>
      <c r="E13" s="66" t="s">
        <v>234</v>
      </c>
      <c r="F13" s="66" t="s">
        <v>235</v>
      </c>
      <c r="G13" s="66" t="s">
        <v>236</v>
      </c>
      <c r="H13" s="66" t="s">
        <v>237</v>
      </c>
      <c r="I13" s="66" t="s">
        <v>238</v>
      </c>
      <c r="J13" s="66" t="s">
        <v>239</v>
      </c>
      <c r="K13" s="66" t="s">
        <v>240</v>
      </c>
      <c r="L13" s="66" t="s">
        <v>241</v>
      </c>
      <c r="M13" s="66" t="s">
        <v>242</v>
      </c>
      <c r="N13" s="66" t="s">
        <v>885</v>
      </c>
    </row>
    <row r="14" spans="1:14">
      <c r="A14" t="str">
        <f>A6</f>
        <v>Fajar Roni</v>
      </c>
      <c r="B14" s="84">
        <f ca="1">IF(1&gt;MASTER!$AF$15,"",SUM(MAX(-(SUMIFS(KAS_BANK!$B$5:$B$10,KAS_BANK!$A$5:$A$10,$B$6)+SUMIFS(PEMASUKAN!$J$5:$J$204,PEMASUKAN!$K$5:$K$204,$B$6,PEMASUKAN!$B$5:$B$204,"&lt;"&amp;DATE(DASHBOARD!$B$4,2,1))-SUMIFS(PENGELUARAN!$K$5:$K$204,PENGELUARAN!$I$5:$I$204,$B$6,PENGELUARAN!$B$5:$B$204,"&lt;"&amp;DATE(DASHBOARD!$B$4,2,1))-SUMIFS(GAJI!$P$5:$P$124,GAJI!$T$5:$T$124,$B$6,GAJI!$R$5:$R$124,"Dibayar",GAJI!$S$5:$S$124,"&lt;"&amp;DATE(DASHBOARD!$B$4,2,1))-SUMIFS(REIMBURSE!$J$5:$J$124,REIMBURSE!$O$5:$O$124,$B$6,REIMBURSE!$N$5:$N$124,"&lt;"&amp;DATE(DASHBOARD!$B$4,2,1))-SUMIFS(KEWAJIBAN!$F$5:$F$124,KEWAJIBAN!$J$5:$J$124,$B$6,KEWAJIBAN!$I$5:$I$124,"&lt;"&amp;DATE(DASHBOARD!$B$4,2,1))-SUMIFS(PARTNER!$I$5:$I$124,PARTNER!$L$5:$L$124,$B$6,PARTNER!$V$5:$V$124,"&lt;"&amp;DATE(DASHBOARD!$B$4,2,1))+SUMIFS(TRANSFER_KAS!$F$5:$F$204,TRANSFER_KAS!$E$5:$E$204,$B$6,TRANSFER_KAS!$B$5:$B$204,"&lt;"&amp;DATE(DASHBOARD!$B$4,2,1))-SUMIFS(TRANSFER_KAS!$F$5:$F$204,TRANSFER_KAS!$D$5:$D$204,$B$6,TRANSFER_KAS!$B$5:$B$204,"&lt;"&amp;DATE(DASHBOARD!$B$4,2,1))+SUMIFS(REIMBURSE!$J$5:$J$124,REIMBURSE!$C$5:$C$124,$A$6,REIMBURSE!$N$5:$N$124,"&lt;"&amp;DATE(DASHBOARD!$B$4,2,1))+SUMIFS(PARTNER!$I$5:$I$124,PARTNER!$D$5:$D$124,$A$6,PARTNER!$E$5:$E$124,"Pengembalian Talangan",PARTNER!$V$5:$V$124,"&lt;"&amp;DATE(DASHBOARD!$B$4,2,1))),0)))</f>
        <v>0</v>
      </c>
      <c r="C14" s="84">
        <f ca="1">IF(2&gt;MASTER!$AF$15,"",SUM(MAX(-(SUMIFS(KAS_BANK!$B$5:$B$10,KAS_BANK!$A$5:$A$10,$B$6)+SUMIFS(PEMASUKAN!$J$5:$J$204,PEMASUKAN!$K$5:$K$204,$B$6,PEMASUKAN!$B$5:$B$204,"&lt;"&amp;DATE(DASHBOARD!$B$4,3,1))-SUMIFS(PENGELUARAN!$K$5:$K$204,PENGELUARAN!$I$5:$I$204,$B$6,PENGELUARAN!$B$5:$B$204,"&lt;"&amp;DATE(DASHBOARD!$B$4,3,1))-SUMIFS(GAJI!$P$5:$P$124,GAJI!$T$5:$T$124,$B$6,GAJI!$R$5:$R$124,"Dibayar",GAJI!$S$5:$S$124,"&lt;"&amp;DATE(DASHBOARD!$B$4,3,1))-SUMIFS(REIMBURSE!$J$5:$J$124,REIMBURSE!$O$5:$O$124,$B$6,REIMBURSE!$N$5:$N$124,"&lt;"&amp;DATE(DASHBOARD!$B$4,3,1))-SUMIFS(KEWAJIBAN!$F$5:$F$124,KEWAJIBAN!$J$5:$J$124,$B$6,KEWAJIBAN!$I$5:$I$124,"&lt;"&amp;DATE(DASHBOARD!$B$4,3,1))-SUMIFS(PARTNER!$I$5:$I$124,PARTNER!$L$5:$L$124,$B$6,PARTNER!$V$5:$V$124,"&lt;"&amp;DATE(DASHBOARD!$B$4,3,1))+SUMIFS(TRANSFER_KAS!$F$5:$F$204,TRANSFER_KAS!$E$5:$E$204,$B$6,TRANSFER_KAS!$B$5:$B$204,"&lt;"&amp;DATE(DASHBOARD!$B$4,3,1))-SUMIFS(TRANSFER_KAS!$F$5:$F$204,TRANSFER_KAS!$D$5:$D$204,$B$6,TRANSFER_KAS!$B$5:$B$204,"&lt;"&amp;DATE(DASHBOARD!$B$4,3,1))+SUMIFS(REIMBURSE!$J$5:$J$124,REIMBURSE!$C$5:$C$124,$A$6,REIMBURSE!$N$5:$N$124,"&lt;"&amp;DATE(DASHBOARD!$B$4,3,1))+SUMIFS(PARTNER!$I$5:$I$124,PARTNER!$D$5:$D$124,$A$6,PARTNER!$E$5:$E$124,"Pengembalian Talangan",PARTNER!$V$5:$V$124,"&lt;"&amp;DATE(DASHBOARD!$B$4,3,1))),0)))</f>
        <v>0</v>
      </c>
      <c r="D14" s="84">
        <f ca="1">IF(3&gt;MASTER!$AF$15,"",SUM(MAX(-(SUMIFS(KAS_BANK!$B$5:$B$10,KAS_BANK!$A$5:$A$10,$B$6)+SUMIFS(PEMASUKAN!$J$5:$J$204,PEMASUKAN!$K$5:$K$204,$B$6,PEMASUKAN!$B$5:$B$204,"&lt;"&amp;DATE(DASHBOARD!$B$4,4,1))-SUMIFS(PENGELUARAN!$K$5:$K$204,PENGELUARAN!$I$5:$I$204,$B$6,PENGELUARAN!$B$5:$B$204,"&lt;"&amp;DATE(DASHBOARD!$B$4,4,1))-SUMIFS(GAJI!$P$5:$P$124,GAJI!$T$5:$T$124,$B$6,GAJI!$R$5:$R$124,"Dibayar",GAJI!$S$5:$S$124,"&lt;"&amp;DATE(DASHBOARD!$B$4,4,1))-SUMIFS(REIMBURSE!$J$5:$J$124,REIMBURSE!$O$5:$O$124,$B$6,REIMBURSE!$N$5:$N$124,"&lt;"&amp;DATE(DASHBOARD!$B$4,4,1))-SUMIFS(KEWAJIBAN!$F$5:$F$124,KEWAJIBAN!$J$5:$J$124,$B$6,KEWAJIBAN!$I$5:$I$124,"&lt;"&amp;DATE(DASHBOARD!$B$4,4,1))-SUMIFS(PARTNER!$I$5:$I$124,PARTNER!$L$5:$L$124,$B$6,PARTNER!$V$5:$V$124,"&lt;"&amp;DATE(DASHBOARD!$B$4,4,1))+SUMIFS(TRANSFER_KAS!$F$5:$F$204,TRANSFER_KAS!$E$5:$E$204,$B$6,TRANSFER_KAS!$B$5:$B$204,"&lt;"&amp;DATE(DASHBOARD!$B$4,4,1))-SUMIFS(TRANSFER_KAS!$F$5:$F$204,TRANSFER_KAS!$D$5:$D$204,$B$6,TRANSFER_KAS!$B$5:$B$204,"&lt;"&amp;DATE(DASHBOARD!$B$4,4,1))+SUMIFS(REIMBURSE!$J$5:$J$124,REIMBURSE!$C$5:$C$124,$A$6,REIMBURSE!$N$5:$N$124,"&lt;"&amp;DATE(DASHBOARD!$B$4,4,1))+SUMIFS(PARTNER!$I$5:$I$124,PARTNER!$D$5:$D$124,$A$6,PARTNER!$E$5:$E$124,"Pengembalian Talangan",PARTNER!$V$5:$V$124,"&lt;"&amp;DATE(DASHBOARD!$B$4,4,1))),0)))</f>
        <v>0</v>
      </c>
      <c r="E14" s="84">
        <f ca="1">IF(4&gt;MASTER!$AF$15,"",SUM(MAX(-(SUMIFS(KAS_BANK!$B$5:$B$10,KAS_BANK!$A$5:$A$10,$B$6)+SUMIFS(PEMASUKAN!$J$5:$J$204,PEMASUKAN!$K$5:$K$204,$B$6,PEMASUKAN!$B$5:$B$204,"&lt;"&amp;DATE(DASHBOARD!$B$4,5,1))-SUMIFS(PENGELUARAN!$K$5:$K$204,PENGELUARAN!$I$5:$I$204,$B$6,PENGELUARAN!$B$5:$B$204,"&lt;"&amp;DATE(DASHBOARD!$B$4,5,1))-SUMIFS(GAJI!$P$5:$P$124,GAJI!$T$5:$T$124,$B$6,GAJI!$R$5:$R$124,"Dibayar",GAJI!$S$5:$S$124,"&lt;"&amp;DATE(DASHBOARD!$B$4,5,1))-SUMIFS(REIMBURSE!$J$5:$J$124,REIMBURSE!$O$5:$O$124,$B$6,REIMBURSE!$N$5:$N$124,"&lt;"&amp;DATE(DASHBOARD!$B$4,5,1))-SUMIFS(KEWAJIBAN!$F$5:$F$124,KEWAJIBAN!$J$5:$J$124,$B$6,KEWAJIBAN!$I$5:$I$124,"&lt;"&amp;DATE(DASHBOARD!$B$4,5,1))-SUMIFS(PARTNER!$I$5:$I$124,PARTNER!$L$5:$L$124,$B$6,PARTNER!$V$5:$V$124,"&lt;"&amp;DATE(DASHBOARD!$B$4,5,1))+SUMIFS(TRANSFER_KAS!$F$5:$F$204,TRANSFER_KAS!$E$5:$E$204,$B$6,TRANSFER_KAS!$B$5:$B$204,"&lt;"&amp;DATE(DASHBOARD!$B$4,5,1))-SUMIFS(TRANSFER_KAS!$F$5:$F$204,TRANSFER_KAS!$D$5:$D$204,$B$6,TRANSFER_KAS!$B$5:$B$204,"&lt;"&amp;DATE(DASHBOARD!$B$4,5,1))+SUMIFS(REIMBURSE!$J$5:$J$124,REIMBURSE!$C$5:$C$124,$A$6,REIMBURSE!$N$5:$N$124,"&lt;"&amp;DATE(DASHBOARD!$B$4,5,1))+SUMIFS(PARTNER!$I$5:$I$124,PARTNER!$D$5:$D$124,$A$6,PARTNER!$E$5:$E$124,"Pengembalian Talangan",PARTNER!$V$5:$V$124,"&lt;"&amp;DATE(DASHBOARD!$B$4,5,1))),0)))</f>
        <v>0</v>
      </c>
      <c r="F14" s="84">
        <f ca="1">IF(5&gt;MASTER!$AF$15,"",SUM(MAX(-(SUMIFS(KAS_BANK!$B$5:$B$10,KAS_BANK!$A$5:$A$10,$B$6)+SUMIFS(PEMASUKAN!$J$5:$J$204,PEMASUKAN!$K$5:$K$204,$B$6,PEMASUKAN!$B$5:$B$204,"&lt;"&amp;DATE(DASHBOARD!$B$4,6,1))-SUMIFS(PENGELUARAN!$K$5:$K$204,PENGELUARAN!$I$5:$I$204,$B$6,PENGELUARAN!$B$5:$B$204,"&lt;"&amp;DATE(DASHBOARD!$B$4,6,1))-SUMIFS(GAJI!$P$5:$P$124,GAJI!$T$5:$T$124,$B$6,GAJI!$R$5:$R$124,"Dibayar",GAJI!$S$5:$S$124,"&lt;"&amp;DATE(DASHBOARD!$B$4,6,1))-SUMIFS(REIMBURSE!$J$5:$J$124,REIMBURSE!$O$5:$O$124,$B$6,REIMBURSE!$N$5:$N$124,"&lt;"&amp;DATE(DASHBOARD!$B$4,6,1))-SUMIFS(KEWAJIBAN!$F$5:$F$124,KEWAJIBAN!$J$5:$J$124,$B$6,KEWAJIBAN!$I$5:$I$124,"&lt;"&amp;DATE(DASHBOARD!$B$4,6,1))-SUMIFS(PARTNER!$I$5:$I$124,PARTNER!$L$5:$L$124,$B$6,PARTNER!$V$5:$V$124,"&lt;"&amp;DATE(DASHBOARD!$B$4,6,1))+SUMIFS(TRANSFER_KAS!$F$5:$F$204,TRANSFER_KAS!$E$5:$E$204,$B$6,TRANSFER_KAS!$B$5:$B$204,"&lt;"&amp;DATE(DASHBOARD!$B$4,6,1))-SUMIFS(TRANSFER_KAS!$F$5:$F$204,TRANSFER_KAS!$D$5:$D$204,$B$6,TRANSFER_KAS!$B$5:$B$204,"&lt;"&amp;DATE(DASHBOARD!$B$4,6,1))+SUMIFS(REIMBURSE!$J$5:$J$124,REIMBURSE!$C$5:$C$124,$A$6,REIMBURSE!$N$5:$N$124,"&lt;"&amp;DATE(DASHBOARD!$B$4,6,1))+SUMIFS(PARTNER!$I$5:$I$124,PARTNER!$D$5:$D$124,$A$6,PARTNER!$E$5:$E$124,"Pengembalian Talangan",PARTNER!$V$5:$V$124,"&lt;"&amp;DATE(DASHBOARD!$B$4,6,1))),0)))</f>
        <v>0</v>
      </c>
      <c r="G14" s="84">
        <f ca="1">IF(6&gt;MASTER!$AF$15,"",SUM(MAX(-(SUMIFS(KAS_BANK!$B$5:$B$10,KAS_BANK!$A$5:$A$10,$B$6)+SUMIFS(PEMASUKAN!$J$5:$J$204,PEMASUKAN!$K$5:$K$204,$B$6,PEMASUKAN!$B$5:$B$204,"&lt;"&amp;DATE(DASHBOARD!$B$4,7,1))-SUMIFS(PENGELUARAN!$K$5:$K$204,PENGELUARAN!$I$5:$I$204,$B$6,PENGELUARAN!$B$5:$B$204,"&lt;"&amp;DATE(DASHBOARD!$B$4,7,1))-SUMIFS(GAJI!$P$5:$P$124,GAJI!$T$5:$T$124,$B$6,GAJI!$R$5:$R$124,"Dibayar",GAJI!$S$5:$S$124,"&lt;"&amp;DATE(DASHBOARD!$B$4,7,1))-SUMIFS(REIMBURSE!$J$5:$J$124,REIMBURSE!$O$5:$O$124,$B$6,REIMBURSE!$N$5:$N$124,"&lt;"&amp;DATE(DASHBOARD!$B$4,7,1))-SUMIFS(KEWAJIBAN!$F$5:$F$124,KEWAJIBAN!$J$5:$J$124,$B$6,KEWAJIBAN!$I$5:$I$124,"&lt;"&amp;DATE(DASHBOARD!$B$4,7,1))-SUMIFS(PARTNER!$I$5:$I$124,PARTNER!$L$5:$L$124,$B$6,PARTNER!$V$5:$V$124,"&lt;"&amp;DATE(DASHBOARD!$B$4,7,1))+SUMIFS(TRANSFER_KAS!$F$5:$F$204,TRANSFER_KAS!$E$5:$E$204,$B$6,TRANSFER_KAS!$B$5:$B$204,"&lt;"&amp;DATE(DASHBOARD!$B$4,7,1))-SUMIFS(TRANSFER_KAS!$F$5:$F$204,TRANSFER_KAS!$D$5:$D$204,$B$6,TRANSFER_KAS!$B$5:$B$204,"&lt;"&amp;DATE(DASHBOARD!$B$4,7,1))+SUMIFS(REIMBURSE!$J$5:$J$124,REIMBURSE!$C$5:$C$124,$A$6,REIMBURSE!$N$5:$N$124,"&lt;"&amp;DATE(DASHBOARD!$B$4,7,1))+SUMIFS(PARTNER!$I$5:$I$124,PARTNER!$D$5:$D$124,$A$6,PARTNER!$E$5:$E$124,"Pengembalian Talangan",PARTNER!$V$5:$V$124,"&lt;"&amp;DATE(DASHBOARD!$B$4,7,1))),0)))</f>
        <v>0</v>
      </c>
      <c r="H14" s="84">
        <f ca="1">IF(7&gt;MASTER!$AF$15,"",SUM(MAX(-(SUMIFS(KAS_BANK!$B$5:$B$10,KAS_BANK!$A$5:$A$10,$B$6)+SUMIFS(PEMASUKAN!$J$5:$J$204,PEMASUKAN!$K$5:$K$204,$B$6,PEMASUKAN!$B$5:$B$204,"&lt;"&amp;DATE(DASHBOARD!$B$4,8,1))-SUMIFS(PENGELUARAN!$K$5:$K$204,PENGELUARAN!$I$5:$I$204,$B$6,PENGELUARAN!$B$5:$B$204,"&lt;"&amp;DATE(DASHBOARD!$B$4,8,1))-SUMIFS(GAJI!$P$5:$P$124,GAJI!$T$5:$T$124,$B$6,GAJI!$R$5:$R$124,"Dibayar",GAJI!$S$5:$S$124,"&lt;"&amp;DATE(DASHBOARD!$B$4,8,1))-SUMIFS(REIMBURSE!$J$5:$J$124,REIMBURSE!$O$5:$O$124,$B$6,REIMBURSE!$N$5:$N$124,"&lt;"&amp;DATE(DASHBOARD!$B$4,8,1))-SUMIFS(KEWAJIBAN!$F$5:$F$124,KEWAJIBAN!$J$5:$J$124,$B$6,KEWAJIBAN!$I$5:$I$124,"&lt;"&amp;DATE(DASHBOARD!$B$4,8,1))-SUMIFS(PARTNER!$I$5:$I$124,PARTNER!$L$5:$L$124,$B$6,PARTNER!$V$5:$V$124,"&lt;"&amp;DATE(DASHBOARD!$B$4,8,1))+SUMIFS(TRANSFER_KAS!$F$5:$F$204,TRANSFER_KAS!$E$5:$E$204,$B$6,TRANSFER_KAS!$B$5:$B$204,"&lt;"&amp;DATE(DASHBOARD!$B$4,8,1))-SUMIFS(TRANSFER_KAS!$F$5:$F$204,TRANSFER_KAS!$D$5:$D$204,$B$6,TRANSFER_KAS!$B$5:$B$204,"&lt;"&amp;DATE(DASHBOARD!$B$4,8,1))+SUMIFS(REIMBURSE!$J$5:$J$124,REIMBURSE!$C$5:$C$124,$A$6,REIMBURSE!$N$5:$N$124,"&lt;"&amp;DATE(DASHBOARD!$B$4,8,1))+SUMIFS(PARTNER!$I$5:$I$124,PARTNER!$D$5:$D$124,$A$6,PARTNER!$E$5:$E$124,"Pengembalian Talangan",PARTNER!$V$5:$V$124,"&lt;"&amp;DATE(DASHBOARD!$B$4,8,1))),0)))</f>
        <v>1000000</v>
      </c>
      <c r="I14" s="84">
        <f ca="1">IF(8&gt;MASTER!$AF$15,"",SUM(MAX(-(SUMIFS(KAS_BANK!$B$5:$B$10,KAS_BANK!$A$5:$A$10,$B$6)+SUMIFS(PEMASUKAN!$J$5:$J$204,PEMASUKAN!$K$5:$K$204,$B$6,PEMASUKAN!$B$5:$B$204,"&lt;"&amp;DATE(DASHBOARD!$B$4,9,1))-SUMIFS(PENGELUARAN!$K$5:$K$204,PENGELUARAN!$I$5:$I$204,$B$6,PENGELUARAN!$B$5:$B$204,"&lt;"&amp;DATE(DASHBOARD!$B$4,9,1))-SUMIFS(GAJI!$P$5:$P$124,GAJI!$T$5:$T$124,$B$6,GAJI!$R$5:$R$124,"Dibayar",GAJI!$S$5:$S$124,"&lt;"&amp;DATE(DASHBOARD!$B$4,9,1))-SUMIFS(REIMBURSE!$J$5:$J$124,REIMBURSE!$O$5:$O$124,$B$6,REIMBURSE!$N$5:$N$124,"&lt;"&amp;DATE(DASHBOARD!$B$4,9,1))-SUMIFS(KEWAJIBAN!$F$5:$F$124,KEWAJIBAN!$J$5:$J$124,$B$6,KEWAJIBAN!$I$5:$I$124,"&lt;"&amp;DATE(DASHBOARD!$B$4,9,1))-SUMIFS(PARTNER!$I$5:$I$124,PARTNER!$L$5:$L$124,$B$6,PARTNER!$V$5:$V$124,"&lt;"&amp;DATE(DASHBOARD!$B$4,9,1))+SUMIFS(TRANSFER_KAS!$F$5:$F$204,TRANSFER_KAS!$E$5:$E$204,$B$6,TRANSFER_KAS!$B$5:$B$204,"&lt;"&amp;DATE(DASHBOARD!$B$4,9,1))-SUMIFS(TRANSFER_KAS!$F$5:$F$204,TRANSFER_KAS!$D$5:$D$204,$B$6,TRANSFER_KAS!$B$5:$B$204,"&lt;"&amp;DATE(DASHBOARD!$B$4,9,1))+SUMIFS(REIMBURSE!$J$5:$J$124,REIMBURSE!$C$5:$C$124,$A$6,REIMBURSE!$N$5:$N$124,"&lt;"&amp;DATE(DASHBOARD!$B$4,9,1))+SUMIFS(PARTNER!$I$5:$I$124,PARTNER!$D$5:$D$124,$A$6,PARTNER!$E$5:$E$124,"Pengembalian Talangan",PARTNER!$V$5:$V$124,"&lt;"&amp;DATE(DASHBOARD!$B$4,9,1))),0)))</f>
        <v>1000000</v>
      </c>
      <c r="J14" s="84" t="str">
        <f ca="1">IF(9&gt;MASTER!$AF$15,"",SUM(MAX(-(SUMIFS(KAS_BANK!$B$5:$B$10,KAS_BANK!$A$5:$A$10,$B$6)+SUMIFS(PEMASUKAN!$J$5:$J$204,PEMASUKAN!$K$5:$K$204,$B$6,PEMASUKAN!$B$5:$B$204,"&lt;"&amp;DATE(DASHBOARD!$B$4,10,1))-SUMIFS(PENGELUARAN!$K$5:$K$204,PENGELUARAN!$I$5:$I$204,$B$6,PENGELUARAN!$B$5:$B$204,"&lt;"&amp;DATE(DASHBOARD!$B$4,10,1))-SUMIFS(GAJI!$P$5:$P$124,GAJI!$T$5:$T$124,$B$6,GAJI!$R$5:$R$124,"Dibayar",GAJI!$S$5:$S$124,"&lt;"&amp;DATE(DASHBOARD!$B$4,10,1))-SUMIFS(REIMBURSE!$J$5:$J$124,REIMBURSE!$O$5:$O$124,$B$6,REIMBURSE!$N$5:$N$124,"&lt;"&amp;DATE(DASHBOARD!$B$4,10,1))-SUMIFS(KEWAJIBAN!$F$5:$F$124,KEWAJIBAN!$J$5:$J$124,$B$6,KEWAJIBAN!$I$5:$I$124,"&lt;"&amp;DATE(DASHBOARD!$B$4,10,1))-SUMIFS(PARTNER!$I$5:$I$124,PARTNER!$L$5:$L$124,$B$6,PARTNER!$V$5:$V$124,"&lt;"&amp;DATE(DASHBOARD!$B$4,10,1))+SUMIFS(TRANSFER_KAS!$F$5:$F$204,TRANSFER_KAS!$E$5:$E$204,$B$6,TRANSFER_KAS!$B$5:$B$204,"&lt;"&amp;DATE(DASHBOARD!$B$4,10,1))-SUMIFS(TRANSFER_KAS!$F$5:$F$204,TRANSFER_KAS!$D$5:$D$204,$B$6,TRANSFER_KAS!$B$5:$B$204,"&lt;"&amp;DATE(DASHBOARD!$B$4,10,1))+SUMIFS(REIMBURSE!$J$5:$J$124,REIMBURSE!$C$5:$C$124,$A$6,REIMBURSE!$N$5:$N$124,"&lt;"&amp;DATE(DASHBOARD!$B$4,10,1))+SUMIFS(PARTNER!$I$5:$I$124,PARTNER!$D$5:$D$124,$A$6,PARTNER!$E$5:$E$124,"Pengembalian Talangan",PARTNER!$V$5:$V$124,"&lt;"&amp;DATE(DASHBOARD!$B$4,10,1))),0)))</f>
        <v/>
      </c>
      <c r="K14" s="84" t="str">
        <f ca="1">IF(10&gt;MASTER!$AF$15,"",SUM(MAX(-(SUMIFS(KAS_BANK!$B$5:$B$10,KAS_BANK!$A$5:$A$10,$B$6)+SUMIFS(PEMASUKAN!$J$5:$J$204,PEMASUKAN!$K$5:$K$204,$B$6,PEMASUKAN!$B$5:$B$204,"&lt;"&amp;DATE(DASHBOARD!$B$4,11,1))-SUMIFS(PENGELUARAN!$K$5:$K$204,PENGELUARAN!$I$5:$I$204,$B$6,PENGELUARAN!$B$5:$B$204,"&lt;"&amp;DATE(DASHBOARD!$B$4,11,1))-SUMIFS(GAJI!$P$5:$P$124,GAJI!$T$5:$T$124,$B$6,GAJI!$R$5:$R$124,"Dibayar",GAJI!$S$5:$S$124,"&lt;"&amp;DATE(DASHBOARD!$B$4,11,1))-SUMIFS(REIMBURSE!$J$5:$J$124,REIMBURSE!$O$5:$O$124,$B$6,REIMBURSE!$N$5:$N$124,"&lt;"&amp;DATE(DASHBOARD!$B$4,11,1))-SUMIFS(KEWAJIBAN!$F$5:$F$124,KEWAJIBAN!$J$5:$J$124,$B$6,KEWAJIBAN!$I$5:$I$124,"&lt;"&amp;DATE(DASHBOARD!$B$4,11,1))-SUMIFS(PARTNER!$I$5:$I$124,PARTNER!$L$5:$L$124,$B$6,PARTNER!$V$5:$V$124,"&lt;"&amp;DATE(DASHBOARD!$B$4,11,1))+SUMIFS(TRANSFER_KAS!$F$5:$F$204,TRANSFER_KAS!$E$5:$E$204,$B$6,TRANSFER_KAS!$B$5:$B$204,"&lt;"&amp;DATE(DASHBOARD!$B$4,11,1))-SUMIFS(TRANSFER_KAS!$F$5:$F$204,TRANSFER_KAS!$D$5:$D$204,$B$6,TRANSFER_KAS!$B$5:$B$204,"&lt;"&amp;DATE(DASHBOARD!$B$4,11,1))+SUMIFS(REIMBURSE!$J$5:$J$124,REIMBURSE!$C$5:$C$124,$A$6,REIMBURSE!$N$5:$N$124,"&lt;"&amp;DATE(DASHBOARD!$B$4,11,1))+SUMIFS(PARTNER!$I$5:$I$124,PARTNER!$D$5:$D$124,$A$6,PARTNER!$E$5:$E$124,"Pengembalian Talangan",PARTNER!$V$5:$V$124,"&lt;"&amp;DATE(DASHBOARD!$B$4,11,1))),0)))</f>
        <v/>
      </c>
      <c r="L14" s="84" t="str">
        <f ca="1">IF(11&gt;MASTER!$AF$15,"",SUM(MAX(-(SUMIFS(KAS_BANK!$B$5:$B$10,KAS_BANK!$A$5:$A$10,$B$6)+SUMIFS(PEMASUKAN!$J$5:$J$204,PEMASUKAN!$K$5:$K$204,$B$6,PEMASUKAN!$B$5:$B$204,"&lt;"&amp;DATE(DASHBOARD!$B$4,12,1))-SUMIFS(PENGELUARAN!$K$5:$K$204,PENGELUARAN!$I$5:$I$204,$B$6,PENGELUARAN!$B$5:$B$204,"&lt;"&amp;DATE(DASHBOARD!$B$4,12,1))-SUMIFS(GAJI!$P$5:$P$124,GAJI!$T$5:$T$124,$B$6,GAJI!$R$5:$R$124,"Dibayar",GAJI!$S$5:$S$124,"&lt;"&amp;DATE(DASHBOARD!$B$4,12,1))-SUMIFS(REIMBURSE!$J$5:$J$124,REIMBURSE!$O$5:$O$124,$B$6,REIMBURSE!$N$5:$N$124,"&lt;"&amp;DATE(DASHBOARD!$B$4,12,1))-SUMIFS(KEWAJIBAN!$F$5:$F$124,KEWAJIBAN!$J$5:$J$124,$B$6,KEWAJIBAN!$I$5:$I$124,"&lt;"&amp;DATE(DASHBOARD!$B$4,12,1))-SUMIFS(PARTNER!$I$5:$I$124,PARTNER!$L$5:$L$124,$B$6,PARTNER!$V$5:$V$124,"&lt;"&amp;DATE(DASHBOARD!$B$4,12,1))+SUMIFS(TRANSFER_KAS!$F$5:$F$204,TRANSFER_KAS!$E$5:$E$204,$B$6,TRANSFER_KAS!$B$5:$B$204,"&lt;"&amp;DATE(DASHBOARD!$B$4,12,1))-SUMIFS(TRANSFER_KAS!$F$5:$F$204,TRANSFER_KAS!$D$5:$D$204,$B$6,TRANSFER_KAS!$B$5:$B$204,"&lt;"&amp;DATE(DASHBOARD!$B$4,12,1))+SUMIFS(REIMBURSE!$J$5:$J$124,REIMBURSE!$C$5:$C$124,$A$6,REIMBURSE!$N$5:$N$124,"&lt;"&amp;DATE(DASHBOARD!$B$4,12,1))+SUMIFS(PARTNER!$I$5:$I$124,PARTNER!$D$5:$D$124,$A$6,PARTNER!$E$5:$E$124,"Pengembalian Talangan",PARTNER!$V$5:$V$124,"&lt;"&amp;DATE(DASHBOARD!$B$4,12,1))),0)))</f>
        <v/>
      </c>
      <c r="M14" s="84" t="str">
        <f ca="1">IF(12&gt;MASTER!$AF$15,"",SUM(MAX(-(SUMIFS(KAS_BANK!$B$5:$B$10,KAS_BANK!$A$5:$A$10,$B$6)+SUMIFS(PEMASUKAN!$J$5:$J$204,PEMASUKAN!$K$5:$K$204,$B$6,PEMASUKAN!$B$5:$B$204,"&lt;"&amp;DATE(DASHBOARD!$B$4,13,1))-SUMIFS(PENGELUARAN!$K$5:$K$204,PENGELUARAN!$I$5:$I$204,$B$6,PENGELUARAN!$B$5:$B$204,"&lt;"&amp;DATE(DASHBOARD!$B$4,13,1))-SUMIFS(GAJI!$P$5:$P$124,GAJI!$T$5:$T$124,$B$6,GAJI!$R$5:$R$124,"Dibayar",GAJI!$S$5:$S$124,"&lt;"&amp;DATE(DASHBOARD!$B$4,13,1))-SUMIFS(REIMBURSE!$J$5:$J$124,REIMBURSE!$O$5:$O$124,$B$6,REIMBURSE!$N$5:$N$124,"&lt;"&amp;DATE(DASHBOARD!$B$4,13,1))-SUMIFS(KEWAJIBAN!$F$5:$F$124,KEWAJIBAN!$J$5:$J$124,$B$6,KEWAJIBAN!$I$5:$I$124,"&lt;"&amp;DATE(DASHBOARD!$B$4,13,1))-SUMIFS(PARTNER!$I$5:$I$124,PARTNER!$L$5:$L$124,$B$6,PARTNER!$V$5:$V$124,"&lt;"&amp;DATE(DASHBOARD!$B$4,13,1))+SUMIFS(TRANSFER_KAS!$F$5:$F$204,TRANSFER_KAS!$E$5:$E$204,$B$6,TRANSFER_KAS!$B$5:$B$204,"&lt;"&amp;DATE(DASHBOARD!$B$4,13,1))-SUMIFS(TRANSFER_KAS!$F$5:$F$204,TRANSFER_KAS!$D$5:$D$204,$B$6,TRANSFER_KAS!$B$5:$B$204,"&lt;"&amp;DATE(DASHBOARD!$B$4,13,1))+SUMIFS(REIMBURSE!$J$5:$J$124,REIMBURSE!$C$5:$C$124,$A$6,REIMBURSE!$N$5:$N$124,"&lt;"&amp;DATE(DASHBOARD!$B$4,13,1))+SUMIFS(PARTNER!$I$5:$I$124,PARTNER!$D$5:$D$124,$A$6,PARTNER!$E$5:$E$124,"Pengembalian Talangan",PARTNER!$V$5:$V$124,"&lt;"&amp;DATE(DASHBOARD!$B$4,13,1))),0)))</f>
        <v/>
      </c>
      <c r="N14" s="84">
        <f ca="1">INDEX(B14:M14,1,MASTER!$AF$15)</f>
        <v>1000000</v>
      </c>
    </row>
    <row r="15" spans="1:14">
      <c r="A15" t="str">
        <f>A7</f>
        <v>Reza Evaldo Kusumah</v>
      </c>
      <c r="B15" s="84">
        <f ca="1">IF(1&gt;MASTER!$AF$15,"",SUM(MAX(-(SUMIFS(KAS_BANK!$B$5:$B$10,KAS_BANK!$A$5:$A$10,$B$7)+SUMIFS(PEMASUKAN!$J$5:$J$204,PEMASUKAN!$K$5:$K$204,$B$7,PEMASUKAN!$B$5:$B$204,"&lt;"&amp;DATE(DASHBOARD!$B$4,2,1))-SUMIFS(PENGELUARAN!$K$5:$K$204,PENGELUARAN!$I$5:$I$204,$B$7,PENGELUARAN!$B$5:$B$204,"&lt;"&amp;DATE(DASHBOARD!$B$4,2,1))-SUMIFS(GAJI!$P$5:$P$124,GAJI!$T$5:$T$124,$B$7,GAJI!$R$5:$R$124,"Dibayar",GAJI!$S$5:$S$124,"&lt;"&amp;DATE(DASHBOARD!$B$4,2,1))-SUMIFS(REIMBURSE!$J$5:$J$124,REIMBURSE!$O$5:$O$124,$B$7,REIMBURSE!$N$5:$N$124,"&lt;"&amp;DATE(DASHBOARD!$B$4,2,1))-SUMIFS(KEWAJIBAN!$F$5:$F$124,KEWAJIBAN!$J$5:$J$124,$B$7,KEWAJIBAN!$I$5:$I$124,"&lt;"&amp;DATE(DASHBOARD!$B$4,2,1))-SUMIFS(PARTNER!$I$5:$I$124,PARTNER!$L$5:$L$124,$B$7,PARTNER!$V$5:$V$124,"&lt;"&amp;DATE(DASHBOARD!$B$4,2,1))+SUMIFS(TRANSFER_KAS!$F$5:$F$204,TRANSFER_KAS!$E$5:$E$204,$B$7,TRANSFER_KAS!$B$5:$B$204,"&lt;"&amp;DATE(DASHBOARD!$B$4,2,1))-SUMIFS(TRANSFER_KAS!$F$5:$F$204,TRANSFER_KAS!$D$5:$D$204,$B$7,TRANSFER_KAS!$B$5:$B$204,"&lt;"&amp;DATE(DASHBOARD!$B$4,2,1))+SUMIFS(REIMBURSE!$J$5:$J$124,REIMBURSE!$C$5:$C$124,$A$7,REIMBURSE!$N$5:$N$124,"&lt;"&amp;DATE(DASHBOARD!$B$4,2,1))+SUMIFS(PARTNER!$I$5:$I$124,PARTNER!$D$5:$D$124,$A$7,PARTNER!$E$5:$E$124,"Pengembalian Talangan",PARTNER!$V$5:$V$124,"&lt;"&amp;DATE(DASHBOARD!$B$4,2,1))),0)))</f>
        <v>0</v>
      </c>
      <c r="C15" s="84">
        <f ca="1">IF(2&gt;MASTER!$AF$15,"",SUM(MAX(-(SUMIFS(KAS_BANK!$B$5:$B$10,KAS_BANK!$A$5:$A$10,$B$7)+SUMIFS(PEMASUKAN!$J$5:$J$204,PEMASUKAN!$K$5:$K$204,$B$7,PEMASUKAN!$B$5:$B$204,"&lt;"&amp;DATE(DASHBOARD!$B$4,3,1))-SUMIFS(PENGELUARAN!$K$5:$K$204,PENGELUARAN!$I$5:$I$204,$B$7,PENGELUARAN!$B$5:$B$204,"&lt;"&amp;DATE(DASHBOARD!$B$4,3,1))-SUMIFS(GAJI!$P$5:$P$124,GAJI!$T$5:$T$124,$B$7,GAJI!$R$5:$R$124,"Dibayar",GAJI!$S$5:$S$124,"&lt;"&amp;DATE(DASHBOARD!$B$4,3,1))-SUMIFS(REIMBURSE!$J$5:$J$124,REIMBURSE!$O$5:$O$124,$B$7,REIMBURSE!$N$5:$N$124,"&lt;"&amp;DATE(DASHBOARD!$B$4,3,1))-SUMIFS(KEWAJIBAN!$F$5:$F$124,KEWAJIBAN!$J$5:$J$124,$B$7,KEWAJIBAN!$I$5:$I$124,"&lt;"&amp;DATE(DASHBOARD!$B$4,3,1))-SUMIFS(PARTNER!$I$5:$I$124,PARTNER!$L$5:$L$124,$B$7,PARTNER!$V$5:$V$124,"&lt;"&amp;DATE(DASHBOARD!$B$4,3,1))+SUMIFS(TRANSFER_KAS!$F$5:$F$204,TRANSFER_KAS!$E$5:$E$204,$B$7,TRANSFER_KAS!$B$5:$B$204,"&lt;"&amp;DATE(DASHBOARD!$B$4,3,1))-SUMIFS(TRANSFER_KAS!$F$5:$F$204,TRANSFER_KAS!$D$5:$D$204,$B$7,TRANSFER_KAS!$B$5:$B$204,"&lt;"&amp;DATE(DASHBOARD!$B$4,3,1))+SUMIFS(REIMBURSE!$J$5:$J$124,REIMBURSE!$C$5:$C$124,$A$7,REIMBURSE!$N$5:$N$124,"&lt;"&amp;DATE(DASHBOARD!$B$4,3,1))+SUMIFS(PARTNER!$I$5:$I$124,PARTNER!$D$5:$D$124,$A$7,PARTNER!$E$5:$E$124,"Pengembalian Talangan",PARTNER!$V$5:$V$124,"&lt;"&amp;DATE(DASHBOARD!$B$4,3,1))),0)))</f>
        <v>0</v>
      </c>
      <c r="D15" s="84">
        <f ca="1">IF(3&gt;MASTER!$AF$15,"",SUM(MAX(-(SUMIFS(KAS_BANK!$B$5:$B$10,KAS_BANK!$A$5:$A$10,$B$7)+SUMIFS(PEMASUKAN!$J$5:$J$204,PEMASUKAN!$K$5:$K$204,$B$7,PEMASUKAN!$B$5:$B$204,"&lt;"&amp;DATE(DASHBOARD!$B$4,4,1))-SUMIFS(PENGELUARAN!$K$5:$K$204,PENGELUARAN!$I$5:$I$204,$B$7,PENGELUARAN!$B$5:$B$204,"&lt;"&amp;DATE(DASHBOARD!$B$4,4,1))-SUMIFS(GAJI!$P$5:$P$124,GAJI!$T$5:$T$124,$B$7,GAJI!$R$5:$R$124,"Dibayar",GAJI!$S$5:$S$124,"&lt;"&amp;DATE(DASHBOARD!$B$4,4,1))-SUMIFS(REIMBURSE!$J$5:$J$124,REIMBURSE!$O$5:$O$124,$B$7,REIMBURSE!$N$5:$N$124,"&lt;"&amp;DATE(DASHBOARD!$B$4,4,1))-SUMIFS(KEWAJIBAN!$F$5:$F$124,KEWAJIBAN!$J$5:$J$124,$B$7,KEWAJIBAN!$I$5:$I$124,"&lt;"&amp;DATE(DASHBOARD!$B$4,4,1))-SUMIFS(PARTNER!$I$5:$I$124,PARTNER!$L$5:$L$124,$B$7,PARTNER!$V$5:$V$124,"&lt;"&amp;DATE(DASHBOARD!$B$4,4,1))+SUMIFS(TRANSFER_KAS!$F$5:$F$204,TRANSFER_KAS!$E$5:$E$204,$B$7,TRANSFER_KAS!$B$5:$B$204,"&lt;"&amp;DATE(DASHBOARD!$B$4,4,1))-SUMIFS(TRANSFER_KAS!$F$5:$F$204,TRANSFER_KAS!$D$5:$D$204,$B$7,TRANSFER_KAS!$B$5:$B$204,"&lt;"&amp;DATE(DASHBOARD!$B$4,4,1))+SUMIFS(REIMBURSE!$J$5:$J$124,REIMBURSE!$C$5:$C$124,$A$7,REIMBURSE!$N$5:$N$124,"&lt;"&amp;DATE(DASHBOARD!$B$4,4,1))+SUMIFS(PARTNER!$I$5:$I$124,PARTNER!$D$5:$D$124,$A$7,PARTNER!$E$5:$E$124,"Pengembalian Talangan",PARTNER!$V$5:$V$124,"&lt;"&amp;DATE(DASHBOARD!$B$4,4,1))),0)))</f>
        <v>0</v>
      </c>
      <c r="E15" s="84">
        <f ca="1">IF(4&gt;MASTER!$AF$15,"",SUM(MAX(-(SUMIFS(KAS_BANK!$B$5:$B$10,KAS_BANK!$A$5:$A$10,$B$7)+SUMIFS(PEMASUKAN!$J$5:$J$204,PEMASUKAN!$K$5:$K$204,$B$7,PEMASUKAN!$B$5:$B$204,"&lt;"&amp;DATE(DASHBOARD!$B$4,5,1))-SUMIFS(PENGELUARAN!$K$5:$K$204,PENGELUARAN!$I$5:$I$204,$B$7,PENGELUARAN!$B$5:$B$204,"&lt;"&amp;DATE(DASHBOARD!$B$4,5,1))-SUMIFS(GAJI!$P$5:$P$124,GAJI!$T$5:$T$124,$B$7,GAJI!$R$5:$R$124,"Dibayar",GAJI!$S$5:$S$124,"&lt;"&amp;DATE(DASHBOARD!$B$4,5,1))-SUMIFS(REIMBURSE!$J$5:$J$124,REIMBURSE!$O$5:$O$124,$B$7,REIMBURSE!$N$5:$N$124,"&lt;"&amp;DATE(DASHBOARD!$B$4,5,1))-SUMIFS(KEWAJIBAN!$F$5:$F$124,KEWAJIBAN!$J$5:$J$124,$B$7,KEWAJIBAN!$I$5:$I$124,"&lt;"&amp;DATE(DASHBOARD!$B$4,5,1))-SUMIFS(PARTNER!$I$5:$I$124,PARTNER!$L$5:$L$124,$B$7,PARTNER!$V$5:$V$124,"&lt;"&amp;DATE(DASHBOARD!$B$4,5,1))+SUMIFS(TRANSFER_KAS!$F$5:$F$204,TRANSFER_KAS!$E$5:$E$204,$B$7,TRANSFER_KAS!$B$5:$B$204,"&lt;"&amp;DATE(DASHBOARD!$B$4,5,1))-SUMIFS(TRANSFER_KAS!$F$5:$F$204,TRANSFER_KAS!$D$5:$D$204,$B$7,TRANSFER_KAS!$B$5:$B$204,"&lt;"&amp;DATE(DASHBOARD!$B$4,5,1))+SUMIFS(REIMBURSE!$J$5:$J$124,REIMBURSE!$C$5:$C$124,$A$7,REIMBURSE!$N$5:$N$124,"&lt;"&amp;DATE(DASHBOARD!$B$4,5,1))+SUMIFS(PARTNER!$I$5:$I$124,PARTNER!$D$5:$D$124,$A$7,PARTNER!$E$5:$E$124,"Pengembalian Talangan",PARTNER!$V$5:$V$124,"&lt;"&amp;DATE(DASHBOARD!$B$4,5,1))),0)))</f>
        <v>0</v>
      </c>
      <c r="F15" s="84">
        <f ca="1">IF(5&gt;MASTER!$AF$15,"",SUM(MAX(-(SUMIFS(KAS_BANK!$B$5:$B$10,KAS_BANK!$A$5:$A$10,$B$7)+SUMIFS(PEMASUKAN!$J$5:$J$204,PEMASUKAN!$K$5:$K$204,$B$7,PEMASUKAN!$B$5:$B$204,"&lt;"&amp;DATE(DASHBOARD!$B$4,6,1))-SUMIFS(PENGELUARAN!$K$5:$K$204,PENGELUARAN!$I$5:$I$204,$B$7,PENGELUARAN!$B$5:$B$204,"&lt;"&amp;DATE(DASHBOARD!$B$4,6,1))-SUMIFS(GAJI!$P$5:$P$124,GAJI!$T$5:$T$124,$B$7,GAJI!$R$5:$R$124,"Dibayar",GAJI!$S$5:$S$124,"&lt;"&amp;DATE(DASHBOARD!$B$4,6,1))-SUMIFS(REIMBURSE!$J$5:$J$124,REIMBURSE!$O$5:$O$124,$B$7,REIMBURSE!$N$5:$N$124,"&lt;"&amp;DATE(DASHBOARD!$B$4,6,1))-SUMIFS(KEWAJIBAN!$F$5:$F$124,KEWAJIBAN!$J$5:$J$124,$B$7,KEWAJIBAN!$I$5:$I$124,"&lt;"&amp;DATE(DASHBOARD!$B$4,6,1))-SUMIFS(PARTNER!$I$5:$I$124,PARTNER!$L$5:$L$124,$B$7,PARTNER!$V$5:$V$124,"&lt;"&amp;DATE(DASHBOARD!$B$4,6,1))+SUMIFS(TRANSFER_KAS!$F$5:$F$204,TRANSFER_KAS!$E$5:$E$204,$B$7,TRANSFER_KAS!$B$5:$B$204,"&lt;"&amp;DATE(DASHBOARD!$B$4,6,1))-SUMIFS(TRANSFER_KAS!$F$5:$F$204,TRANSFER_KAS!$D$5:$D$204,$B$7,TRANSFER_KAS!$B$5:$B$204,"&lt;"&amp;DATE(DASHBOARD!$B$4,6,1))+SUMIFS(REIMBURSE!$J$5:$J$124,REIMBURSE!$C$5:$C$124,$A$7,REIMBURSE!$N$5:$N$124,"&lt;"&amp;DATE(DASHBOARD!$B$4,6,1))+SUMIFS(PARTNER!$I$5:$I$124,PARTNER!$D$5:$D$124,$A$7,PARTNER!$E$5:$E$124,"Pengembalian Talangan",PARTNER!$V$5:$V$124,"&lt;"&amp;DATE(DASHBOARD!$B$4,6,1))),0)))</f>
        <v>0</v>
      </c>
      <c r="G15" s="84">
        <f ca="1">IF(6&gt;MASTER!$AF$15,"",SUM(MAX(-(SUMIFS(KAS_BANK!$B$5:$B$10,KAS_BANK!$A$5:$A$10,$B$7)+SUMIFS(PEMASUKAN!$J$5:$J$204,PEMASUKAN!$K$5:$K$204,$B$7,PEMASUKAN!$B$5:$B$204,"&lt;"&amp;DATE(DASHBOARD!$B$4,7,1))-SUMIFS(PENGELUARAN!$K$5:$K$204,PENGELUARAN!$I$5:$I$204,$B$7,PENGELUARAN!$B$5:$B$204,"&lt;"&amp;DATE(DASHBOARD!$B$4,7,1))-SUMIFS(GAJI!$P$5:$P$124,GAJI!$T$5:$T$124,$B$7,GAJI!$R$5:$R$124,"Dibayar",GAJI!$S$5:$S$124,"&lt;"&amp;DATE(DASHBOARD!$B$4,7,1))-SUMIFS(REIMBURSE!$J$5:$J$124,REIMBURSE!$O$5:$O$124,$B$7,REIMBURSE!$N$5:$N$124,"&lt;"&amp;DATE(DASHBOARD!$B$4,7,1))-SUMIFS(KEWAJIBAN!$F$5:$F$124,KEWAJIBAN!$J$5:$J$124,$B$7,KEWAJIBAN!$I$5:$I$124,"&lt;"&amp;DATE(DASHBOARD!$B$4,7,1))-SUMIFS(PARTNER!$I$5:$I$124,PARTNER!$L$5:$L$124,$B$7,PARTNER!$V$5:$V$124,"&lt;"&amp;DATE(DASHBOARD!$B$4,7,1))+SUMIFS(TRANSFER_KAS!$F$5:$F$204,TRANSFER_KAS!$E$5:$E$204,$B$7,TRANSFER_KAS!$B$5:$B$204,"&lt;"&amp;DATE(DASHBOARD!$B$4,7,1))-SUMIFS(TRANSFER_KAS!$F$5:$F$204,TRANSFER_KAS!$D$5:$D$204,$B$7,TRANSFER_KAS!$B$5:$B$204,"&lt;"&amp;DATE(DASHBOARD!$B$4,7,1))+SUMIFS(REIMBURSE!$J$5:$J$124,REIMBURSE!$C$5:$C$124,$A$7,REIMBURSE!$N$5:$N$124,"&lt;"&amp;DATE(DASHBOARD!$B$4,7,1))+SUMIFS(PARTNER!$I$5:$I$124,PARTNER!$D$5:$D$124,$A$7,PARTNER!$E$5:$E$124,"Pengembalian Talangan",PARTNER!$V$5:$V$124,"&lt;"&amp;DATE(DASHBOARD!$B$4,7,1))),0)))</f>
        <v>0</v>
      </c>
      <c r="H15" s="84">
        <f ca="1">IF(7&gt;MASTER!$AF$15,"",SUM(MAX(-(SUMIFS(KAS_BANK!$B$5:$B$10,KAS_BANK!$A$5:$A$10,$B$7)+SUMIFS(PEMASUKAN!$J$5:$J$204,PEMASUKAN!$K$5:$K$204,$B$7,PEMASUKAN!$B$5:$B$204,"&lt;"&amp;DATE(DASHBOARD!$B$4,8,1))-SUMIFS(PENGELUARAN!$K$5:$K$204,PENGELUARAN!$I$5:$I$204,$B$7,PENGELUARAN!$B$5:$B$204,"&lt;"&amp;DATE(DASHBOARD!$B$4,8,1))-SUMIFS(GAJI!$P$5:$P$124,GAJI!$T$5:$T$124,$B$7,GAJI!$R$5:$R$124,"Dibayar",GAJI!$S$5:$S$124,"&lt;"&amp;DATE(DASHBOARD!$B$4,8,1))-SUMIFS(REIMBURSE!$J$5:$J$124,REIMBURSE!$O$5:$O$124,$B$7,REIMBURSE!$N$5:$N$124,"&lt;"&amp;DATE(DASHBOARD!$B$4,8,1))-SUMIFS(KEWAJIBAN!$F$5:$F$124,KEWAJIBAN!$J$5:$J$124,$B$7,KEWAJIBAN!$I$5:$I$124,"&lt;"&amp;DATE(DASHBOARD!$B$4,8,1))-SUMIFS(PARTNER!$I$5:$I$124,PARTNER!$L$5:$L$124,$B$7,PARTNER!$V$5:$V$124,"&lt;"&amp;DATE(DASHBOARD!$B$4,8,1))+SUMIFS(TRANSFER_KAS!$F$5:$F$204,TRANSFER_KAS!$E$5:$E$204,$B$7,TRANSFER_KAS!$B$5:$B$204,"&lt;"&amp;DATE(DASHBOARD!$B$4,8,1))-SUMIFS(TRANSFER_KAS!$F$5:$F$204,TRANSFER_KAS!$D$5:$D$204,$B$7,TRANSFER_KAS!$B$5:$B$204,"&lt;"&amp;DATE(DASHBOARD!$B$4,8,1))+SUMIFS(REIMBURSE!$J$5:$J$124,REIMBURSE!$C$5:$C$124,$A$7,REIMBURSE!$N$5:$N$124,"&lt;"&amp;DATE(DASHBOARD!$B$4,8,1))+SUMIFS(PARTNER!$I$5:$I$124,PARTNER!$D$5:$D$124,$A$7,PARTNER!$E$5:$E$124,"Pengembalian Talangan",PARTNER!$V$5:$V$124,"&lt;"&amp;DATE(DASHBOARD!$B$4,8,1))),0)))</f>
        <v>0</v>
      </c>
      <c r="I15" s="84">
        <f ca="1">IF(8&gt;MASTER!$AF$15,"",SUM(MAX(-(SUMIFS(KAS_BANK!$B$5:$B$10,KAS_BANK!$A$5:$A$10,$B$7)+SUMIFS(PEMASUKAN!$J$5:$J$204,PEMASUKAN!$K$5:$K$204,$B$7,PEMASUKAN!$B$5:$B$204,"&lt;"&amp;DATE(DASHBOARD!$B$4,9,1))-SUMIFS(PENGELUARAN!$K$5:$K$204,PENGELUARAN!$I$5:$I$204,$B$7,PENGELUARAN!$B$5:$B$204,"&lt;"&amp;DATE(DASHBOARD!$B$4,9,1))-SUMIFS(GAJI!$P$5:$P$124,GAJI!$T$5:$T$124,$B$7,GAJI!$R$5:$R$124,"Dibayar",GAJI!$S$5:$S$124,"&lt;"&amp;DATE(DASHBOARD!$B$4,9,1))-SUMIFS(REIMBURSE!$J$5:$J$124,REIMBURSE!$O$5:$O$124,$B$7,REIMBURSE!$N$5:$N$124,"&lt;"&amp;DATE(DASHBOARD!$B$4,9,1))-SUMIFS(KEWAJIBAN!$F$5:$F$124,KEWAJIBAN!$J$5:$J$124,$B$7,KEWAJIBAN!$I$5:$I$124,"&lt;"&amp;DATE(DASHBOARD!$B$4,9,1))-SUMIFS(PARTNER!$I$5:$I$124,PARTNER!$L$5:$L$124,$B$7,PARTNER!$V$5:$V$124,"&lt;"&amp;DATE(DASHBOARD!$B$4,9,1))+SUMIFS(TRANSFER_KAS!$F$5:$F$204,TRANSFER_KAS!$E$5:$E$204,$B$7,TRANSFER_KAS!$B$5:$B$204,"&lt;"&amp;DATE(DASHBOARD!$B$4,9,1))-SUMIFS(TRANSFER_KAS!$F$5:$F$204,TRANSFER_KAS!$D$5:$D$204,$B$7,TRANSFER_KAS!$B$5:$B$204,"&lt;"&amp;DATE(DASHBOARD!$B$4,9,1))+SUMIFS(REIMBURSE!$J$5:$J$124,REIMBURSE!$C$5:$C$124,$A$7,REIMBURSE!$N$5:$N$124,"&lt;"&amp;DATE(DASHBOARD!$B$4,9,1))+SUMIFS(PARTNER!$I$5:$I$124,PARTNER!$D$5:$D$124,$A$7,PARTNER!$E$5:$E$124,"Pengembalian Talangan",PARTNER!$V$5:$V$124,"&lt;"&amp;DATE(DASHBOARD!$B$4,9,1))),0)))</f>
        <v>0</v>
      </c>
      <c r="J15" s="84" t="str">
        <f ca="1">IF(9&gt;MASTER!$AF$15,"",SUM(MAX(-(SUMIFS(KAS_BANK!$B$5:$B$10,KAS_BANK!$A$5:$A$10,$B$7)+SUMIFS(PEMASUKAN!$J$5:$J$204,PEMASUKAN!$K$5:$K$204,$B$7,PEMASUKAN!$B$5:$B$204,"&lt;"&amp;DATE(DASHBOARD!$B$4,10,1))-SUMIFS(PENGELUARAN!$K$5:$K$204,PENGELUARAN!$I$5:$I$204,$B$7,PENGELUARAN!$B$5:$B$204,"&lt;"&amp;DATE(DASHBOARD!$B$4,10,1))-SUMIFS(GAJI!$P$5:$P$124,GAJI!$T$5:$T$124,$B$7,GAJI!$R$5:$R$124,"Dibayar",GAJI!$S$5:$S$124,"&lt;"&amp;DATE(DASHBOARD!$B$4,10,1))-SUMIFS(REIMBURSE!$J$5:$J$124,REIMBURSE!$O$5:$O$124,$B$7,REIMBURSE!$N$5:$N$124,"&lt;"&amp;DATE(DASHBOARD!$B$4,10,1))-SUMIFS(KEWAJIBAN!$F$5:$F$124,KEWAJIBAN!$J$5:$J$124,$B$7,KEWAJIBAN!$I$5:$I$124,"&lt;"&amp;DATE(DASHBOARD!$B$4,10,1))-SUMIFS(PARTNER!$I$5:$I$124,PARTNER!$L$5:$L$124,$B$7,PARTNER!$V$5:$V$124,"&lt;"&amp;DATE(DASHBOARD!$B$4,10,1))+SUMIFS(TRANSFER_KAS!$F$5:$F$204,TRANSFER_KAS!$E$5:$E$204,$B$7,TRANSFER_KAS!$B$5:$B$204,"&lt;"&amp;DATE(DASHBOARD!$B$4,10,1))-SUMIFS(TRANSFER_KAS!$F$5:$F$204,TRANSFER_KAS!$D$5:$D$204,$B$7,TRANSFER_KAS!$B$5:$B$204,"&lt;"&amp;DATE(DASHBOARD!$B$4,10,1))+SUMIFS(REIMBURSE!$J$5:$J$124,REIMBURSE!$C$5:$C$124,$A$7,REIMBURSE!$N$5:$N$124,"&lt;"&amp;DATE(DASHBOARD!$B$4,10,1))+SUMIFS(PARTNER!$I$5:$I$124,PARTNER!$D$5:$D$124,$A$7,PARTNER!$E$5:$E$124,"Pengembalian Talangan",PARTNER!$V$5:$V$124,"&lt;"&amp;DATE(DASHBOARD!$B$4,10,1))),0)))</f>
        <v/>
      </c>
      <c r="K15" s="84" t="str">
        <f ca="1">IF(10&gt;MASTER!$AF$15,"",SUM(MAX(-(SUMIFS(KAS_BANK!$B$5:$B$10,KAS_BANK!$A$5:$A$10,$B$7)+SUMIFS(PEMASUKAN!$J$5:$J$204,PEMASUKAN!$K$5:$K$204,$B$7,PEMASUKAN!$B$5:$B$204,"&lt;"&amp;DATE(DASHBOARD!$B$4,11,1))-SUMIFS(PENGELUARAN!$K$5:$K$204,PENGELUARAN!$I$5:$I$204,$B$7,PENGELUARAN!$B$5:$B$204,"&lt;"&amp;DATE(DASHBOARD!$B$4,11,1))-SUMIFS(GAJI!$P$5:$P$124,GAJI!$T$5:$T$124,$B$7,GAJI!$R$5:$R$124,"Dibayar",GAJI!$S$5:$S$124,"&lt;"&amp;DATE(DASHBOARD!$B$4,11,1))-SUMIFS(REIMBURSE!$J$5:$J$124,REIMBURSE!$O$5:$O$124,$B$7,REIMBURSE!$N$5:$N$124,"&lt;"&amp;DATE(DASHBOARD!$B$4,11,1))-SUMIFS(KEWAJIBAN!$F$5:$F$124,KEWAJIBAN!$J$5:$J$124,$B$7,KEWAJIBAN!$I$5:$I$124,"&lt;"&amp;DATE(DASHBOARD!$B$4,11,1))-SUMIFS(PARTNER!$I$5:$I$124,PARTNER!$L$5:$L$124,$B$7,PARTNER!$V$5:$V$124,"&lt;"&amp;DATE(DASHBOARD!$B$4,11,1))+SUMIFS(TRANSFER_KAS!$F$5:$F$204,TRANSFER_KAS!$E$5:$E$204,$B$7,TRANSFER_KAS!$B$5:$B$204,"&lt;"&amp;DATE(DASHBOARD!$B$4,11,1))-SUMIFS(TRANSFER_KAS!$F$5:$F$204,TRANSFER_KAS!$D$5:$D$204,$B$7,TRANSFER_KAS!$B$5:$B$204,"&lt;"&amp;DATE(DASHBOARD!$B$4,11,1))+SUMIFS(REIMBURSE!$J$5:$J$124,REIMBURSE!$C$5:$C$124,$A$7,REIMBURSE!$N$5:$N$124,"&lt;"&amp;DATE(DASHBOARD!$B$4,11,1))+SUMIFS(PARTNER!$I$5:$I$124,PARTNER!$D$5:$D$124,$A$7,PARTNER!$E$5:$E$124,"Pengembalian Talangan",PARTNER!$V$5:$V$124,"&lt;"&amp;DATE(DASHBOARD!$B$4,11,1))),0)))</f>
        <v/>
      </c>
      <c r="L15" s="84" t="str">
        <f ca="1">IF(11&gt;MASTER!$AF$15,"",SUM(MAX(-(SUMIFS(KAS_BANK!$B$5:$B$10,KAS_BANK!$A$5:$A$10,$B$7)+SUMIFS(PEMASUKAN!$J$5:$J$204,PEMASUKAN!$K$5:$K$204,$B$7,PEMASUKAN!$B$5:$B$204,"&lt;"&amp;DATE(DASHBOARD!$B$4,12,1))-SUMIFS(PENGELUARAN!$K$5:$K$204,PENGELUARAN!$I$5:$I$204,$B$7,PENGELUARAN!$B$5:$B$204,"&lt;"&amp;DATE(DASHBOARD!$B$4,12,1))-SUMIFS(GAJI!$P$5:$P$124,GAJI!$T$5:$T$124,$B$7,GAJI!$R$5:$R$124,"Dibayar",GAJI!$S$5:$S$124,"&lt;"&amp;DATE(DASHBOARD!$B$4,12,1))-SUMIFS(REIMBURSE!$J$5:$J$124,REIMBURSE!$O$5:$O$124,$B$7,REIMBURSE!$N$5:$N$124,"&lt;"&amp;DATE(DASHBOARD!$B$4,12,1))-SUMIFS(KEWAJIBAN!$F$5:$F$124,KEWAJIBAN!$J$5:$J$124,$B$7,KEWAJIBAN!$I$5:$I$124,"&lt;"&amp;DATE(DASHBOARD!$B$4,12,1))-SUMIFS(PARTNER!$I$5:$I$124,PARTNER!$L$5:$L$124,$B$7,PARTNER!$V$5:$V$124,"&lt;"&amp;DATE(DASHBOARD!$B$4,12,1))+SUMIFS(TRANSFER_KAS!$F$5:$F$204,TRANSFER_KAS!$E$5:$E$204,$B$7,TRANSFER_KAS!$B$5:$B$204,"&lt;"&amp;DATE(DASHBOARD!$B$4,12,1))-SUMIFS(TRANSFER_KAS!$F$5:$F$204,TRANSFER_KAS!$D$5:$D$204,$B$7,TRANSFER_KAS!$B$5:$B$204,"&lt;"&amp;DATE(DASHBOARD!$B$4,12,1))+SUMIFS(REIMBURSE!$J$5:$J$124,REIMBURSE!$C$5:$C$124,$A$7,REIMBURSE!$N$5:$N$124,"&lt;"&amp;DATE(DASHBOARD!$B$4,12,1))+SUMIFS(PARTNER!$I$5:$I$124,PARTNER!$D$5:$D$124,$A$7,PARTNER!$E$5:$E$124,"Pengembalian Talangan",PARTNER!$V$5:$V$124,"&lt;"&amp;DATE(DASHBOARD!$B$4,12,1))),0)))</f>
        <v/>
      </c>
      <c r="M15" s="84" t="str">
        <f ca="1">IF(12&gt;MASTER!$AF$15,"",SUM(MAX(-(SUMIFS(KAS_BANK!$B$5:$B$10,KAS_BANK!$A$5:$A$10,$B$7)+SUMIFS(PEMASUKAN!$J$5:$J$204,PEMASUKAN!$K$5:$K$204,$B$7,PEMASUKAN!$B$5:$B$204,"&lt;"&amp;DATE(DASHBOARD!$B$4,13,1))-SUMIFS(PENGELUARAN!$K$5:$K$204,PENGELUARAN!$I$5:$I$204,$B$7,PENGELUARAN!$B$5:$B$204,"&lt;"&amp;DATE(DASHBOARD!$B$4,13,1))-SUMIFS(GAJI!$P$5:$P$124,GAJI!$T$5:$T$124,$B$7,GAJI!$R$5:$R$124,"Dibayar",GAJI!$S$5:$S$124,"&lt;"&amp;DATE(DASHBOARD!$B$4,13,1))-SUMIFS(REIMBURSE!$J$5:$J$124,REIMBURSE!$O$5:$O$124,$B$7,REIMBURSE!$N$5:$N$124,"&lt;"&amp;DATE(DASHBOARD!$B$4,13,1))-SUMIFS(KEWAJIBAN!$F$5:$F$124,KEWAJIBAN!$J$5:$J$124,$B$7,KEWAJIBAN!$I$5:$I$124,"&lt;"&amp;DATE(DASHBOARD!$B$4,13,1))-SUMIFS(PARTNER!$I$5:$I$124,PARTNER!$L$5:$L$124,$B$7,PARTNER!$V$5:$V$124,"&lt;"&amp;DATE(DASHBOARD!$B$4,13,1))+SUMIFS(TRANSFER_KAS!$F$5:$F$204,TRANSFER_KAS!$E$5:$E$204,$B$7,TRANSFER_KAS!$B$5:$B$204,"&lt;"&amp;DATE(DASHBOARD!$B$4,13,1))-SUMIFS(TRANSFER_KAS!$F$5:$F$204,TRANSFER_KAS!$D$5:$D$204,$B$7,TRANSFER_KAS!$B$5:$B$204,"&lt;"&amp;DATE(DASHBOARD!$B$4,13,1))+SUMIFS(REIMBURSE!$J$5:$J$124,REIMBURSE!$C$5:$C$124,$A$7,REIMBURSE!$N$5:$N$124,"&lt;"&amp;DATE(DASHBOARD!$B$4,13,1))+SUMIFS(PARTNER!$I$5:$I$124,PARTNER!$D$5:$D$124,$A$7,PARTNER!$E$5:$E$124,"Pengembalian Talangan",PARTNER!$V$5:$V$124,"&lt;"&amp;DATE(DASHBOARD!$B$4,13,1))),0)))</f>
        <v/>
      </c>
      <c r="N15" s="84">
        <f ca="1">INDEX(B15:M15,1,MASTER!$AF$15)</f>
        <v>0</v>
      </c>
    </row>
    <row r="16" spans="1:14">
      <c r="A16" t="str">
        <f>A8</f>
        <v>Anggara Putra</v>
      </c>
      <c r="B16" s="84">
        <f ca="1">IF(1&gt;MASTER!$AF$15,"",SUM(MAX(-(SUMIFS(KAS_BANK!$B$5:$B$10,KAS_BANK!$A$5:$A$10,$B$8)+SUMIFS(PEMASUKAN!$J$5:$J$204,PEMASUKAN!$K$5:$K$204,$B$8,PEMASUKAN!$B$5:$B$204,"&lt;"&amp;DATE(DASHBOARD!$B$4,2,1))-SUMIFS(PENGELUARAN!$K$5:$K$204,PENGELUARAN!$I$5:$I$204,$B$8,PENGELUARAN!$B$5:$B$204,"&lt;"&amp;DATE(DASHBOARD!$B$4,2,1))-SUMIFS(GAJI!$P$5:$P$124,GAJI!$T$5:$T$124,$B$8,GAJI!$R$5:$R$124,"Dibayar",GAJI!$S$5:$S$124,"&lt;"&amp;DATE(DASHBOARD!$B$4,2,1))-SUMIFS(REIMBURSE!$J$5:$J$124,REIMBURSE!$O$5:$O$124,$B$8,REIMBURSE!$N$5:$N$124,"&lt;"&amp;DATE(DASHBOARD!$B$4,2,1))-SUMIFS(KEWAJIBAN!$F$5:$F$124,KEWAJIBAN!$J$5:$J$124,$B$8,KEWAJIBAN!$I$5:$I$124,"&lt;"&amp;DATE(DASHBOARD!$B$4,2,1))-SUMIFS(PARTNER!$I$5:$I$124,PARTNER!$L$5:$L$124,$B$8,PARTNER!$V$5:$V$124,"&lt;"&amp;DATE(DASHBOARD!$B$4,2,1))+SUMIFS(TRANSFER_KAS!$F$5:$F$204,TRANSFER_KAS!$E$5:$E$204,$B$8,TRANSFER_KAS!$B$5:$B$204,"&lt;"&amp;DATE(DASHBOARD!$B$4,2,1))-SUMIFS(TRANSFER_KAS!$F$5:$F$204,TRANSFER_KAS!$D$5:$D$204,$B$8,TRANSFER_KAS!$B$5:$B$204,"&lt;"&amp;DATE(DASHBOARD!$B$4,2,1))+SUMIFS(REIMBURSE!$J$5:$J$124,REIMBURSE!$C$5:$C$124,$A$8,REIMBURSE!$N$5:$N$124,"&lt;"&amp;DATE(DASHBOARD!$B$4,2,1))+SUMIFS(PARTNER!$I$5:$I$124,PARTNER!$D$5:$D$124,$A$8,PARTNER!$E$5:$E$124,"Pengembalian Talangan",PARTNER!$V$5:$V$124,"&lt;"&amp;DATE(DASHBOARD!$B$4,2,1))),0)))</f>
        <v>0</v>
      </c>
      <c r="C16" s="84">
        <f ca="1">IF(2&gt;MASTER!$AF$15,"",SUM(MAX(-(SUMIFS(KAS_BANK!$B$5:$B$10,KAS_BANK!$A$5:$A$10,$B$8)+SUMIFS(PEMASUKAN!$J$5:$J$204,PEMASUKAN!$K$5:$K$204,$B$8,PEMASUKAN!$B$5:$B$204,"&lt;"&amp;DATE(DASHBOARD!$B$4,3,1))-SUMIFS(PENGELUARAN!$K$5:$K$204,PENGELUARAN!$I$5:$I$204,$B$8,PENGELUARAN!$B$5:$B$204,"&lt;"&amp;DATE(DASHBOARD!$B$4,3,1))-SUMIFS(GAJI!$P$5:$P$124,GAJI!$T$5:$T$124,$B$8,GAJI!$R$5:$R$124,"Dibayar",GAJI!$S$5:$S$124,"&lt;"&amp;DATE(DASHBOARD!$B$4,3,1))-SUMIFS(REIMBURSE!$J$5:$J$124,REIMBURSE!$O$5:$O$124,$B$8,REIMBURSE!$N$5:$N$124,"&lt;"&amp;DATE(DASHBOARD!$B$4,3,1))-SUMIFS(KEWAJIBAN!$F$5:$F$124,KEWAJIBAN!$J$5:$J$124,$B$8,KEWAJIBAN!$I$5:$I$124,"&lt;"&amp;DATE(DASHBOARD!$B$4,3,1))-SUMIFS(PARTNER!$I$5:$I$124,PARTNER!$L$5:$L$124,$B$8,PARTNER!$V$5:$V$124,"&lt;"&amp;DATE(DASHBOARD!$B$4,3,1))+SUMIFS(TRANSFER_KAS!$F$5:$F$204,TRANSFER_KAS!$E$5:$E$204,$B$8,TRANSFER_KAS!$B$5:$B$204,"&lt;"&amp;DATE(DASHBOARD!$B$4,3,1))-SUMIFS(TRANSFER_KAS!$F$5:$F$204,TRANSFER_KAS!$D$5:$D$204,$B$8,TRANSFER_KAS!$B$5:$B$204,"&lt;"&amp;DATE(DASHBOARD!$B$4,3,1))+SUMIFS(REIMBURSE!$J$5:$J$124,REIMBURSE!$C$5:$C$124,$A$8,REIMBURSE!$N$5:$N$124,"&lt;"&amp;DATE(DASHBOARD!$B$4,3,1))+SUMIFS(PARTNER!$I$5:$I$124,PARTNER!$D$5:$D$124,$A$8,PARTNER!$E$5:$E$124,"Pengembalian Talangan",PARTNER!$V$5:$V$124,"&lt;"&amp;DATE(DASHBOARD!$B$4,3,1))),0)))</f>
        <v>0</v>
      </c>
      <c r="D16" s="84">
        <f ca="1">IF(3&gt;MASTER!$AF$15,"",SUM(MAX(-(SUMIFS(KAS_BANK!$B$5:$B$10,KAS_BANK!$A$5:$A$10,$B$8)+SUMIFS(PEMASUKAN!$J$5:$J$204,PEMASUKAN!$K$5:$K$204,$B$8,PEMASUKAN!$B$5:$B$204,"&lt;"&amp;DATE(DASHBOARD!$B$4,4,1))-SUMIFS(PENGELUARAN!$K$5:$K$204,PENGELUARAN!$I$5:$I$204,$B$8,PENGELUARAN!$B$5:$B$204,"&lt;"&amp;DATE(DASHBOARD!$B$4,4,1))-SUMIFS(GAJI!$P$5:$P$124,GAJI!$T$5:$T$124,$B$8,GAJI!$R$5:$R$124,"Dibayar",GAJI!$S$5:$S$124,"&lt;"&amp;DATE(DASHBOARD!$B$4,4,1))-SUMIFS(REIMBURSE!$J$5:$J$124,REIMBURSE!$O$5:$O$124,$B$8,REIMBURSE!$N$5:$N$124,"&lt;"&amp;DATE(DASHBOARD!$B$4,4,1))-SUMIFS(KEWAJIBAN!$F$5:$F$124,KEWAJIBAN!$J$5:$J$124,$B$8,KEWAJIBAN!$I$5:$I$124,"&lt;"&amp;DATE(DASHBOARD!$B$4,4,1))-SUMIFS(PARTNER!$I$5:$I$124,PARTNER!$L$5:$L$124,$B$8,PARTNER!$V$5:$V$124,"&lt;"&amp;DATE(DASHBOARD!$B$4,4,1))+SUMIFS(TRANSFER_KAS!$F$5:$F$204,TRANSFER_KAS!$E$5:$E$204,$B$8,TRANSFER_KAS!$B$5:$B$204,"&lt;"&amp;DATE(DASHBOARD!$B$4,4,1))-SUMIFS(TRANSFER_KAS!$F$5:$F$204,TRANSFER_KAS!$D$5:$D$204,$B$8,TRANSFER_KAS!$B$5:$B$204,"&lt;"&amp;DATE(DASHBOARD!$B$4,4,1))+SUMIFS(REIMBURSE!$J$5:$J$124,REIMBURSE!$C$5:$C$124,$A$8,REIMBURSE!$N$5:$N$124,"&lt;"&amp;DATE(DASHBOARD!$B$4,4,1))+SUMIFS(PARTNER!$I$5:$I$124,PARTNER!$D$5:$D$124,$A$8,PARTNER!$E$5:$E$124,"Pengembalian Talangan",PARTNER!$V$5:$V$124,"&lt;"&amp;DATE(DASHBOARD!$B$4,4,1))),0)))</f>
        <v>0</v>
      </c>
      <c r="E16" s="84">
        <f ca="1">IF(4&gt;MASTER!$AF$15,"",SUM(MAX(-(SUMIFS(KAS_BANK!$B$5:$B$10,KAS_BANK!$A$5:$A$10,$B$8)+SUMIFS(PEMASUKAN!$J$5:$J$204,PEMASUKAN!$K$5:$K$204,$B$8,PEMASUKAN!$B$5:$B$204,"&lt;"&amp;DATE(DASHBOARD!$B$4,5,1))-SUMIFS(PENGELUARAN!$K$5:$K$204,PENGELUARAN!$I$5:$I$204,$B$8,PENGELUARAN!$B$5:$B$204,"&lt;"&amp;DATE(DASHBOARD!$B$4,5,1))-SUMIFS(GAJI!$P$5:$P$124,GAJI!$T$5:$T$124,$B$8,GAJI!$R$5:$R$124,"Dibayar",GAJI!$S$5:$S$124,"&lt;"&amp;DATE(DASHBOARD!$B$4,5,1))-SUMIFS(REIMBURSE!$J$5:$J$124,REIMBURSE!$O$5:$O$124,$B$8,REIMBURSE!$N$5:$N$124,"&lt;"&amp;DATE(DASHBOARD!$B$4,5,1))-SUMIFS(KEWAJIBAN!$F$5:$F$124,KEWAJIBAN!$J$5:$J$124,$B$8,KEWAJIBAN!$I$5:$I$124,"&lt;"&amp;DATE(DASHBOARD!$B$4,5,1))-SUMIFS(PARTNER!$I$5:$I$124,PARTNER!$L$5:$L$124,$B$8,PARTNER!$V$5:$V$124,"&lt;"&amp;DATE(DASHBOARD!$B$4,5,1))+SUMIFS(TRANSFER_KAS!$F$5:$F$204,TRANSFER_KAS!$E$5:$E$204,$B$8,TRANSFER_KAS!$B$5:$B$204,"&lt;"&amp;DATE(DASHBOARD!$B$4,5,1))-SUMIFS(TRANSFER_KAS!$F$5:$F$204,TRANSFER_KAS!$D$5:$D$204,$B$8,TRANSFER_KAS!$B$5:$B$204,"&lt;"&amp;DATE(DASHBOARD!$B$4,5,1))+SUMIFS(REIMBURSE!$J$5:$J$124,REIMBURSE!$C$5:$C$124,$A$8,REIMBURSE!$N$5:$N$124,"&lt;"&amp;DATE(DASHBOARD!$B$4,5,1))+SUMIFS(PARTNER!$I$5:$I$124,PARTNER!$D$5:$D$124,$A$8,PARTNER!$E$5:$E$124,"Pengembalian Talangan",PARTNER!$V$5:$V$124,"&lt;"&amp;DATE(DASHBOARD!$B$4,5,1))),0)))</f>
        <v>0</v>
      </c>
      <c r="F16" s="84">
        <f ca="1">IF(5&gt;MASTER!$AF$15,"",SUM(MAX(-(SUMIFS(KAS_BANK!$B$5:$B$10,KAS_BANK!$A$5:$A$10,$B$8)+SUMIFS(PEMASUKAN!$J$5:$J$204,PEMASUKAN!$K$5:$K$204,$B$8,PEMASUKAN!$B$5:$B$204,"&lt;"&amp;DATE(DASHBOARD!$B$4,6,1))-SUMIFS(PENGELUARAN!$K$5:$K$204,PENGELUARAN!$I$5:$I$204,$B$8,PENGELUARAN!$B$5:$B$204,"&lt;"&amp;DATE(DASHBOARD!$B$4,6,1))-SUMIFS(GAJI!$P$5:$P$124,GAJI!$T$5:$T$124,$B$8,GAJI!$R$5:$R$124,"Dibayar",GAJI!$S$5:$S$124,"&lt;"&amp;DATE(DASHBOARD!$B$4,6,1))-SUMIFS(REIMBURSE!$J$5:$J$124,REIMBURSE!$O$5:$O$124,$B$8,REIMBURSE!$N$5:$N$124,"&lt;"&amp;DATE(DASHBOARD!$B$4,6,1))-SUMIFS(KEWAJIBAN!$F$5:$F$124,KEWAJIBAN!$J$5:$J$124,$B$8,KEWAJIBAN!$I$5:$I$124,"&lt;"&amp;DATE(DASHBOARD!$B$4,6,1))-SUMIFS(PARTNER!$I$5:$I$124,PARTNER!$L$5:$L$124,$B$8,PARTNER!$V$5:$V$124,"&lt;"&amp;DATE(DASHBOARD!$B$4,6,1))+SUMIFS(TRANSFER_KAS!$F$5:$F$204,TRANSFER_KAS!$E$5:$E$204,$B$8,TRANSFER_KAS!$B$5:$B$204,"&lt;"&amp;DATE(DASHBOARD!$B$4,6,1))-SUMIFS(TRANSFER_KAS!$F$5:$F$204,TRANSFER_KAS!$D$5:$D$204,$B$8,TRANSFER_KAS!$B$5:$B$204,"&lt;"&amp;DATE(DASHBOARD!$B$4,6,1))+SUMIFS(REIMBURSE!$J$5:$J$124,REIMBURSE!$C$5:$C$124,$A$8,REIMBURSE!$N$5:$N$124,"&lt;"&amp;DATE(DASHBOARD!$B$4,6,1))+SUMIFS(PARTNER!$I$5:$I$124,PARTNER!$D$5:$D$124,$A$8,PARTNER!$E$5:$E$124,"Pengembalian Talangan",PARTNER!$V$5:$V$124,"&lt;"&amp;DATE(DASHBOARD!$B$4,6,1))),0)))</f>
        <v>0</v>
      </c>
      <c r="G16" s="84">
        <f ca="1">IF(6&gt;MASTER!$AF$15,"",SUM(MAX(-(SUMIFS(KAS_BANK!$B$5:$B$10,KAS_BANK!$A$5:$A$10,$B$8)+SUMIFS(PEMASUKAN!$J$5:$J$204,PEMASUKAN!$K$5:$K$204,$B$8,PEMASUKAN!$B$5:$B$204,"&lt;"&amp;DATE(DASHBOARD!$B$4,7,1))-SUMIFS(PENGELUARAN!$K$5:$K$204,PENGELUARAN!$I$5:$I$204,$B$8,PENGELUARAN!$B$5:$B$204,"&lt;"&amp;DATE(DASHBOARD!$B$4,7,1))-SUMIFS(GAJI!$P$5:$P$124,GAJI!$T$5:$T$124,$B$8,GAJI!$R$5:$R$124,"Dibayar",GAJI!$S$5:$S$124,"&lt;"&amp;DATE(DASHBOARD!$B$4,7,1))-SUMIFS(REIMBURSE!$J$5:$J$124,REIMBURSE!$O$5:$O$124,$B$8,REIMBURSE!$N$5:$N$124,"&lt;"&amp;DATE(DASHBOARD!$B$4,7,1))-SUMIFS(KEWAJIBAN!$F$5:$F$124,KEWAJIBAN!$J$5:$J$124,$B$8,KEWAJIBAN!$I$5:$I$124,"&lt;"&amp;DATE(DASHBOARD!$B$4,7,1))-SUMIFS(PARTNER!$I$5:$I$124,PARTNER!$L$5:$L$124,$B$8,PARTNER!$V$5:$V$124,"&lt;"&amp;DATE(DASHBOARD!$B$4,7,1))+SUMIFS(TRANSFER_KAS!$F$5:$F$204,TRANSFER_KAS!$E$5:$E$204,$B$8,TRANSFER_KAS!$B$5:$B$204,"&lt;"&amp;DATE(DASHBOARD!$B$4,7,1))-SUMIFS(TRANSFER_KAS!$F$5:$F$204,TRANSFER_KAS!$D$5:$D$204,$B$8,TRANSFER_KAS!$B$5:$B$204,"&lt;"&amp;DATE(DASHBOARD!$B$4,7,1))+SUMIFS(REIMBURSE!$J$5:$J$124,REIMBURSE!$C$5:$C$124,$A$8,REIMBURSE!$N$5:$N$124,"&lt;"&amp;DATE(DASHBOARD!$B$4,7,1))+SUMIFS(PARTNER!$I$5:$I$124,PARTNER!$D$5:$D$124,$A$8,PARTNER!$E$5:$E$124,"Pengembalian Talangan",PARTNER!$V$5:$V$124,"&lt;"&amp;DATE(DASHBOARD!$B$4,7,1))),0)))</f>
        <v>0</v>
      </c>
      <c r="H16" s="84">
        <f ca="1">IF(7&gt;MASTER!$AF$15,"",SUM(MAX(-(SUMIFS(KAS_BANK!$B$5:$B$10,KAS_BANK!$A$5:$A$10,$B$8)+SUMIFS(PEMASUKAN!$J$5:$J$204,PEMASUKAN!$K$5:$K$204,$B$8,PEMASUKAN!$B$5:$B$204,"&lt;"&amp;DATE(DASHBOARD!$B$4,8,1))-SUMIFS(PENGELUARAN!$K$5:$K$204,PENGELUARAN!$I$5:$I$204,$B$8,PENGELUARAN!$B$5:$B$204,"&lt;"&amp;DATE(DASHBOARD!$B$4,8,1))-SUMIFS(GAJI!$P$5:$P$124,GAJI!$T$5:$T$124,$B$8,GAJI!$R$5:$R$124,"Dibayar",GAJI!$S$5:$S$124,"&lt;"&amp;DATE(DASHBOARD!$B$4,8,1))-SUMIFS(REIMBURSE!$J$5:$J$124,REIMBURSE!$O$5:$O$124,$B$8,REIMBURSE!$N$5:$N$124,"&lt;"&amp;DATE(DASHBOARD!$B$4,8,1))-SUMIFS(KEWAJIBAN!$F$5:$F$124,KEWAJIBAN!$J$5:$J$124,$B$8,KEWAJIBAN!$I$5:$I$124,"&lt;"&amp;DATE(DASHBOARD!$B$4,8,1))-SUMIFS(PARTNER!$I$5:$I$124,PARTNER!$L$5:$L$124,$B$8,PARTNER!$V$5:$V$124,"&lt;"&amp;DATE(DASHBOARD!$B$4,8,1))+SUMIFS(TRANSFER_KAS!$F$5:$F$204,TRANSFER_KAS!$E$5:$E$204,$B$8,TRANSFER_KAS!$B$5:$B$204,"&lt;"&amp;DATE(DASHBOARD!$B$4,8,1))-SUMIFS(TRANSFER_KAS!$F$5:$F$204,TRANSFER_KAS!$D$5:$D$204,$B$8,TRANSFER_KAS!$B$5:$B$204,"&lt;"&amp;DATE(DASHBOARD!$B$4,8,1))+SUMIFS(REIMBURSE!$J$5:$J$124,REIMBURSE!$C$5:$C$124,$A$8,REIMBURSE!$N$5:$N$124,"&lt;"&amp;DATE(DASHBOARD!$B$4,8,1))+SUMIFS(PARTNER!$I$5:$I$124,PARTNER!$D$5:$D$124,$A$8,PARTNER!$E$5:$E$124,"Pengembalian Talangan",PARTNER!$V$5:$V$124,"&lt;"&amp;DATE(DASHBOARD!$B$4,8,1))),0)))</f>
        <v>0</v>
      </c>
      <c r="I16" s="84">
        <f ca="1">IF(8&gt;MASTER!$AF$15,"",SUM(MAX(-(SUMIFS(KAS_BANK!$B$5:$B$10,KAS_BANK!$A$5:$A$10,$B$8)+SUMIFS(PEMASUKAN!$J$5:$J$204,PEMASUKAN!$K$5:$K$204,$B$8,PEMASUKAN!$B$5:$B$204,"&lt;"&amp;DATE(DASHBOARD!$B$4,9,1))-SUMIFS(PENGELUARAN!$K$5:$K$204,PENGELUARAN!$I$5:$I$204,$B$8,PENGELUARAN!$B$5:$B$204,"&lt;"&amp;DATE(DASHBOARD!$B$4,9,1))-SUMIFS(GAJI!$P$5:$P$124,GAJI!$T$5:$T$124,$B$8,GAJI!$R$5:$R$124,"Dibayar",GAJI!$S$5:$S$124,"&lt;"&amp;DATE(DASHBOARD!$B$4,9,1))-SUMIFS(REIMBURSE!$J$5:$J$124,REIMBURSE!$O$5:$O$124,$B$8,REIMBURSE!$N$5:$N$124,"&lt;"&amp;DATE(DASHBOARD!$B$4,9,1))-SUMIFS(KEWAJIBAN!$F$5:$F$124,KEWAJIBAN!$J$5:$J$124,$B$8,KEWAJIBAN!$I$5:$I$124,"&lt;"&amp;DATE(DASHBOARD!$B$4,9,1))-SUMIFS(PARTNER!$I$5:$I$124,PARTNER!$L$5:$L$124,$B$8,PARTNER!$V$5:$V$124,"&lt;"&amp;DATE(DASHBOARD!$B$4,9,1))+SUMIFS(TRANSFER_KAS!$F$5:$F$204,TRANSFER_KAS!$E$5:$E$204,$B$8,TRANSFER_KAS!$B$5:$B$204,"&lt;"&amp;DATE(DASHBOARD!$B$4,9,1))-SUMIFS(TRANSFER_KAS!$F$5:$F$204,TRANSFER_KAS!$D$5:$D$204,$B$8,TRANSFER_KAS!$B$5:$B$204,"&lt;"&amp;DATE(DASHBOARD!$B$4,9,1))+SUMIFS(REIMBURSE!$J$5:$J$124,REIMBURSE!$C$5:$C$124,$A$8,REIMBURSE!$N$5:$N$124,"&lt;"&amp;DATE(DASHBOARD!$B$4,9,1))+SUMIFS(PARTNER!$I$5:$I$124,PARTNER!$D$5:$D$124,$A$8,PARTNER!$E$5:$E$124,"Pengembalian Talangan",PARTNER!$V$5:$V$124,"&lt;"&amp;DATE(DASHBOARD!$B$4,9,1))),0)))</f>
        <v>0</v>
      </c>
      <c r="J16" s="84" t="str">
        <f ca="1">IF(9&gt;MASTER!$AF$15,"",SUM(MAX(-(SUMIFS(KAS_BANK!$B$5:$B$10,KAS_BANK!$A$5:$A$10,$B$8)+SUMIFS(PEMASUKAN!$J$5:$J$204,PEMASUKAN!$K$5:$K$204,$B$8,PEMASUKAN!$B$5:$B$204,"&lt;"&amp;DATE(DASHBOARD!$B$4,10,1))-SUMIFS(PENGELUARAN!$K$5:$K$204,PENGELUARAN!$I$5:$I$204,$B$8,PENGELUARAN!$B$5:$B$204,"&lt;"&amp;DATE(DASHBOARD!$B$4,10,1))-SUMIFS(GAJI!$P$5:$P$124,GAJI!$T$5:$T$124,$B$8,GAJI!$R$5:$R$124,"Dibayar",GAJI!$S$5:$S$124,"&lt;"&amp;DATE(DASHBOARD!$B$4,10,1))-SUMIFS(REIMBURSE!$J$5:$J$124,REIMBURSE!$O$5:$O$124,$B$8,REIMBURSE!$N$5:$N$124,"&lt;"&amp;DATE(DASHBOARD!$B$4,10,1))-SUMIFS(KEWAJIBAN!$F$5:$F$124,KEWAJIBAN!$J$5:$J$124,$B$8,KEWAJIBAN!$I$5:$I$124,"&lt;"&amp;DATE(DASHBOARD!$B$4,10,1))-SUMIFS(PARTNER!$I$5:$I$124,PARTNER!$L$5:$L$124,$B$8,PARTNER!$V$5:$V$124,"&lt;"&amp;DATE(DASHBOARD!$B$4,10,1))+SUMIFS(TRANSFER_KAS!$F$5:$F$204,TRANSFER_KAS!$E$5:$E$204,$B$8,TRANSFER_KAS!$B$5:$B$204,"&lt;"&amp;DATE(DASHBOARD!$B$4,10,1))-SUMIFS(TRANSFER_KAS!$F$5:$F$204,TRANSFER_KAS!$D$5:$D$204,$B$8,TRANSFER_KAS!$B$5:$B$204,"&lt;"&amp;DATE(DASHBOARD!$B$4,10,1))+SUMIFS(REIMBURSE!$J$5:$J$124,REIMBURSE!$C$5:$C$124,$A$8,REIMBURSE!$N$5:$N$124,"&lt;"&amp;DATE(DASHBOARD!$B$4,10,1))+SUMIFS(PARTNER!$I$5:$I$124,PARTNER!$D$5:$D$124,$A$8,PARTNER!$E$5:$E$124,"Pengembalian Talangan",PARTNER!$V$5:$V$124,"&lt;"&amp;DATE(DASHBOARD!$B$4,10,1))),0)))</f>
        <v/>
      </c>
      <c r="K16" s="84" t="str">
        <f ca="1">IF(10&gt;MASTER!$AF$15,"",SUM(MAX(-(SUMIFS(KAS_BANK!$B$5:$B$10,KAS_BANK!$A$5:$A$10,$B$8)+SUMIFS(PEMASUKAN!$J$5:$J$204,PEMASUKAN!$K$5:$K$204,$B$8,PEMASUKAN!$B$5:$B$204,"&lt;"&amp;DATE(DASHBOARD!$B$4,11,1))-SUMIFS(PENGELUARAN!$K$5:$K$204,PENGELUARAN!$I$5:$I$204,$B$8,PENGELUARAN!$B$5:$B$204,"&lt;"&amp;DATE(DASHBOARD!$B$4,11,1))-SUMIFS(GAJI!$P$5:$P$124,GAJI!$T$5:$T$124,$B$8,GAJI!$R$5:$R$124,"Dibayar",GAJI!$S$5:$S$124,"&lt;"&amp;DATE(DASHBOARD!$B$4,11,1))-SUMIFS(REIMBURSE!$J$5:$J$124,REIMBURSE!$O$5:$O$124,$B$8,REIMBURSE!$N$5:$N$124,"&lt;"&amp;DATE(DASHBOARD!$B$4,11,1))-SUMIFS(KEWAJIBAN!$F$5:$F$124,KEWAJIBAN!$J$5:$J$124,$B$8,KEWAJIBAN!$I$5:$I$124,"&lt;"&amp;DATE(DASHBOARD!$B$4,11,1))-SUMIFS(PARTNER!$I$5:$I$124,PARTNER!$L$5:$L$124,$B$8,PARTNER!$V$5:$V$124,"&lt;"&amp;DATE(DASHBOARD!$B$4,11,1))+SUMIFS(TRANSFER_KAS!$F$5:$F$204,TRANSFER_KAS!$E$5:$E$204,$B$8,TRANSFER_KAS!$B$5:$B$204,"&lt;"&amp;DATE(DASHBOARD!$B$4,11,1))-SUMIFS(TRANSFER_KAS!$F$5:$F$204,TRANSFER_KAS!$D$5:$D$204,$B$8,TRANSFER_KAS!$B$5:$B$204,"&lt;"&amp;DATE(DASHBOARD!$B$4,11,1))+SUMIFS(REIMBURSE!$J$5:$J$124,REIMBURSE!$C$5:$C$124,$A$8,REIMBURSE!$N$5:$N$124,"&lt;"&amp;DATE(DASHBOARD!$B$4,11,1))+SUMIFS(PARTNER!$I$5:$I$124,PARTNER!$D$5:$D$124,$A$8,PARTNER!$E$5:$E$124,"Pengembalian Talangan",PARTNER!$V$5:$V$124,"&lt;"&amp;DATE(DASHBOARD!$B$4,11,1))),0)))</f>
        <v/>
      </c>
      <c r="L16" s="84" t="str">
        <f ca="1">IF(11&gt;MASTER!$AF$15,"",SUM(MAX(-(SUMIFS(KAS_BANK!$B$5:$B$10,KAS_BANK!$A$5:$A$10,$B$8)+SUMIFS(PEMASUKAN!$J$5:$J$204,PEMASUKAN!$K$5:$K$204,$B$8,PEMASUKAN!$B$5:$B$204,"&lt;"&amp;DATE(DASHBOARD!$B$4,12,1))-SUMIFS(PENGELUARAN!$K$5:$K$204,PENGELUARAN!$I$5:$I$204,$B$8,PENGELUARAN!$B$5:$B$204,"&lt;"&amp;DATE(DASHBOARD!$B$4,12,1))-SUMIFS(GAJI!$P$5:$P$124,GAJI!$T$5:$T$124,$B$8,GAJI!$R$5:$R$124,"Dibayar",GAJI!$S$5:$S$124,"&lt;"&amp;DATE(DASHBOARD!$B$4,12,1))-SUMIFS(REIMBURSE!$J$5:$J$124,REIMBURSE!$O$5:$O$124,$B$8,REIMBURSE!$N$5:$N$124,"&lt;"&amp;DATE(DASHBOARD!$B$4,12,1))-SUMIFS(KEWAJIBAN!$F$5:$F$124,KEWAJIBAN!$J$5:$J$124,$B$8,KEWAJIBAN!$I$5:$I$124,"&lt;"&amp;DATE(DASHBOARD!$B$4,12,1))-SUMIFS(PARTNER!$I$5:$I$124,PARTNER!$L$5:$L$124,$B$8,PARTNER!$V$5:$V$124,"&lt;"&amp;DATE(DASHBOARD!$B$4,12,1))+SUMIFS(TRANSFER_KAS!$F$5:$F$204,TRANSFER_KAS!$E$5:$E$204,$B$8,TRANSFER_KAS!$B$5:$B$204,"&lt;"&amp;DATE(DASHBOARD!$B$4,12,1))-SUMIFS(TRANSFER_KAS!$F$5:$F$204,TRANSFER_KAS!$D$5:$D$204,$B$8,TRANSFER_KAS!$B$5:$B$204,"&lt;"&amp;DATE(DASHBOARD!$B$4,12,1))+SUMIFS(REIMBURSE!$J$5:$J$124,REIMBURSE!$C$5:$C$124,$A$8,REIMBURSE!$N$5:$N$124,"&lt;"&amp;DATE(DASHBOARD!$B$4,12,1))+SUMIFS(PARTNER!$I$5:$I$124,PARTNER!$D$5:$D$124,$A$8,PARTNER!$E$5:$E$124,"Pengembalian Talangan",PARTNER!$V$5:$V$124,"&lt;"&amp;DATE(DASHBOARD!$B$4,12,1))),0)))</f>
        <v/>
      </c>
      <c r="M16" s="84" t="str">
        <f ca="1">IF(12&gt;MASTER!$AF$15,"",SUM(MAX(-(SUMIFS(KAS_BANK!$B$5:$B$10,KAS_BANK!$A$5:$A$10,$B$8)+SUMIFS(PEMASUKAN!$J$5:$J$204,PEMASUKAN!$K$5:$K$204,$B$8,PEMASUKAN!$B$5:$B$204,"&lt;"&amp;DATE(DASHBOARD!$B$4,13,1))-SUMIFS(PENGELUARAN!$K$5:$K$204,PENGELUARAN!$I$5:$I$204,$B$8,PENGELUARAN!$B$5:$B$204,"&lt;"&amp;DATE(DASHBOARD!$B$4,13,1))-SUMIFS(GAJI!$P$5:$P$124,GAJI!$T$5:$T$124,$B$8,GAJI!$R$5:$R$124,"Dibayar",GAJI!$S$5:$S$124,"&lt;"&amp;DATE(DASHBOARD!$B$4,13,1))-SUMIFS(REIMBURSE!$J$5:$J$124,REIMBURSE!$O$5:$O$124,$B$8,REIMBURSE!$N$5:$N$124,"&lt;"&amp;DATE(DASHBOARD!$B$4,13,1))-SUMIFS(KEWAJIBAN!$F$5:$F$124,KEWAJIBAN!$J$5:$J$124,$B$8,KEWAJIBAN!$I$5:$I$124,"&lt;"&amp;DATE(DASHBOARD!$B$4,13,1))-SUMIFS(PARTNER!$I$5:$I$124,PARTNER!$L$5:$L$124,$B$8,PARTNER!$V$5:$V$124,"&lt;"&amp;DATE(DASHBOARD!$B$4,13,1))+SUMIFS(TRANSFER_KAS!$F$5:$F$204,TRANSFER_KAS!$E$5:$E$204,$B$8,TRANSFER_KAS!$B$5:$B$204,"&lt;"&amp;DATE(DASHBOARD!$B$4,13,1))-SUMIFS(TRANSFER_KAS!$F$5:$F$204,TRANSFER_KAS!$D$5:$D$204,$B$8,TRANSFER_KAS!$B$5:$B$204,"&lt;"&amp;DATE(DASHBOARD!$B$4,13,1))+SUMIFS(REIMBURSE!$J$5:$J$124,REIMBURSE!$C$5:$C$124,$A$8,REIMBURSE!$N$5:$N$124,"&lt;"&amp;DATE(DASHBOARD!$B$4,13,1))+SUMIFS(PARTNER!$I$5:$I$124,PARTNER!$D$5:$D$124,$A$8,PARTNER!$E$5:$E$124,"Pengembalian Talangan",PARTNER!$V$5:$V$124,"&lt;"&amp;DATE(DASHBOARD!$B$4,13,1))),0)))</f>
        <v/>
      </c>
      <c r="N16" s="84">
        <f ca="1">INDEX(B16:M16,1,MASTER!$AF$15)</f>
        <v>0</v>
      </c>
    </row>
    <row r="17" spans="1:14">
      <c r="B17" s="84"/>
      <c r="C17" s="84"/>
      <c r="D17" s="84"/>
      <c r="E17" s="84"/>
      <c r="F17" s="84"/>
      <c r="G17" s="84"/>
      <c r="H17" s="84"/>
      <c r="I17" s="84"/>
      <c r="J17" s="84"/>
      <c r="K17" s="84"/>
      <c r="L17" s="84"/>
      <c r="M17" s="84"/>
      <c r="N17" s="84"/>
    </row>
    <row r="18" spans="1:14">
      <c r="A18" s="65" t="s">
        <v>886</v>
      </c>
      <c r="B18" s="132">
        <f ca="1">IF(1&gt;MASTER!$AF$15,"",SUM(SUM(B14:B16)))</f>
        <v>0</v>
      </c>
      <c r="C18" s="132">
        <f ca="1">IF(2&gt;MASTER!$AF$15,"",SUM(SUM(C14:C16)))</f>
        <v>0</v>
      </c>
      <c r="D18" s="132">
        <f ca="1">IF(3&gt;MASTER!$AF$15,"",SUM(SUM(D14:D16)))</f>
        <v>0</v>
      </c>
      <c r="E18" s="132">
        <f ca="1">IF(4&gt;MASTER!$AF$15,"",SUM(SUM(E14:E16)))</f>
        <v>0</v>
      </c>
      <c r="F18" s="132">
        <f ca="1">IF(5&gt;MASTER!$AF$15,"",SUM(SUM(F14:F16)))</f>
        <v>0</v>
      </c>
      <c r="G18" s="132">
        <f ca="1">IF(6&gt;MASTER!$AF$15,"",SUM(SUM(G14:G16)))</f>
        <v>0</v>
      </c>
      <c r="H18" s="132">
        <f ca="1">IF(7&gt;MASTER!$AF$15,"",SUM(SUM(H14:H16)))</f>
        <v>1000000</v>
      </c>
      <c r="I18" s="132">
        <f ca="1">IF(8&gt;MASTER!$AF$15,"",SUM(SUM(I14:I16)))</f>
        <v>1000000</v>
      </c>
      <c r="J18" s="132" t="str">
        <f ca="1">IF(9&gt;MASTER!$AF$15,"",SUM(SUM(J14:J16)))</f>
        <v/>
      </c>
      <c r="K18" s="132" t="str">
        <f ca="1">IF(10&gt;MASTER!$AF$15,"",SUM(SUM(K14:K16)))</f>
        <v/>
      </c>
      <c r="L18" s="132" t="str">
        <f ca="1">IF(11&gt;MASTER!$AF$15,"",SUM(SUM(L14:L16)))</f>
        <v/>
      </c>
      <c r="M18" s="132" t="str">
        <f ca="1">IF(12&gt;MASTER!$AF$15,"",SUM(SUM(M14:M16)))</f>
        <v/>
      </c>
      <c r="N18" s="132">
        <f ca="1">INDEX(B18:M18,1,MASTER!$AF$15)</f>
        <v>1000000</v>
      </c>
    </row>
    <row r="19" spans="1:14">
      <c r="A19" s="65" t="s">
        <v>887</v>
      </c>
      <c r="B19" s="132">
        <f ca="1">IF(1&gt;MASTER!$AF$15,"",SUM(B18-(MAX(-KAS_BANK!$B$7,0)+MAX(-KAS_BANK!$B$8,0)+MAX(-KAS_BANK!$B$9,0))))</f>
        <v>0</v>
      </c>
      <c r="C19" s="132">
        <f ca="1">IF(2&gt;MASTER!$AF$15,"",SUM(C18-B18))</f>
        <v>0</v>
      </c>
      <c r="D19" s="132">
        <f ca="1">IF(3&gt;MASTER!$AF$15,"",SUM(D18-C18))</f>
        <v>0</v>
      </c>
      <c r="E19" s="132">
        <f ca="1">IF(4&gt;MASTER!$AF$15,"",SUM(E18-D18))</f>
        <v>0</v>
      </c>
      <c r="F19" s="132">
        <f ca="1">IF(5&gt;MASTER!$AF$15,"",SUM(F18-E18))</f>
        <v>0</v>
      </c>
      <c r="G19" s="132">
        <f ca="1">IF(6&gt;MASTER!$AF$15,"",SUM(G18-F18))</f>
        <v>0</v>
      </c>
      <c r="H19" s="132">
        <f ca="1">IF(7&gt;MASTER!$AF$15,"",SUM(H18-G18))</f>
        <v>1000000</v>
      </c>
      <c r="I19" s="132">
        <f ca="1">IF(8&gt;MASTER!$AF$15,"",SUM(I18-H18))</f>
        <v>0</v>
      </c>
      <c r="J19" s="132" t="str">
        <f ca="1">IF(9&gt;MASTER!$AF$15,"",SUM(J18-I18))</f>
        <v/>
      </c>
      <c r="K19" s="132" t="str">
        <f ca="1">IF(10&gt;MASTER!$AF$15,"",SUM(K18-J18))</f>
        <v/>
      </c>
      <c r="L19" s="132" t="str">
        <f ca="1">IF(11&gt;MASTER!$AF$15,"",SUM(L18-K18))</f>
        <v/>
      </c>
      <c r="M19" s="132" t="str">
        <f ca="1">IF(12&gt;MASTER!$AF$15,"",SUM(M18-L18))</f>
        <v/>
      </c>
      <c r="N19" s="132">
        <f ca="1">SUM(B19:M19)</f>
        <v>1000000</v>
      </c>
    </row>
    <row r="22" spans="1:14" ht="14.4">
      <c r="A22" s="397" t="s">
        <v>888</v>
      </c>
      <c r="B22" s="397"/>
      <c r="C22" s="397"/>
      <c r="D22" s="397"/>
      <c r="E22" s="397"/>
      <c r="F22" s="397"/>
      <c r="G22" s="397"/>
      <c r="H22" s="397"/>
      <c r="I22" s="397"/>
      <c r="J22" s="397"/>
      <c r="K22" s="397"/>
      <c r="L22" s="397"/>
      <c r="M22" s="397"/>
      <c r="N22" s="397"/>
    </row>
  </sheetData>
  <mergeCells count="4">
    <mergeCell ref="A1:N2"/>
    <mergeCell ref="A3:N3"/>
    <mergeCell ref="A12:N12"/>
    <mergeCell ref="A22:N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04"/>
  <sheetViews>
    <sheetView showGridLines="0" workbookViewId="0">
      <selection sqref="A1:R2"/>
    </sheetView>
  </sheetViews>
  <sheetFormatPr defaultRowHeight="13.8"/>
  <cols>
    <col min="1" max="1" width="20" customWidth="1"/>
    <col min="4" max="5" width="20" customWidth="1"/>
    <col min="7" max="8" width="20" customWidth="1"/>
    <col min="10" max="11" width="20" customWidth="1"/>
    <col min="13" max="13" width="20" customWidth="1"/>
    <col min="14" max="18" width="21" customWidth="1"/>
  </cols>
  <sheetData>
    <row r="1" spans="1:18">
      <c r="A1" s="283" t="s">
        <v>889</v>
      </c>
      <c r="B1" s="283"/>
      <c r="C1" s="283"/>
      <c r="D1" s="283"/>
      <c r="E1" s="283"/>
      <c r="F1" s="283"/>
      <c r="G1" s="283"/>
      <c r="H1" s="283"/>
      <c r="I1" s="283"/>
      <c r="J1" s="283"/>
      <c r="K1" s="283"/>
      <c r="L1" s="283"/>
      <c r="M1" s="283"/>
      <c r="N1" s="283"/>
      <c r="O1" s="283"/>
      <c r="P1" s="283"/>
      <c r="Q1" s="283"/>
      <c r="R1" s="283"/>
    </row>
    <row r="2" spans="1:18">
      <c r="A2" s="283"/>
      <c r="B2" s="283"/>
      <c r="C2" s="283"/>
      <c r="D2" s="283"/>
      <c r="E2" s="283"/>
      <c r="F2" s="283"/>
      <c r="G2" s="283"/>
      <c r="H2" s="283"/>
      <c r="I2" s="283"/>
      <c r="J2" s="283"/>
      <c r="K2" s="283"/>
      <c r="L2" s="283"/>
      <c r="M2" s="283"/>
      <c r="N2" s="283"/>
      <c r="O2" s="283"/>
      <c r="P2" s="283"/>
      <c r="Q2" s="283"/>
      <c r="R2" s="283"/>
    </row>
    <row r="3" spans="1:18" ht="30" customHeight="1">
      <c r="A3" s="285" t="s">
        <v>890</v>
      </c>
      <c r="B3" s="285"/>
      <c r="C3" s="285"/>
      <c r="D3" s="285"/>
      <c r="E3" s="285"/>
      <c r="F3" s="285"/>
      <c r="G3" s="285"/>
      <c r="H3" s="285"/>
      <c r="I3" s="285"/>
      <c r="J3" s="285"/>
      <c r="K3" s="285"/>
      <c r="L3" s="285"/>
      <c r="M3" s="285"/>
      <c r="N3" s="285"/>
      <c r="O3" s="285"/>
      <c r="P3" s="285"/>
      <c r="Q3" s="285"/>
      <c r="R3" s="285"/>
    </row>
    <row r="4" spans="1:18" ht="34.950000000000003" customHeight="1">
      <c r="A4" s="66" t="s">
        <v>891</v>
      </c>
      <c r="B4" s="66" t="s">
        <v>892</v>
      </c>
      <c r="C4" s="66" t="s">
        <v>84</v>
      </c>
      <c r="D4" s="66" t="s">
        <v>893</v>
      </c>
      <c r="E4" s="66" t="s">
        <v>894</v>
      </c>
      <c r="F4" s="66" t="s">
        <v>895</v>
      </c>
      <c r="G4" s="66" t="s">
        <v>594</v>
      </c>
      <c r="H4" s="66" t="s">
        <v>63</v>
      </c>
      <c r="I4" s="66" t="s">
        <v>896</v>
      </c>
      <c r="J4" s="66" t="s">
        <v>150</v>
      </c>
      <c r="K4" s="66" t="s">
        <v>274</v>
      </c>
      <c r="L4" s="66" t="s">
        <v>79</v>
      </c>
      <c r="M4" s="66" t="s">
        <v>581</v>
      </c>
      <c r="N4" s="101" t="s">
        <v>587</v>
      </c>
      <c r="O4" s="101" t="s">
        <v>589</v>
      </c>
      <c r="P4" s="101" t="s">
        <v>590</v>
      </c>
      <c r="Q4" s="101" t="s">
        <v>591</v>
      </c>
      <c r="R4" s="101" t="s">
        <v>585</v>
      </c>
    </row>
    <row r="5" spans="1:18">
      <c r="A5" s="67" t="str">
        <f t="shared" ref="A5:A36" si="0">IF(B5="","",IFERROR("TRF-"&amp;TEXT(B5,"yyyymmdd")&amp;"-"&amp;TEXT(ROW()-4,"000"),"TANGGAL TIDAK VALID"))</f>
        <v/>
      </c>
      <c r="B5" s="77"/>
      <c r="C5" s="67" t="str">
        <f t="shared" ref="C5:C36" si="1">IF(B5="","",IFERROR(TEXT(B5,"yyyy-mm"),""))</f>
        <v/>
      </c>
      <c r="D5" s="64"/>
      <c r="E5" s="64"/>
      <c r="F5" s="78"/>
      <c r="G5" s="64"/>
      <c r="H5" s="67" t="str">
        <f>IF(G5="","",IFERROR(INDEX(PERKARA!$B$5:$B$104,MATCH(G5,PERKARA!$A$5:$A$104,0)),"ID TIDAK TERDAFTAR"))</f>
        <v/>
      </c>
      <c r="I5" s="64"/>
      <c r="J5" s="64"/>
      <c r="K5" s="64"/>
      <c r="L5" s="64"/>
      <c r="M5" s="67" t="str">
        <f t="shared" ref="M5:M36" si="2">IF(B5="","",IF(OR(D5="",E5=""),"AKUN BELUM LENGKAP",IF(D5=E5,"AKUN ASAL DAN TUJUAN SAMA",IF(F5&lt;=0,"NOMINAL TIDAK VALID",IF(AND(G5&lt;&gt;"",H5="ID TIDAK TERDAFTAR"),"PERKARA TIDAK VALID",IF(R5&lt;&gt;"LENGKAP","TRANSFER BELUM DIOTORISASI","OK"))))))</f>
        <v/>
      </c>
      <c r="N5" s="98"/>
      <c r="O5" s="98"/>
      <c r="P5" s="105"/>
      <c r="Q5" s="98"/>
      <c r="R5" s="104" t="str">
        <f t="shared" ref="R5:R36" si="3">IF(B5="","",IF(N5="Ditolak","DITOLAK",IF(AND(N5="Disetujui",O5&lt;&gt;""),"LENGKAP",IF(N5="Disetujui","NAMA PENYETUJU BELUM DIISI","MENUNGGU PERSETUJUAN MANUAL"))))</f>
        <v/>
      </c>
    </row>
    <row r="6" spans="1:18">
      <c r="A6" s="67" t="str">
        <f t="shared" si="0"/>
        <v/>
      </c>
      <c r="B6" s="77"/>
      <c r="C6" s="67" t="str">
        <f t="shared" si="1"/>
        <v/>
      </c>
      <c r="D6" s="64"/>
      <c r="E6" s="64"/>
      <c r="F6" s="78"/>
      <c r="G6" s="64"/>
      <c r="H6" s="67" t="str">
        <f>IF(G6="","",IFERROR(INDEX(PERKARA!$B$5:$B$104,MATCH(G6,PERKARA!$A$5:$A$104,0)),"ID TIDAK TERDAFTAR"))</f>
        <v/>
      </c>
      <c r="I6" s="64"/>
      <c r="J6" s="64"/>
      <c r="K6" s="64"/>
      <c r="L6" s="64"/>
      <c r="M6" s="67" t="str">
        <f t="shared" si="2"/>
        <v/>
      </c>
      <c r="N6" s="98"/>
      <c r="O6" s="98"/>
      <c r="P6" s="105"/>
      <c r="Q6" s="98"/>
      <c r="R6" s="104" t="str">
        <f t="shared" si="3"/>
        <v/>
      </c>
    </row>
    <row r="7" spans="1:18">
      <c r="A7" s="67" t="str">
        <f t="shared" si="0"/>
        <v/>
      </c>
      <c r="B7" s="77"/>
      <c r="C7" s="67" t="str">
        <f t="shared" si="1"/>
        <v/>
      </c>
      <c r="D7" s="64"/>
      <c r="E7" s="64"/>
      <c r="F7" s="78"/>
      <c r="G7" s="64"/>
      <c r="H7" s="67" t="str">
        <f>IF(G7="","",IFERROR(INDEX(PERKARA!$B$5:$B$104,MATCH(G7,PERKARA!$A$5:$A$104,0)),"ID TIDAK TERDAFTAR"))</f>
        <v/>
      </c>
      <c r="I7" s="64"/>
      <c r="J7" s="64"/>
      <c r="K7" s="64"/>
      <c r="L7" s="64"/>
      <c r="M7" s="67" t="str">
        <f t="shared" si="2"/>
        <v/>
      </c>
      <c r="N7" s="98"/>
      <c r="O7" s="98"/>
      <c r="P7" s="105"/>
      <c r="Q7" s="98"/>
      <c r="R7" s="104" t="str">
        <f t="shared" si="3"/>
        <v/>
      </c>
    </row>
    <row r="8" spans="1:18">
      <c r="A8" s="67" t="str">
        <f t="shared" si="0"/>
        <v/>
      </c>
      <c r="B8" s="77"/>
      <c r="C8" s="67" t="str">
        <f t="shared" si="1"/>
        <v/>
      </c>
      <c r="D8" s="64"/>
      <c r="E8" s="64"/>
      <c r="F8" s="78"/>
      <c r="G8" s="64"/>
      <c r="H8" s="67" t="str">
        <f>IF(G8="","",IFERROR(INDEX(PERKARA!$B$5:$B$104,MATCH(G8,PERKARA!$A$5:$A$104,0)),"ID TIDAK TERDAFTAR"))</f>
        <v/>
      </c>
      <c r="I8" s="64"/>
      <c r="J8" s="64"/>
      <c r="K8" s="64"/>
      <c r="L8" s="64"/>
      <c r="M8" s="67" t="str">
        <f t="shared" si="2"/>
        <v/>
      </c>
      <c r="N8" s="98"/>
      <c r="O8" s="98"/>
      <c r="P8" s="105"/>
      <c r="Q8" s="98"/>
      <c r="R8" s="104" t="str">
        <f t="shared" si="3"/>
        <v/>
      </c>
    </row>
    <row r="9" spans="1:18">
      <c r="A9" s="67" t="str">
        <f t="shared" si="0"/>
        <v/>
      </c>
      <c r="B9" s="77"/>
      <c r="C9" s="67" t="str">
        <f t="shared" si="1"/>
        <v/>
      </c>
      <c r="D9" s="64"/>
      <c r="E9" s="64"/>
      <c r="F9" s="78"/>
      <c r="G9" s="64"/>
      <c r="H9" s="67" t="str">
        <f>IF(G9="","",IFERROR(INDEX(PERKARA!$B$5:$B$104,MATCH(G9,PERKARA!$A$5:$A$104,0)),"ID TIDAK TERDAFTAR"))</f>
        <v/>
      </c>
      <c r="I9" s="64"/>
      <c r="J9" s="64"/>
      <c r="K9" s="64"/>
      <c r="L9" s="64"/>
      <c r="M9" s="67" t="str">
        <f t="shared" si="2"/>
        <v/>
      </c>
      <c r="N9" s="98"/>
      <c r="O9" s="98"/>
      <c r="P9" s="105"/>
      <c r="Q9" s="98"/>
      <c r="R9" s="104" t="str">
        <f t="shared" si="3"/>
        <v/>
      </c>
    </row>
    <row r="10" spans="1:18">
      <c r="A10" s="67" t="str">
        <f t="shared" si="0"/>
        <v/>
      </c>
      <c r="B10" s="77"/>
      <c r="C10" s="67" t="str">
        <f t="shared" si="1"/>
        <v/>
      </c>
      <c r="D10" s="64"/>
      <c r="E10" s="64"/>
      <c r="F10" s="78"/>
      <c r="G10" s="64"/>
      <c r="H10" s="67" t="str">
        <f>IF(G10="","",IFERROR(INDEX(PERKARA!$B$5:$B$104,MATCH(G10,PERKARA!$A$5:$A$104,0)),"ID TIDAK TERDAFTAR"))</f>
        <v/>
      </c>
      <c r="I10" s="64"/>
      <c r="J10" s="64"/>
      <c r="K10" s="64"/>
      <c r="L10" s="64"/>
      <c r="M10" s="67" t="str">
        <f t="shared" si="2"/>
        <v/>
      </c>
      <c r="N10" s="98"/>
      <c r="O10" s="98"/>
      <c r="P10" s="105"/>
      <c r="Q10" s="98"/>
      <c r="R10" s="104" t="str">
        <f t="shared" si="3"/>
        <v/>
      </c>
    </row>
    <row r="11" spans="1:18">
      <c r="A11" s="67" t="str">
        <f t="shared" si="0"/>
        <v/>
      </c>
      <c r="B11" s="77"/>
      <c r="C11" s="67" t="str">
        <f t="shared" si="1"/>
        <v/>
      </c>
      <c r="D11" s="64"/>
      <c r="E11" s="64"/>
      <c r="F11" s="78"/>
      <c r="G11" s="64"/>
      <c r="H11" s="67" t="str">
        <f>IF(G11="","",IFERROR(INDEX(PERKARA!$B$5:$B$104,MATCH(G11,PERKARA!$A$5:$A$104,0)),"ID TIDAK TERDAFTAR"))</f>
        <v/>
      </c>
      <c r="I11" s="64"/>
      <c r="J11" s="64"/>
      <c r="K11" s="64"/>
      <c r="L11" s="64"/>
      <c r="M11" s="67" t="str">
        <f t="shared" si="2"/>
        <v/>
      </c>
      <c r="N11" s="98"/>
      <c r="O11" s="98"/>
      <c r="P11" s="105"/>
      <c r="Q11" s="98"/>
      <c r="R11" s="104" t="str">
        <f t="shared" si="3"/>
        <v/>
      </c>
    </row>
    <row r="12" spans="1:18">
      <c r="A12" s="67" t="str">
        <f t="shared" si="0"/>
        <v/>
      </c>
      <c r="B12" s="77"/>
      <c r="C12" s="67" t="str">
        <f t="shared" si="1"/>
        <v/>
      </c>
      <c r="D12" s="64"/>
      <c r="E12" s="64"/>
      <c r="F12" s="78"/>
      <c r="G12" s="64"/>
      <c r="H12" s="67" t="str">
        <f>IF(G12="","",IFERROR(INDEX(PERKARA!$B$5:$B$104,MATCH(G12,PERKARA!$A$5:$A$104,0)),"ID TIDAK TERDAFTAR"))</f>
        <v/>
      </c>
      <c r="I12" s="64"/>
      <c r="J12" s="64"/>
      <c r="K12" s="64"/>
      <c r="L12" s="64"/>
      <c r="M12" s="67" t="str">
        <f t="shared" si="2"/>
        <v/>
      </c>
      <c r="N12" s="98"/>
      <c r="O12" s="98"/>
      <c r="P12" s="105"/>
      <c r="Q12" s="98"/>
      <c r="R12" s="104" t="str">
        <f t="shared" si="3"/>
        <v/>
      </c>
    </row>
    <row r="13" spans="1:18">
      <c r="A13" s="67" t="str">
        <f t="shared" si="0"/>
        <v/>
      </c>
      <c r="B13" s="77"/>
      <c r="C13" s="67" t="str">
        <f t="shared" si="1"/>
        <v/>
      </c>
      <c r="D13" s="64"/>
      <c r="E13" s="64"/>
      <c r="F13" s="78"/>
      <c r="G13" s="64"/>
      <c r="H13" s="67" t="str">
        <f>IF(G13="","",IFERROR(INDEX(PERKARA!$B$5:$B$104,MATCH(G13,PERKARA!$A$5:$A$104,0)),"ID TIDAK TERDAFTAR"))</f>
        <v/>
      </c>
      <c r="I13" s="64"/>
      <c r="J13" s="64"/>
      <c r="K13" s="64"/>
      <c r="L13" s="64"/>
      <c r="M13" s="67" t="str">
        <f t="shared" si="2"/>
        <v/>
      </c>
      <c r="N13" s="98"/>
      <c r="O13" s="98"/>
      <c r="P13" s="105"/>
      <c r="Q13" s="98"/>
      <c r="R13" s="104" t="str">
        <f t="shared" si="3"/>
        <v/>
      </c>
    </row>
    <row r="14" spans="1:18">
      <c r="A14" s="67" t="str">
        <f t="shared" si="0"/>
        <v/>
      </c>
      <c r="B14" s="77"/>
      <c r="C14" s="67" t="str">
        <f t="shared" si="1"/>
        <v/>
      </c>
      <c r="D14" s="64"/>
      <c r="E14" s="64"/>
      <c r="F14" s="78"/>
      <c r="G14" s="64"/>
      <c r="H14" s="67" t="str">
        <f>IF(G14="","",IFERROR(INDEX(PERKARA!$B$5:$B$104,MATCH(G14,PERKARA!$A$5:$A$104,0)),"ID TIDAK TERDAFTAR"))</f>
        <v/>
      </c>
      <c r="I14" s="64"/>
      <c r="J14" s="64"/>
      <c r="K14" s="64"/>
      <c r="L14" s="64"/>
      <c r="M14" s="67" t="str">
        <f t="shared" si="2"/>
        <v/>
      </c>
      <c r="N14" s="98"/>
      <c r="O14" s="98"/>
      <c r="P14" s="105"/>
      <c r="Q14" s="98"/>
      <c r="R14" s="104" t="str">
        <f t="shared" si="3"/>
        <v/>
      </c>
    </row>
    <row r="15" spans="1:18">
      <c r="A15" s="67" t="str">
        <f t="shared" si="0"/>
        <v/>
      </c>
      <c r="B15" s="77"/>
      <c r="C15" s="67" t="str">
        <f t="shared" si="1"/>
        <v/>
      </c>
      <c r="D15" s="64"/>
      <c r="E15" s="64"/>
      <c r="F15" s="78"/>
      <c r="G15" s="64"/>
      <c r="H15" s="67" t="str">
        <f>IF(G15="","",IFERROR(INDEX(PERKARA!$B$5:$B$104,MATCH(G15,PERKARA!$A$5:$A$104,0)),"ID TIDAK TERDAFTAR"))</f>
        <v/>
      </c>
      <c r="I15" s="64"/>
      <c r="J15" s="64"/>
      <c r="K15" s="64"/>
      <c r="L15" s="64"/>
      <c r="M15" s="67" t="str">
        <f t="shared" si="2"/>
        <v/>
      </c>
      <c r="N15" s="98"/>
      <c r="O15" s="98"/>
      <c r="P15" s="105"/>
      <c r="Q15" s="98"/>
      <c r="R15" s="104" t="str">
        <f t="shared" si="3"/>
        <v/>
      </c>
    </row>
    <row r="16" spans="1:18">
      <c r="A16" s="67" t="str">
        <f t="shared" si="0"/>
        <v/>
      </c>
      <c r="B16" s="77"/>
      <c r="C16" s="67" t="str">
        <f t="shared" si="1"/>
        <v/>
      </c>
      <c r="D16" s="64"/>
      <c r="E16" s="64"/>
      <c r="F16" s="78"/>
      <c r="G16" s="64"/>
      <c r="H16" s="67" t="str">
        <f>IF(G16="","",IFERROR(INDEX(PERKARA!$B$5:$B$104,MATCH(G16,PERKARA!$A$5:$A$104,0)),"ID TIDAK TERDAFTAR"))</f>
        <v/>
      </c>
      <c r="I16" s="64"/>
      <c r="J16" s="64"/>
      <c r="K16" s="64"/>
      <c r="L16" s="64"/>
      <c r="M16" s="67" t="str">
        <f t="shared" si="2"/>
        <v/>
      </c>
      <c r="N16" s="98"/>
      <c r="O16" s="98"/>
      <c r="P16" s="105"/>
      <c r="Q16" s="98"/>
      <c r="R16" s="104" t="str">
        <f t="shared" si="3"/>
        <v/>
      </c>
    </row>
    <row r="17" spans="1:18">
      <c r="A17" s="67" t="str">
        <f t="shared" si="0"/>
        <v/>
      </c>
      <c r="B17" s="77"/>
      <c r="C17" s="67" t="str">
        <f t="shared" si="1"/>
        <v/>
      </c>
      <c r="D17" s="64"/>
      <c r="E17" s="64"/>
      <c r="F17" s="78"/>
      <c r="G17" s="64"/>
      <c r="H17" s="67" t="str">
        <f>IF(G17="","",IFERROR(INDEX(PERKARA!$B$5:$B$104,MATCH(G17,PERKARA!$A$5:$A$104,0)),"ID TIDAK TERDAFTAR"))</f>
        <v/>
      </c>
      <c r="I17" s="64"/>
      <c r="J17" s="64"/>
      <c r="K17" s="64"/>
      <c r="L17" s="64"/>
      <c r="M17" s="67" t="str">
        <f t="shared" si="2"/>
        <v/>
      </c>
      <c r="N17" s="98"/>
      <c r="O17" s="98"/>
      <c r="P17" s="105"/>
      <c r="Q17" s="98"/>
      <c r="R17" s="104" t="str">
        <f t="shared" si="3"/>
        <v/>
      </c>
    </row>
    <row r="18" spans="1:18">
      <c r="A18" s="67" t="str">
        <f t="shared" si="0"/>
        <v/>
      </c>
      <c r="B18" s="77"/>
      <c r="C18" s="67" t="str">
        <f t="shared" si="1"/>
        <v/>
      </c>
      <c r="D18" s="64"/>
      <c r="E18" s="64"/>
      <c r="F18" s="78"/>
      <c r="G18" s="64"/>
      <c r="H18" s="67" t="str">
        <f>IF(G18="","",IFERROR(INDEX(PERKARA!$B$5:$B$104,MATCH(G18,PERKARA!$A$5:$A$104,0)),"ID TIDAK TERDAFTAR"))</f>
        <v/>
      </c>
      <c r="I18" s="64"/>
      <c r="J18" s="64"/>
      <c r="K18" s="64"/>
      <c r="L18" s="64"/>
      <c r="M18" s="67" t="str">
        <f t="shared" si="2"/>
        <v/>
      </c>
      <c r="N18" s="98"/>
      <c r="O18" s="98"/>
      <c r="P18" s="105"/>
      <c r="Q18" s="98"/>
      <c r="R18" s="104" t="str">
        <f t="shared" si="3"/>
        <v/>
      </c>
    </row>
    <row r="19" spans="1:18">
      <c r="A19" s="67" t="str">
        <f t="shared" si="0"/>
        <v/>
      </c>
      <c r="B19" s="77"/>
      <c r="C19" s="67" t="str">
        <f t="shared" si="1"/>
        <v/>
      </c>
      <c r="D19" s="64"/>
      <c r="E19" s="64"/>
      <c r="F19" s="78"/>
      <c r="G19" s="64"/>
      <c r="H19" s="67" t="str">
        <f>IF(G19="","",IFERROR(INDEX(PERKARA!$B$5:$B$104,MATCH(G19,PERKARA!$A$5:$A$104,0)),"ID TIDAK TERDAFTAR"))</f>
        <v/>
      </c>
      <c r="I19" s="64"/>
      <c r="J19" s="64"/>
      <c r="K19" s="64"/>
      <c r="L19" s="64"/>
      <c r="M19" s="67" t="str">
        <f t="shared" si="2"/>
        <v/>
      </c>
      <c r="N19" s="98"/>
      <c r="O19" s="98"/>
      <c r="P19" s="105"/>
      <c r="Q19" s="98"/>
      <c r="R19" s="104" t="str">
        <f t="shared" si="3"/>
        <v/>
      </c>
    </row>
    <row r="20" spans="1:18">
      <c r="A20" s="67" t="str">
        <f t="shared" si="0"/>
        <v/>
      </c>
      <c r="B20" s="77"/>
      <c r="C20" s="67" t="str">
        <f t="shared" si="1"/>
        <v/>
      </c>
      <c r="D20" s="64"/>
      <c r="E20" s="64"/>
      <c r="F20" s="78"/>
      <c r="G20" s="64"/>
      <c r="H20" s="67" t="str">
        <f>IF(G20="","",IFERROR(INDEX(PERKARA!$B$5:$B$104,MATCH(G20,PERKARA!$A$5:$A$104,0)),"ID TIDAK TERDAFTAR"))</f>
        <v/>
      </c>
      <c r="I20" s="64"/>
      <c r="J20" s="64"/>
      <c r="K20" s="64"/>
      <c r="L20" s="64"/>
      <c r="M20" s="67" t="str">
        <f t="shared" si="2"/>
        <v/>
      </c>
      <c r="N20" s="98"/>
      <c r="O20" s="98"/>
      <c r="P20" s="105"/>
      <c r="Q20" s="98"/>
      <c r="R20" s="104" t="str">
        <f t="shared" si="3"/>
        <v/>
      </c>
    </row>
    <row r="21" spans="1:18">
      <c r="A21" s="67" t="str">
        <f t="shared" si="0"/>
        <v/>
      </c>
      <c r="B21" s="77"/>
      <c r="C21" s="67" t="str">
        <f t="shared" si="1"/>
        <v/>
      </c>
      <c r="D21" s="64"/>
      <c r="E21" s="64"/>
      <c r="F21" s="78"/>
      <c r="G21" s="64"/>
      <c r="H21" s="67" t="str">
        <f>IF(G21="","",IFERROR(INDEX(PERKARA!$B$5:$B$104,MATCH(G21,PERKARA!$A$5:$A$104,0)),"ID TIDAK TERDAFTAR"))</f>
        <v/>
      </c>
      <c r="I21" s="64"/>
      <c r="J21" s="64"/>
      <c r="K21" s="64"/>
      <c r="L21" s="64"/>
      <c r="M21" s="67" t="str">
        <f t="shared" si="2"/>
        <v/>
      </c>
      <c r="N21" s="98"/>
      <c r="O21" s="98"/>
      <c r="P21" s="105"/>
      <c r="Q21" s="98"/>
      <c r="R21" s="104" t="str">
        <f t="shared" si="3"/>
        <v/>
      </c>
    </row>
    <row r="22" spans="1:18">
      <c r="A22" s="67" t="str">
        <f t="shared" si="0"/>
        <v/>
      </c>
      <c r="B22" s="77"/>
      <c r="C22" s="67" t="str">
        <f t="shared" si="1"/>
        <v/>
      </c>
      <c r="D22" s="64"/>
      <c r="E22" s="64"/>
      <c r="F22" s="78"/>
      <c r="G22" s="64"/>
      <c r="H22" s="67" t="str">
        <f>IF(G22="","",IFERROR(INDEX(PERKARA!$B$5:$B$104,MATCH(G22,PERKARA!$A$5:$A$104,0)),"ID TIDAK TERDAFTAR"))</f>
        <v/>
      </c>
      <c r="I22" s="64"/>
      <c r="J22" s="64"/>
      <c r="K22" s="64"/>
      <c r="L22" s="64"/>
      <c r="M22" s="67" t="str">
        <f t="shared" si="2"/>
        <v/>
      </c>
      <c r="N22" s="98"/>
      <c r="O22" s="98"/>
      <c r="P22" s="105"/>
      <c r="Q22" s="98"/>
      <c r="R22" s="104" t="str">
        <f t="shared" si="3"/>
        <v/>
      </c>
    </row>
    <row r="23" spans="1:18">
      <c r="A23" s="67" t="str">
        <f t="shared" si="0"/>
        <v/>
      </c>
      <c r="B23" s="77"/>
      <c r="C23" s="67" t="str">
        <f t="shared" si="1"/>
        <v/>
      </c>
      <c r="D23" s="64"/>
      <c r="E23" s="64"/>
      <c r="F23" s="78"/>
      <c r="G23" s="64"/>
      <c r="H23" s="67" t="str">
        <f>IF(G23="","",IFERROR(INDEX(PERKARA!$B$5:$B$104,MATCH(G23,PERKARA!$A$5:$A$104,0)),"ID TIDAK TERDAFTAR"))</f>
        <v/>
      </c>
      <c r="I23" s="64"/>
      <c r="J23" s="64"/>
      <c r="K23" s="64"/>
      <c r="L23" s="64"/>
      <c r="M23" s="67" t="str">
        <f t="shared" si="2"/>
        <v/>
      </c>
      <c r="N23" s="98"/>
      <c r="O23" s="98"/>
      <c r="P23" s="105"/>
      <c r="Q23" s="98"/>
      <c r="R23" s="104" t="str">
        <f t="shared" si="3"/>
        <v/>
      </c>
    </row>
    <row r="24" spans="1:18">
      <c r="A24" s="67" t="str">
        <f t="shared" si="0"/>
        <v/>
      </c>
      <c r="B24" s="77"/>
      <c r="C24" s="67" t="str">
        <f t="shared" si="1"/>
        <v/>
      </c>
      <c r="D24" s="64"/>
      <c r="E24" s="64"/>
      <c r="F24" s="78"/>
      <c r="G24" s="64"/>
      <c r="H24" s="67" t="str">
        <f>IF(G24="","",IFERROR(INDEX(PERKARA!$B$5:$B$104,MATCH(G24,PERKARA!$A$5:$A$104,0)),"ID TIDAK TERDAFTAR"))</f>
        <v/>
      </c>
      <c r="I24" s="64"/>
      <c r="J24" s="64"/>
      <c r="K24" s="64"/>
      <c r="L24" s="64"/>
      <c r="M24" s="67" t="str">
        <f t="shared" si="2"/>
        <v/>
      </c>
      <c r="N24" s="98"/>
      <c r="O24" s="98"/>
      <c r="P24" s="105"/>
      <c r="Q24" s="98"/>
      <c r="R24" s="104" t="str">
        <f t="shared" si="3"/>
        <v/>
      </c>
    </row>
    <row r="25" spans="1:18">
      <c r="A25" s="67" t="str">
        <f t="shared" si="0"/>
        <v/>
      </c>
      <c r="B25" s="77"/>
      <c r="C25" s="67" t="str">
        <f t="shared" si="1"/>
        <v/>
      </c>
      <c r="D25" s="64"/>
      <c r="E25" s="64"/>
      <c r="F25" s="78"/>
      <c r="G25" s="64"/>
      <c r="H25" s="67" t="str">
        <f>IF(G25="","",IFERROR(INDEX(PERKARA!$B$5:$B$104,MATCH(G25,PERKARA!$A$5:$A$104,0)),"ID TIDAK TERDAFTAR"))</f>
        <v/>
      </c>
      <c r="I25" s="64"/>
      <c r="J25" s="64"/>
      <c r="K25" s="64"/>
      <c r="L25" s="64"/>
      <c r="M25" s="67" t="str">
        <f t="shared" si="2"/>
        <v/>
      </c>
      <c r="N25" s="98"/>
      <c r="O25" s="98"/>
      <c r="P25" s="105"/>
      <c r="Q25" s="98"/>
      <c r="R25" s="104" t="str">
        <f t="shared" si="3"/>
        <v/>
      </c>
    </row>
    <row r="26" spans="1:18">
      <c r="A26" s="67" t="str">
        <f t="shared" si="0"/>
        <v/>
      </c>
      <c r="B26" s="77"/>
      <c r="C26" s="67" t="str">
        <f t="shared" si="1"/>
        <v/>
      </c>
      <c r="D26" s="64"/>
      <c r="E26" s="64"/>
      <c r="F26" s="78"/>
      <c r="G26" s="64"/>
      <c r="H26" s="67" t="str">
        <f>IF(G26="","",IFERROR(INDEX(PERKARA!$B$5:$B$104,MATCH(G26,PERKARA!$A$5:$A$104,0)),"ID TIDAK TERDAFTAR"))</f>
        <v/>
      </c>
      <c r="I26" s="64"/>
      <c r="J26" s="64"/>
      <c r="K26" s="64"/>
      <c r="L26" s="64"/>
      <c r="M26" s="67" t="str">
        <f t="shared" si="2"/>
        <v/>
      </c>
      <c r="N26" s="98"/>
      <c r="O26" s="98"/>
      <c r="P26" s="105"/>
      <c r="Q26" s="98"/>
      <c r="R26" s="104" t="str">
        <f t="shared" si="3"/>
        <v/>
      </c>
    </row>
    <row r="27" spans="1:18">
      <c r="A27" s="67" t="str">
        <f t="shared" si="0"/>
        <v/>
      </c>
      <c r="B27" s="77"/>
      <c r="C27" s="67" t="str">
        <f t="shared" si="1"/>
        <v/>
      </c>
      <c r="D27" s="64"/>
      <c r="E27" s="64"/>
      <c r="F27" s="78"/>
      <c r="G27" s="64"/>
      <c r="H27" s="67" t="str">
        <f>IF(G27="","",IFERROR(INDEX(PERKARA!$B$5:$B$104,MATCH(G27,PERKARA!$A$5:$A$104,0)),"ID TIDAK TERDAFTAR"))</f>
        <v/>
      </c>
      <c r="I27" s="64"/>
      <c r="J27" s="64"/>
      <c r="K27" s="64"/>
      <c r="L27" s="64"/>
      <c r="M27" s="67" t="str">
        <f t="shared" si="2"/>
        <v/>
      </c>
      <c r="N27" s="98"/>
      <c r="O27" s="98"/>
      <c r="P27" s="105"/>
      <c r="Q27" s="98"/>
      <c r="R27" s="104" t="str">
        <f t="shared" si="3"/>
        <v/>
      </c>
    </row>
    <row r="28" spans="1:18">
      <c r="A28" s="67" t="str">
        <f t="shared" si="0"/>
        <v/>
      </c>
      <c r="B28" s="77"/>
      <c r="C28" s="67" t="str">
        <f t="shared" si="1"/>
        <v/>
      </c>
      <c r="D28" s="64"/>
      <c r="E28" s="64"/>
      <c r="F28" s="78"/>
      <c r="G28" s="64"/>
      <c r="H28" s="67" t="str">
        <f>IF(G28="","",IFERROR(INDEX(PERKARA!$B$5:$B$104,MATCH(G28,PERKARA!$A$5:$A$104,0)),"ID TIDAK TERDAFTAR"))</f>
        <v/>
      </c>
      <c r="I28" s="64"/>
      <c r="J28" s="64"/>
      <c r="K28" s="64"/>
      <c r="L28" s="64"/>
      <c r="M28" s="67" t="str">
        <f t="shared" si="2"/>
        <v/>
      </c>
      <c r="N28" s="98"/>
      <c r="O28" s="98"/>
      <c r="P28" s="105"/>
      <c r="Q28" s="98"/>
      <c r="R28" s="104" t="str">
        <f t="shared" si="3"/>
        <v/>
      </c>
    </row>
    <row r="29" spans="1:18">
      <c r="A29" s="67" t="str">
        <f t="shared" si="0"/>
        <v/>
      </c>
      <c r="B29" s="77"/>
      <c r="C29" s="67" t="str">
        <f t="shared" si="1"/>
        <v/>
      </c>
      <c r="D29" s="64"/>
      <c r="E29" s="64"/>
      <c r="F29" s="78"/>
      <c r="G29" s="64"/>
      <c r="H29" s="67" t="str">
        <f>IF(G29="","",IFERROR(INDEX(PERKARA!$B$5:$B$104,MATCH(G29,PERKARA!$A$5:$A$104,0)),"ID TIDAK TERDAFTAR"))</f>
        <v/>
      </c>
      <c r="I29" s="64"/>
      <c r="J29" s="64"/>
      <c r="K29" s="64"/>
      <c r="L29" s="64"/>
      <c r="M29" s="67" t="str">
        <f t="shared" si="2"/>
        <v/>
      </c>
      <c r="N29" s="98"/>
      <c r="O29" s="98"/>
      <c r="P29" s="105"/>
      <c r="Q29" s="98"/>
      <c r="R29" s="104" t="str">
        <f t="shared" si="3"/>
        <v/>
      </c>
    </row>
    <row r="30" spans="1:18">
      <c r="A30" s="67" t="str">
        <f t="shared" si="0"/>
        <v/>
      </c>
      <c r="B30" s="77"/>
      <c r="C30" s="67" t="str">
        <f t="shared" si="1"/>
        <v/>
      </c>
      <c r="D30" s="64"/>
      <c r="E30" s="64"/>
      <c r="F30" s="78"/>
      <c r="G30" s="64"/>
      <c r="H30" s="67" t="str">
        <f>IF(G30="","",IFERROR(INDEX(PERKARA!$B$5:$B$104,MATCH(G30,PERKARA!$A$5:$A$104,0)),"ID TIDAK TERDAFTAR"))</f>
        <v/>
      </c>
      <c r="I30" s="64"/>
      <c r="J30" s="64"/>
      <c r="K30" s="64"/>
      <c r="L30" s="64"/>
      <c r="M30" s="67" t="str">
        <f t="shared" si="2"/>
        <v/>
      </c>
      <c r="N30" s="98"/>
      <c r="O30" s="98"/>
      <c r="P30" s="105"/>
      <c r="Q30" s="98"/>
      <c r="R30" s="104" t="str">
        <f t="shared" si="3"/>
        <v/>
      </c>
    </row>
    <row r="31" spans="1:18">
      <c r="A31" s="67" t="str">
        <f t="shared" si="0"/>
        <v/>
      </c>
      <c r="B31" s="77"/>
      <c r="C31" s="67" t="str">
        <f t="shared" si="1"/>
        <v/>
      </c>
      <c r="D31" s="64"/>
      <c r="E31" s="64"/>
      <c r="F31" s="78"/>
      <c r="G31" s="64"/>
      <c r="H31" s="67" t="str">
        <f>IF(G31="","",IFERROR(INDEX(PERKARA!$B$5:$B$104,MATCH(G31,PERKARA!$A$5:$A$104,0)),"ID TIDAK TERDAFTAR"))</f>
        <v/>
      </c>
      <c r="I31" s="64"/>
      <c r="J31" s="64"/>
      <c r="K31" s="64"/>
      <c r="L31" s="64"/>
      <c r="M31" s="67" t="str">
        <f t="shared" si="2"/>
        <v/>
      </c>
      <c r="N31" s="98"/>
      <c r="O31" s="98"/>
      <c r="P31" s="105"/>
      <c r="Q31" s="98"/>
      <c r="R31" s="104" t="str">
        <f t="shared" si="3"/>
        <v/>
      </c>
    </row>
    <row r="32" spans="1:18">
      <c r="A32" s="67" t="str">
        <f t="shared" si="0"/>
        <v/>
      </c>
      <c r="B32" s="77"/>
      <c r="C32" s="67" t="str">
        <f t="shared" si="1"/>
        <v/>
      </c>
      <c r="D32" s="64"/>
      <c r="E32" s="64"/>
      <c r="F32" s="78"/>
      <c r="G32" s="64"/>
      <c r="H32" s="67" t="str">
        <f>IF(G32="","",IFERROR(INDEX(PERKARA!$B$5:$B$104,MATCH(G32,PERKARA!$A$5:$A$104,0)),"ID TIDAK TERDAFTAR"))</f>
        <v/>
      </c>
      <c r="I32" s="64"/>
      <c r="J32" s="64"/>
      <c r="K32" s="64"/>
      <c r="L32" s="64"/>
      <c r="M32" s="67" t="str">
        <f t="shared" si="2"/>
        <v/>
      </c>
      <c r="N32" s="98"/>
      <c r="O32" s="98"/>
      <c r="P32" s="105"/>
      <c r="Q32" s="98"/>
      <c r="R32" s="104" t="str">
        <f t="shared" si="3"/>
        <v/>
      </c>
    </row>
    <row r="33" spans="1:18">
      <c r="A33" s="67" t="str">
        <f t="shared" si="0"/>
        <v/>
      </c>
      <c r="B33" s="77"/>
      <c r="C33" s="67" t="str">
        <f t="shared" si="1"/>
        <v/>
      </c>
      <c r="D33" s="64"/>
      <c r="E33" s="64"/>
      <c r="F33" s="78"/>
      <c r="G33" s="64"/>
      <c r="H33" s="67" t="str">
        <f>IF(G33="","",IFERROR(INDEX(PERKARA!$B$5:$B$104,MATCH(G33,PERKARA!$A$5:$A$104,0)),"ID TIDAK TERDAFTAR"))</f>
        <v/>
      </c>
      <c r="I33" s="64"/>
      <c r="J33" s="64"/>
      <c r="K33" s="64"/>
      <c r="L33" s="64"/>
      <c r="M33" s="67" t="str">
        <f t="shared" si="2"/>
        <v/>
      </c>
      <c r="N33" s="98"/>
      <c r="O33" s="98"/>
      <c r="P33" s="105"/>
      <c r="Q33" s="98"/>
      <c r="R33" s="104" t="str">
        <f t="shared" si="3"/>
        <v/>
      </c>
    </row>
    <row r="34" spans="1:18">
      <c r="A34" s="67" t="str">
        <f t="shared" si="0"/>
        <v/>
      </c>
      <c r="B34" s="77"/>
      <c r="C34" s="67" t="str">
        <f t="shared" si="1"/>
        <v/>
      </c>
      <c r="D34" s="64"/>
      <c r="E34" s="64"/>
      <c r="F34" s="78"/>
      <c r="G34" s="64"/>
      <c r="H34" s="67" t="str">
        <f>IF(G34="","",IFERROR(INDEX(PERKARA!$B$5:$B$104,MATCH(G34,PERKARA!$A$5:$A$104,0)),"ID TIDAK TERDAFTAR"))</f>
        <v/>
      </c>
      <c r="I34" s="64"/>
      <c r="J34" s="64"/>
      <c r="K34" s="64"/>
      <c r="L34" s="64"/>
      <c r="M34" s="67" t="str">
        <f t="shared" si="2"/>
        <v/>
      </c>
      <c r="N34" s="98"/>
      <c r="O34" s="98"/>
      <c r="P34" s="105"/>
      <c r="Q34" s="98"/>
      <c r="R34" s="104" t="str">
        <f t="shared" si="3"/>
        <v/>
      </c>
    </row>
    <row r="35" spans="1:18">
      <c r="A35" s="67" t="str">
        <f t="shared" si="0"/>
        <v/>
      </c>
      <c r="B35" s="77"/>
      <c r="C35" s="67" t="str">
        <f t="shared" si="1"/>
        <v/>
      </c>
      <c r="D35" s="64"/>
      <c r="E35" s="64"/>
      <c r="F35" s="78"/>
      <c r="G35" s="64"/>
      <c r="H35" s="67" t="str">
        <f>IF(G35="","",IFERROR(INDEX(PERKARA!$B$5:$B$104,MATCH(G35,PERKARA!$A$5:$A$104,0)),"ID TIDAK TERDAFTAR"))</f>
        <v/>
      </c>
      <c r="I35" s="64"/>
      <c r="J35" s="64"/>
      <c r="K35" s="64"/>
      <c r="L35" s="64"/>
      <c r="M35" s="67" t="str">
        <f t="shared" si="2"/>
        <v/>
      </c>
      <c r="N35" s="98"/>
      <c r="O35" s="98"/>
      <c r="P35" s="105"/>
      <c r="Q35" s="98"/>
      <c r="R35" s="104" t="str">
        <f t="shared" si="3"/>
        <v/>
      </c>
    </row>
    <row r="36" spans="1:18">
      <c r="A36" s="67" t="str">
        <f t="shared" si="0"/>
        <v/>
      </c>
      <c r="B36" s="77"/>
      <c r="C36" s="67" t="str">
        <f t="shared" si="1"/>
        <v/>
      </c>
      <c r="D36" s="64"/>
      <c r="E36" s="64"/>
      <c r="F36" s="78"/>
      <c r="G36" s="64"/>
      <c r="H36" s="67" t="str">
        <f>IF(G36="","",IFERROR(INDEX(PERKARA!$B$5:$B$104,MATCH(G36,PERKARA!$A$5:$A$104,0)),"ID TIDAK TERDAFTAR"))</f>
        <v/>
      </c>
      <c r="I36" s="64"/>
      <c r="J36" s="64"/>
      <c r="K36" s="64"/>
      <c r="L36" s="64"/>
      <c r="M36" s="67" t="str">
        <f t="shared" si="2"/>
        <v/>
      </c>
      <c r="N36" s="98"/>
      <c r="O36" s="98"/>
      <c r="P36" s="105"/>
      <c r="Q36" s="98"/>
      <c r="R36" s="104" t="str">
        <f t="shared" si="3"/>
        <v/>
      </c>
    </row>
    <row r="37" spans="1:18">
      <c r="A37" s="67" t="str">
        <f t="shared" ref="A37:A68" si="4">IF(B37="","",IFERROR("TRF-"&amp;TEXT(B37,"yyyymmdd")&amp;"-"&amp;TEXT(ROW()-4,"000"),"TANGGAL TIDAK VALID"))</f>
        <v/>
      </c>
      <c r="B37" s="77"/>
      <c r="C37" s="67" t="str">
        <f t="shared" ref="C37:C68" si="5">IF(B37="","",IFERROR(TEXT(B37,"yyyy-mm"),""))</f>
        <v/>
      </c>
      <c r="D37" s="64"/>
      <c r="E37" s="64"/>
      <c r="F37" s="78"/>
      <c r="G37" s="64"/>
      <c r="H37" s="67" t="str">
        <f>IF(G37="","",IFERROR(INDEX(PERKARA!$B$5:$B$104,MATCH(G37,PERKARA!$A$5:$A$104,0)),"ID TIDAK TERDAFTAR"))</f>
        <v/>
      </c>
      <c r="I37" s="64"/>
      <c r="J37" s="64"/>
      <c r="K37" s="64"/>
      <c r="L37" s="64"/>
      <c r="M37" s="67" t="str">
        <f t="shared" ref="M37:M68" si="6">IF(B37="","",IF(OR(D37="",E37=""),"AKUN BELUM LENGKAP",IF(D37=E37,"AKUN ASAL DAN TUJUAN SAMA",IF(F37&lt;=0,"NOMINAL TIDAK VALID",IF(AND(G37&lt;&gt;"",H37="ID TIDAK TERDAFTAR"),"PERKARA TIDAK VALID",IF(R37&lt;&gt;"LENGKAP","TRANSFER BELUM DIOTORISASI","OK"))))))</f>
        <v/>
      </c>
      <c r="N37" s="98"/>
      <c r="O37" s="98"/>
      <c r="P37" s="105"/>
      <c r="Q37" s="98"/>
      <c r="R37" s="104" t="str">
        <f t="shared" ref="R37:R68" si="7">IF(B37="","",IF(N37="Ditolak","DITOLAK",IF(AND(N37="Disetujui",O37&lt;&gt;""),"LENGKAP",IF(N37="Disetujui","NAMA PENYETUJU BELUM DIISI","MENUNGGU PERSETUJUAN MANUAL"))))</f>
        <v/>
      </c>
    </row>
    <row r="38" spans="1:18">
      <c r="A38" s="67" t="str">
        <f t="shared" si="4"/>
        <v/>
      </c>
      <c r="B38" s="77"/>
      <c r="C38" s="67" t="str">
        <f t="shared" si="5"/>
        <v/>
      </c>
      <c r="D38" s="64"/>
      <c r="E38" s="64"/>
      <c r="F38" s="78"/>
      <c r="G38" s="64"/>
      <c r="H38" s="67" t="str">
        <f>IF(G38="","",IFERROR(INDEX(PERKARA!$B$5:$B$104,MATCH(G38,PERKARA!$A$5:$A$104,0)),"ID TIDAK TERDAFTAR"))</f>
        <v/>
      </c>
      <c r="I38" s="64"/>
      <c r="J38" s="64"/>
      <c r="K38" s="64"/>
      <c r="L38" s="64"/>
      <c r="M38" s="67" t="str">
        <f t="shared" si="6"/>
        <v/>
      </c>
      <c r="N38" s="98"/>
      <c r="O38" s="98"/>
      <c r="P38" s="105"/>
      <c r="Q38" s="98"/>
      <c r="R38" s="104" t="str">
        <f t="shared" si="7"/>
        <v/>
      </c>
    </row>
    <row r="39" spans="1:18">
      <c r="A39" s="67" t="str">
        <f t="shared" si="4"/>
        <v/>
      </c>
      <c r="B39" s="77"/>
      <c r="C39" s="67" t="str">
        <f t="shared" si="5"/>
        <v/>
      </c>
      <c r="D39" s="64"/>
      <c r="E39" s="64"/>
      <c r="F39" s="78"/>
      <c r="G39" s="64"/>
      <c r="H39" s="67" t="str">
        <f>IF(G39="","",IFERROR(INDEX(PERKARA!$B$5:$B$104,MATCH(G39,PERKARA!$A$5:$A$104,0)),"ID TIDAK TERDAFTAR"))</f>
        <v/>
      </c>
      <c r="I39" s="64"/>
      <c r="J39" s="64"/>
      <c r="K39" s="64"/>
      <c r="L39" s="64"/>
      <c r="M39" s="67" t="str">
        <f t="shared" si="6"/>
        <v/>
      </c>
      <c r="N39" s="98"/>
      <c r="O39" s="98"/>
      <c r="P39" s="105"/>
      <c r="Q39" s="98"/>
      <c r="R39" s="104" t="str">
        <f t="shared" si="7"/>
        <v/>
      </c>
    </row>
    <row r="40" spans="1:18">
      <c r="A40" s="67" t="str">
        <f t="shared" si="4"/>
        <v/>
      </c>
      <c r="B40" s="77"/>
      <c r="C40" s="67" t="str">
        <f t="shared" si="5"/>
        <v/>
      </c>
      <c r="D40" s="64"/>
      <c r="E40" s="64"/>
      <c r="F40" s="78"/>
      <c r="G40" s="64"/>
      <c r="H40" s="67" t="str">
        <f>IF(G40="","",IFERROR(INDEX(PERKARA!$B$5:$B$104,MATCH(G40,PERKARA!$A$5:$A$104,0)),"ID TIDAK TERDAFTAR"))</f>
        <v/>
      </c>
      <c r="I40" s="64"/>
      <c r="J40" s="64"/>
      <c r="K40" s="64"/>
      <c r="L40" s="64"/>
      <c r="M40" s="67" t="str">
        <f t="shared" si="6"/>
        <v/>
      </c>
      <c r="N40" s="98"/>
      <c r="O40" s="98"/>
      <c r="P40" s="105"/>
      <c r="Q40" s="98"/>
      <c r="R40" s="104" t="str">
        <f t="shared" si="7"/>
        <v/>
      </c>
    </row>
    <row r="41" spans="1:18">
      <c r="A41" s="67" t="str">
        <f t="shared" si="4"/>
        <v/>
      </c>
      <c r="B41" s="77"/>
      <c r="C41" s="67" t="str">
        <f t="shared" si="5"/>
        <v/>
      </c>
      <c r="D41" s="64"/>
      <c r="E41" s="64"/>
      <c r="F41" s="78"/>
      <c r="G41" s="64"/>
      <c r="H41" s="67" t="str">
        <f>IF(G41="","",IFERROR(INDEX(PERKARA!$B$5:$B$104,MATCH(G41,PERKARA!$A$5:$A$104,0)),"ID TIDAK TERDAFTAR"))</f>
        <v/>
      </c>
      <c r="I41" s="64"/>
      <c r="J41" s="64"/>
      <c r="K41" s="64"/>
      <c r="L41" s="64"/>
      <c r="M41" s="67" t="str">
        <f t="shared" si="6"/>
        <v/>
      </c>
      <c r="N41" s="98"/>
      <c r="O41" s="98"/>
      <c r="P41" s="105"/>
      <c r="Q41" s="98"/>
      <c r="R41" s="104" t="str">
        <f t="shared" si="7"/>
        <v/>
      </c>
    </row>
    <row r="42" spans="1:18">
      <c r="A42" s="67" t="str">
        <f t="shared" si="4"/>
        <v/>
      </c>
      <c r="B42" s="77"/>
      <c r="C42" s="67" t="str">
        <f t="shared" si="5"/>
        <v/>
      </c>
      <c r="D42" s="64"/>
      <c r="E42" s="64"/>
      <c r="F42" s="78"/>
      <c r="G42" s="64"/>
      <c r="H42" s="67" t="str">
        <f>IF(G42="","",IFERROR(INDEX(PERKARA!$B$5:$B$104,MATCH(G42,PERKARA!$A$5:$A$104,0)),"ID TIDAK TERDAFTAR"))</f>
        <v/>
      </c>
      <c r="I42" s="64"/>
      <c r="J42" s="64"/>
      <c r="K42" s="64"/>
      <c r="L42" s="64"/>
      <c r="M42" s="67" t="str">
        <f t="shared" si="6"/>
        <v/>
      </c>
      <c r="N42" s="98"/>
      <c r="O42" s="98"/>
      <c r="P42" s="105"/>
      <c r="Q42" s="98"/>
      <c r="R42" s="104" t="str">
        <f t="shared" si="7"/>
        <v/>
      </c>
    </row>
    <row r="43" spans="1:18">
      <c r="A43" s="67" t="str">
        <f t="shared" si="4"/>
        <v/>
      </c>
      <c r="B43" s="77"/>
      <c r="C43" s="67" t="str">
        <f t="shared" si="5"/>
        <v/>
      </c>
      <c r="D43" s="64"/>
      <c r="E43" s="64"/>
      <c r="F43" s="78"/>
      <c r="G43" s="64"/>
      <c r="H43" s="67" t="str">
        <f>IF(G43="","",IFERROR(INDEX(PERKARA!$B$5:$B$104,MATCH(G43,PERKARA!$A$5:$A$104,0)),"ID TIDAK TERDAFTAR"))</f>
        <v/>
      </c>
      <c r="I43" s="64"/>
      <c r="J43" s="64"/>
      <c r="K43" s="64"/>
      <c r="L43" s="64"/>
      <c r="M43" s="67" t="str">
        <f t="shared" si="6"/>
        <v/>
      </c>
      <c r="N43" s="98"/>
      <c r="O43" s="98"/>
      <c r="P43" s="105"/>
      <c r="Q43" s="98"/>
      <c r="R43" s="104" t="str">
        <f t="shared" si="7"/>
        <v/>
      </c>
    </row>
    <row r="44" spans="1:18">
      <c r="A44" s="67" t="str">
        <f t="shared" si="4"/>
        <v/>
      </c>
      <c r="B44" s="77"/>
      <c r="C44" s="67" t="str">
        <f t="shared" si="5"/>
        <v/>
      </c>
      <c r="D44" s="64"/>
      <c r="E44" s="64"/>
      <c r="F44" s="78"/>
      <c r="G44" s="64"/>
      <c r="H44" s="67" t="str">
        <f>IF(G44="","",IFERROR(INDEX(PERKARA!$B$5:$B$104,MATCH(G44,PERKARA!$A$5:$A$104,0)),"ID TIDAK TERDAFTAR"))</f>
        <v/>
      </c>
      <c r="I44" s="64"/>
      <c r="J44" s="64"/>
      <c r="K44" s="64"/>
      <c r="L44" s="64"/>
      <c r="M44" s="67" t="str">
        <f t="shared" si="6"/>
        <v/>
      </c>
      <c r="N44" s="98"/>
      <c r="O44" s="98"/>
      <c r="P44" s="105"/>
      <c r="Q44" s="98"/>
      <c r="R44" s="104" t="str">
        <f t="shared" si="7"/>
        <v/>
      </c>
    </row>
    <row r="45" spans="1:18">
      <c r="A45" s="67" t="str">
        <f t="shared" si="4"/>
        <v/>
      </c>
      <c r="B45" s="77"/>
      <c r="C45" s="67" t="str">
        <f t="shared" si="5"/>
        <v/>
      </c>
      <c r="D45" s="64"/>
      <c r="E45" s="64"/>
      <c r="F45" s="78"/>
      <c r="G45" s="64"/>
      <c r="H45" s="67" t="str">
        <f>IF(G45="","",IFERROR(INDEX(PERKARA!$B$5:$B$104,MATCH(G45,PERKARA!$A$5:$A$104,0)),"ID TIDAK TERDAFTAR"))</f>
        <v/>
      </c>
      <c r="I45" s="64"/>
      <c r="J45" s="64"/>
      <c r="K45" s="64"/>
      <c r="L45" s="64"/>
      <c r="M45" s="67" t="str">
        <f t="shared" si="6"/>
        <v/>
      </c>
      <c r="N45" s="98"/>
      <c r="O45" s="98"/>
      <c r="P45" s="105"/>
      <c r="Q45" s="98"/>
      <c r="R45" s="104" t="str">
        <f t="shared" si="7"/>
        <v/>
      </c>
    </row>
    <row r="46" spans="1:18">
      <c r="A46" s="67" t="str">
        <f t="shared" si="4"/>
        <v/>
      </c>
      <c r="B46" s="77"/>
      <c r="C46" s="67" t="str">
        <f t="shared" si="5"/>
        <v/>
      </c>
      <c r="D46" s="64"/>
      <c r="E46" s="64"/>
      <c r="F46" s="78"/>
      <c r="G46" s="64"/>
      <c r="H46" s="67" t="str">
        <f>IF(G46="","",IFERROR(INDEX(PERKARA!$B$5:$B$104,MATCH(G46,PERKARA!$A$5:$A$104,0)),"ID TIDAK TERDAFTAR"))</f>
        <v/>
      </c>
      <c r="I46" s="64"/>
      <c r="J46" s="64"/>
      <c r="K46" s="64"/>
      <c r="L46" s="64"/>
      <c r="M46" s="67" t="str">
        <f t="shared" si="6"/>
        <v/>
      </c>
      <c r="N46" s="98"/>
      <c r="O46" s="98"/>
      <c r="P46" s="105"/>
      <c r="Q46" s="98"/>
      <c r="R46" s="104" t="str">
        <f t="shared" si="7"/>
        <v/>
      </c>
    </row>
    <row r="47" spans="1:18">
      <c r="A47" s="67" t="str">
        <f t="shared" si="4"/>
        <v/>
      </c>
      <c r="B47" s="77"/>
      <c r="C47" s="67" t="str">
        <f t="shared" si="5"/>
        <v/>
      </c>
      <c r="D47" s="64"/>
      <c r="E47" s="64"/>
      <c r="F47" s="78"/>
      <c r="G47" s="64"/>
      <c r="H47" s="67" t="str">
        <f>IF(G47="","",IFERROR(INDEX(PERKARA!$B$5:$B$104,MATCH(G47,PERKARA!$A$5:$A$104,0)),"ID TIDAK TERDAFTAR"))</f>
        <v/>
      </c>
      <c r="I47" s="64"/>
      <c r="J47" s="64"/>
      <c r="K47" s="64"/>
      <c r="L47" s="64"/>
      <c r="M47" s="67" t="str">
        <f t="shared" si="6"/>
        <v/>
      </c>
      <c r="N47" s="98"/>
      <c r="O47" s="98"/>
      <c r="P47" s="105"/>
      <c r="Q47" s="98"/>
      <c r="R47" s="104" t="str">
        <f t="shared" si="7"/>
        <v/>
      </c>
    </row>
    <row r="48" spans="1:18">
      <c r="A48" s="67" t="str">
        <f t="shared" si="4"/>
        <v/>
      </c>
      <c r="B48" s="77"/>
      <c r="C48" s="67" t="str">
        <f t="shared" si="5"/>
        <v/>
      </c>
      <c r="D48" s="64"/>
      <c r="E48" s="64"/>
      <c r="F48" s="78"/>
      <c r="G48" s="64"/>
      <c r="H48" s="67" t="str">
        <f>IF(G48="","",IFERROR(INDEX(PERKARA!$B$5:$B$104,MATCH(G48,PERKARA!$A$5:$A$104,0)),"ID TIDAK TERDAFTAR"))</f>
        <v/>
      </c>
      <c r="I48" s="64"/>
      <c r="J48" s="64"/>
      <c r="K48" s="64"/>
      <c r="L48" s="64"/>
      <c r="M48" s="67" t="str">
        <f t="shared" si="6"/>
        <v/>
      </c>
      <c r="N48" s="98"/>
      <c r="O48" s="98"/>
      <c r="P48" s="105"/>
      <c r="Q48" s="98"/>
      <c r="R48" s="104" t="str">
        <f t="shared" si="7"/>
        <v/>
      </c>
    </row>
    <row r="49" spans="1:18">
      <c r="A49" s="67" t="str">
        <f t="shared" si="4"/>
        <v/>
      </c>
      <c r="B49" s="77"/>
      <c r="C49" s="67" t="str">
        <f t="shared" si="5"/>
        <v/>
      </c>
      <c r="D49" s="64"/>
      <c r="E49" s="64"/>
      <c r="F49" s="78"/>
      <c r="G49" s="64"/>
      <c r="H49" s="67" t="str">
        <f>IF(G49="","",IFERROR(INDEX(PERKARA!$B$5:$B$104,MATCH(G49,PERKARA!$A$5:$A$104,0)),"ID TIDAK TERDAFTAR"))</f>
        <v/>
      </c>
      <c r="I49" s="64"/>
      <c r="J49" s="64"/>
      <c r="K49" s="64"/>
      <c r="L49" s="64"/>
      <c r="M49" s="67" t="str">
        <f t="shared" si="6"/>
        <v/>
      </c>
      <c r="N49" s="98"/>
      <c r="O49" s="98"/>
      <c r="P49" s="105"/>
      <c r="Q49" s="98"/>
      <c r="R49" s="104" t="str">
        <f t="shared" si="7"/>
        <v/>
      </c>
    </row>
    <row r="50" spans="1:18">
      <c r="A50" s="67" t="str">
        <f t="shared" si="4"/>
        <v/>
      </c>
      <c r="B50" s="77"/>
      <c r="C50" s="67" t="str">
        <f t="shared" si="5"/>
        <v/>
      </c>
      <c r="D50" s="64"/>
      <c r="E50" s="64"/>
      <c r="F50" s="78"/>
      <c r="G50" s="64"/>
      <c r="H50" s="67" t="str">
        <f>IF(G50="","",IFERROR(INDEX(PERKARA!$B$5:$B$104,MATCH(G50,PERKARA!$A$5:$A$104,0)),"ID TIDAK TERDAFTAR"))</f>
        <v/>
      </c>
      <c r="I50" s="64"/>
      <c r="J50" s="64"/>
      <c r="K50" s="64"/>
      <c r="L50" s="64"/>
      <c r="M50" s="67" t="str">
        <f t="shared" si="6"/>
        <v/>
      </c>
      <c r="N50" s="98"/>
      <c r="O50" s="98"/>
      <c r="P50" s="105"/>
      <c r="Q50" s="98"/>
      <c r="R50" s="104" t="str">
        <f t="shared" si="7"/>
        <v/>
      </c>
    </row>
    <row r="51" spans="1:18">
      <c r="A51" s="67" t="str">
        <f t="shared" si="4"/>
        <v/>
      </c>
      <c r="B51" s="77"/>
      <c r="C51" s="67" t="str">
        <f t="shared" si="5"/>
        <v/>
      </c>
      <c r="D51" s="64"/>
      <c r="E51" s="64"/>
      <c r="F51" s="78"/>
      <c r="G51" s="64"/>
      <c r="H51" s="67" t="str">
        <f>IF(G51="","",IFERROR(INDEX(PERKARA!$B$5:$B$104,MATCH(G51,PERKARA!$A$5:$A$104,0)),"ID TIDAK TERDAFTAR"))</f>
        <v/>
      </c>
      <c r="I51" s="64"/>
      <c r="J51" s="64"/>
      <c r="K51" s="64"/>
      <c r="L51" s="64"/>
      <c r="M51" s="67" t="str">
        <f t="shared" si="6"/>
        <v/>
      </c>
      <c r="N51" s="98"/>
      <c r="O51" s="98"/>
      <c r="P51" s="105"/>
      <c r="Q51" s="98"/>
      <c r="R51" s="104" t="str">
        <f t="shared" si="7"/>
        <v/>
      </c>
    </row>
    <row r="52" spans="1:18">
      <c r="A52" s="67" t="str">
        <f t="shared" si="4"/>
        <v/>
      </c>
      <c r="B52" s="77"/>
      <c r="C52" s="67" t="str">
        <f t="shared" si="5"/>
        <v/>
      </c>
      <c r="D52" s="64"/>
      <c r="E52" s="64"/>
      <c r="F52" s="78"/>
      <c r="G52" s="64"/>
      <c r="H52" s="67" t="str">
        <f>IF(G52="","",IFERROR(INDEX(PERKARA!$B$5:$B$104,MATCH(G52,PERKARA!$A$5:$A$104,0)),"ID TIDAK TERDAFTAR"))</f>
        <v/>
      </c>
      <c r="I52" s="64"/>
      <c r="J52" s="64"/>
      <c r="K52" s="64"/>
      <c r="L52" s="64"/>
      <c r="M52" s="67" t="str">
        <f t="shared" si="6"/>
        <v/>
      </c>
      <c r="N52" s="98"/>
      <c r="O52" s="98"/>
      <c r="P52" s="105"/>
      <c r="Q52" s="98"/>
      <c r="R52" s="104" t="str">
        <f t="shared" si="7"/>
        <v/>
      </c>
    </row>
    <row r="53" spans="1:18">
      <c r="A53" s="67" t="str">
        <f t="shared" si="4"/>
        <v/>
      </c>
      <c r="B53" s="77"/>
      <c r="C53" s="67" t="str">
        <f t="shared" si="5"/>
        <v/>
      </c>
      <c r="D53" s="64"/>
      <c r="E53" s="64"/>
      <c r="F53" s="78"/>
      <c r="G53" s="64"/>
      <c r="H53" s="67" t="str">
        <f>IF(G53="","",IFERROR(INDEX(PERKARA!$B$5:$B$104,MATCH(G53,PERKARA!$A$5:$A$104,0)),"ID TIDAK TERDAFTAR"))</f>
        <v/>
      </c>
      <c r="I53" s="64"/>
      <c r="J53" s="64"/>
      <c r="K53" s="64"/>
      <c r="L53" s="64"/>
      <c r="M53" s="67" t="str">
        <f t="shared" si="6"/>
        <v/>
      </c>
      <c r="N53" s="98"/>
      <c r="O53" s="98"/>
      <c r="P53" s="105"/>
      <c r="Q53" s="98"/>
      <c r="R53" s="104" t="str">
        <f t="shared" si="7"/>
        <v/>
      </c>
    </row>
    <row r="54" spans="1:18">
      <c r="A54" s="67" t="str">
        <f t="shared" si="4"/>
        <v/>
      </c>
      <c r="B54" s="77"/>
      <c r="C54" s="67" t="str">
        <f t="shared" si="5"/>
        <v/>
      </c>
      <c r="D54" s="64"/>
      <c r="E54" s="64"/>
      <c r="F54" s="78"/>
      <c r="G54" s="64"/>
      <c r="H54" s="67" t="str">
        <f>IF(G54="","",IFERROR(INDEX(PERKARA!$B$5:$B$104,MATCH(G54,PERKARA!$A$5:$A$104,0)),"ID TIDAK TERDAFTAR"))</f>
        <v/>
      </c>
      <c r="I54" s="64"/>
      <c r="J54" s="64"/>
      <c r="K54" s="64"/>
      <c r="L54" s="64"/>
      <c r="M54" s="67" t="str">
        <f t="shared" si="6"/>
        <v/>
      </c>
      <c r="N54" s="98"/>
      <c r="O54" s="98"/>
      <c r="P54" s="105"/>
      <c r="Q54" s="98"/>
      <c r="R54" s="104" t="str">
        <f t="shared" si="7"/>
        <v/>
      </c>
    </row>
    <row r="55" spans="1:18">
      <c r="A55" s="67" t="str">
        <f t="shared" si="4"/>
        <v/>
      </c>
      <c r="B55" s="77"/>
      <c r="C55" s="67" t="str">
        <f t="shared" si="5"/>
        <v/>
      </c>
      <c r="D55" s="64"/>
      <c r="E55" s="64"/>
      <c r="F55" s="78"/>
      <c r="G55" s="64"/>
      <c r="H55" s="67" t="str">
        <f>IF(G55="","",IFERROR(INDEX(PERKARA!$B$5:$B$104,MATCH(G55,PERKARA!$A$5:$A$104,0)),"ID TIDAK TERDAFTAR"))</f>
        <v/>
      </c>
      <c r="I55" s="64"/>
      <c r="J55" s="64"/>
      <c r="K55" s="64"/>
      <c r="L55" s="64"/>
      <c r="M55" s="67" t="str">
        <f t="shared" si="6"/>
        <v/>
      </c>
      <c r="N55" s="98"/>
      <c r="O55" s="98"/>
      <c r="P55" s="105"/>
      <c r="Q55" s="98"/>
      <c r="R55" s="104" t="str">
        <f t="shared" si="7"/>
        <v/>
      </c>
    </row>
    <row r="56" spans="1:18">
      <c r="A56" s="67" t="str">
        <f t="shared" si="4"/>
        <v/>
      </c>
      <c r="B56" s="77"/>
      <c r="C56" s="67" t="str">
        <f t="shared" si="5"/>
        <v/>
      </c>
      <c r="D56" s="64"/>
      <c r="E56" s="64"/>
      <c r="F56" s="78"/>
      <c r="G56" s="64"/>
      <c r="H56" s="67" t="str">
        <f>IF(G56="","",IFERROR(INDEX(PERKARA!$B$5:$B$104,MATCH(G56,PERKARA!$A$5:$A$104,0)),"ID TIDAK TERDAFTAR"))</f>
        <v/>
      </c>
      <c r="I56" s="64"/>
      <c r="J56" s="64"/>
      <c r="K56" s="64"/>
      <c r="L56" s="64"/>
      <c r="M56" s="67" t="str">
        <f t="shared" si="6"/>
        <v/>
      </c>
      <c r="N56" s="98"/>
      <c r="O56" s="98"/>
      <c r="P56" s="105"/>
      <c r="Q56" s="98"/>
      <c r="R56" s="104" t="str">
        <f t="shared" si="7"/>
        <v/>
      </c>
    </row>
    <row r="57" spans="1:18">
      <c r="A57" s="67" t="str">
        <f t="shared" si="4"/>
        <v/>
      </c>
      <c r="B57" s="77"/>
      <c r="C57" s="67" t="str">
        <f t="shared" si="5"/>
        <v/>
      </c>
      <c r="D57" s="64"/>
      <c r="E57" s="64"/>
      <c r="F57" s="78"/>
      <c r="G57" s="64"/>
      <c r="H57" s="67" t="str">
        <f>IF(G57="","",IFERROR(INDEX(PERKARA!$B$5:$B$104,MATCH(G57,PERKARA!$A$5:$A$104,0)),"ID TIDAK TERDAFTAR"))</f>
        <v/>
      </c>
      <c r="I57" s="64"/>
      <c r="J57" s="64"/>
      <c r="K57" s="64"/>
      <c r="L57" s="64"/>
      <c r="M57" s="67" t="str">
        <f t="shared" si="6"/>
        <v/>
      </c>
      <c r="N57" s="98"/>
      <c r="O57" s="98"/>
      <c r="P57" s="105"/>
      <c r="Q57" s="98"/>
      <c r="R57" s="104" t="str">
        <f t="shared" si="7"/>
        <v/>
      </c>
    </row>
    <row r="58" spans="1:18">
      <c r="A58" s="67" t="str">
        <f t="shared" si="4"/>
        <v/>
      </c>
      <c r="B58" s="77"/>
      <c r="C58" s="67" t="str">
        <f t="shared" si="5"/>
        <v/>
      </c>
      <c r="D58" s="64"/>
      <c r="E58" s="64"/>
      <c r="F58" s="78"/>
      <c r="G58" s="64"/>
      <c r="H58" s="67" t="str">
        <f>IF(G58="","",IFERROR(INDEX(PERKARA!$B$5:$B$104,MATCH(G58,PERKARA!$A$5:$A$104,0)),"ID TIDAK TERDAFTAR"))</f>
        <v/>
      </c>
      <c r="I58" s="64"/>
      <c r="J58" s="64"/>
      <c r="K58" s="64"/>
      <c r="L58" s="64"/>
      <c r="M58" s="67" t="str">
        <f t="shared" si="6"/>
        <v/>
      </c>
      <c r="N58" s="98"/>
      <c r="O58" s="98"/>
      <c r="P58" s="105"/>
      <c r="Q58" s="98"/>
      <c r="R58" s="104" t="str">
        <f t="shared" si="7"/>
        <v/>
      </c>
    </row>
    <row r="59" spans="1:18">
      <c r="A59" s="67" t="str">
        <f t="shared" si="4"/>
        <v/>
      </c>
      <c r="B59" s="77"/>
      <c r="C59" s="67" t="str">
        <f t="shared" si="5"/>
        <v/>
      </c>
      <c r="D59" s="64"/>
      <c r="E59" s="64"/>
      <c r="F59" s="78"/>
      <c r="G59" s="64"/>
      <c r="H59" s="67" t="str">
        <f>IF(G59="","",IFERROR(INDEX(PERKARA!$B$5:$B$104,MATCH(G59,PERKARA!$A$5:$A$104,0)),"ID TIDAK TERDAFTAR"))</f>
        <v/>
      </c>
      <c r="I59" s="64"/>
      <c r="J59" s="64"/>
      <c r="K59" s="64"/>
      <c r="L59" s="64"/>
      <c r="M59" s="67" t="str">
        <f t="shared" si="6"/>
        <v/>
      </c>
      <c r="N59" s="98"/>
      <c r="O59" s="98"/>
      <c r="P59" s="105"/>
      <c r="Q59" s="98"/>
      <c r="R59" s="104" t="str">
        <f t="shared" si="7"/>
        <v/>
      </c>
    </row>
    <row r="60" spans="1:18">
      <c r="A60" s="67" t="str">
        <f t="shared" si="4"/>
        <v/>
      </c>
      <c r="B60" s="77"/>
      <c r="C60" s="67" t="str">
        <f t="shared" si="5"/>
        <v/>
      </c>
      <c r="D60" s="64"/>
      <c r="E60" s="64"/>
      <c r="F60" s="78"/>
      <c r="G60" s="64"/>
      <c r="H60" s="67" t="str">
        <f>IF(G60="","",IFERROR(INDEX(PERKARA!$B$5:$B$104,MATCH(G60,PERKARA!$A$5:$A$104,0)),"ID TIDAK TERDAFTAR"))</f>
        <v/>
      </c>
      <c r="I60" s="64"/>
      <c r="J60" s="64"/>
      <c r="K60" s="64"/>
      <c r="L60" s="64"/>
      <c r="M60" s="67" t="str">
        <f t="shared" si="6"/>
        <v/>
      </c>
      <c r="N60" s="98"/>
      <c r="O60" s="98"/>
      <c r="P60" s="105"/>
      <c r="Q60" s="98"/>
      <c r="R60" s="104" t="str">
        <f t="shared" si="7"/>
        <v/>
      </c>
    </row>
    <row r="61" spans="1:18">
      <c r="A61" s="67" t="str">
        <f t="shared" si="4"/>
        <v/>
      </c>
      <c r="B61" s="77"/>
      <c r="C61" s="67" t="str">
        <f t="shared" si="5"/>
        <v/>
      </c>
      <c r="D61" s="64"/>
      <c r="E61" s="64"/>
      <c r="F61" s="78"/>
      <c r="G61" s="64"/>
      <c r="H61" s="67" t="str">
        <f>IF(G61="","",IFERROR(INDEX(PERKARA!$B$5:$B$104,MATCH(G61,PERKARA!$A$5:$A$104,0)),"ID TIDAK TERDAFTAR"))</f>
        <v/>
      </c>
      <c r="I61" s="64"/>
      <c r="J61" s="64"/>
      <c r="K61" s="64"/>
      <c r="L61" s="64"/>
      <c r="M61" s="67" t="str">
        <f t="shared" si="6"/>
        <v/>
      </c>
      <c r="N61" s="98"/>
      <c r="O61" s="98"/>
      <c r="P61" s="105"/>
      <c r="Q61" s="98"/>
      <c r="R61" s="104" t="str">
        <f t="shared" si="7"/>
        <v/>
      </c>
    </row>
    <row r="62" spans="1:18">
      <c r="A62" s="67" t="str">
        <f t="shared" si="4"/>
        <v/>
      </c>
      <c r="B62" s="77"/>
      <c r="C62" s="67" t="str">
        <f t="shared" si="5"/>
        <v/>
      </c>
      <c r="D62" s="64"/>
      <c r="E62" s="64"/>
      <c r="F62" s="78"/>
      <c r="G62" s="64"/>
      <c r="H62" s="67" t="str">
        <f>IF(G62="","",IFERROR(INDEX(PERKARA!$B$5:$B$104,MATCH(G62,PERKARA!$A$5:$A$104,0)),"ID TIDAK TERDAFTAR"))</f>
        <v/>
      </c>
      <c r="I62" s="64"/>
      <c r="J62" s="64"/>
      <c r="K62" s="64"/>
      <c r="L62" s="64"/>
      <c r="M62" s="67" t="str">
        <f t="shared" si="6"/>
        <v/>
      </c>
      <c r="N62" s="98"/>
      <c r="O62" s="98"/>
      <c r="P62" s="105"/>
      <c r="Q62" s="98"/>
      <c r="R62" s="104" t="str">
        <f t="shared" si="7"/>
        <v/>
      </c>
    </row>
    <row r="63" spans="1:18">
      <c r="A63" s="67" t="str">
        <f t="shared" si="4"/>
        <v/>
      </c>
      <c r="B63" s="77"/>
      <c r="C63" s="67" t="str">
        <f t="shared" si="5"/>
        <v/>
      </c>
      <c r="D63" s="64"/>
      <c r="E63" s="64"/>
      <c r="F63" s="78"/>
      <c r="G63" s="64"/>
      <c r="H63" s="67" t="str">
        <f>IF(G63="","",IFERROR(INDEX(PERKARA!$B$5:$B$104,MATCH(G63,PERKARA!$A$5:$A$104,0)),"ID TIDAK TERDAFTAR"))</f>
        <v/>
      </c>
      <c r="I63" s="64"/>
      <c r="J63" s="64"/>
      <c r="K63" s="64"/>
      <c r="L63" s="64"/>
      <c r="M63" s="67" t="str">
        <f t="shared" si="6"/>
        <v/>
      </c>
      <c r="N63" s="98"/>
      <c r="O63" s="98"/>
      <c r="P63" s="105"/>
      <c r="Q63" s="98"/>
      <c r="R63" s="104" t="str">
        <f t="shared" si="7"/>
        <v/>
      </c>
    </row>
    <row r="64" spans="1:18">
      <c r="A64" s="67" t="str">
        <f t="shared" si="4"/>
        <v/>
      </c>
      <c r="B64" s="77"/>
      <c r="C64" s="67" t="str">
        <f t="shared" si="5"/>
        <v/>
      </c>
      <c r="D64" s="64"/>
      <c r="E64" s="64"/>
      <c r="F64" s="78"/>
      <c r="G64" s="64"/>
      <c r="H64" s="67" t="str">
        <f>IF(G64="","",IFERROR(INDEX(PERKARA!$B$5:$B$104,MATCH(G64,PERKARA!$A$5:$A$104,0)),"ID TIDAK TERDAFTAR"))</f>
        <v/>
      </c>
      <c r="I64" s="64"/>
      <c r="J64" s="64"/>
      <c r="K64" s="64"/>
      <c r="L64" s="64"/>
      <c r="M64" s="67" t="str">
        <f t="shared" si="6"/>
        <v/>
      </c>
      <c r="N64" s="98"/>
      <c r="O64" s="98"/>
      <c r="P64" s="105"/>
      <c r="Q64" s="98"/>
      <c r="R64" s="104" t="str">
        <f t="shared" si="7"/>
        <v/>
      </c>
    </row>
    <row r="65" spans="1:18">
      <c r="A65" s="67" t="str">
        <f t="shared" si="4"/>
        <v/>
      </c>
      <c r="B65" s="77"/>
      <c r="C65" s="67" t="str">
        <f t="shared" si="5"/>
        <v/>
      </c>
      <c r="D65" s="64"/>
      <c r="E65" s="64"/>
      <c r="F65" s="78"/>
      <c r="G65" s="64"/>
      <c r="H65" s="67" t="str">
        <f>IF(G65="","",IFERROR(INDEX(PERKARA!$B$5:$B$104,MATCH(G65,PERKARA!$A$5:$A$104,0)),"ID TIDAK TERDAFTAR"))</f>
        <v/>
      </c>
      <c r="I65" s="64"/>
      <c r="J65" s="64"/>
      <c r="K65" s="64"/>
      <c r="L65" s="64"/>
      <c r="M65" s="67" t="str">
        <f t="shared" si="6"/>
        <v/>
      </c>
      <c r="N65" s="98"/>
      <c r="O65" s="98"/>
      <c r="P65" s="105"/>
      <c r="Q65" s="98"/>
      <c r="R65" s="104" t="str">
        <f t="shared" si="7"/>
        <v/>
      </c>
    </row>
    <row r="66" spans="1:18">
      <c r="A66" s="67" t="str">
        <f t="shared" si="4"/>
        <v/>
      </c>
      <c r="B66" s="77"/>
      <c r="C66" s="67" t="str">
        <f t="shared" si="5"/>
        <v/>
      </c>
      <c r="D66" s="64"/>
      <c r="E66" s="64"/>
      <c r="F66" s="78"/>
      <c r="G66" s="64"/>
      <c r="H66" s="67" t="str">
        <f>IF(G66="","",IFERROR(INDEX(PERKARA!$B$5:$B$104,MATCH(G66,PERKARA!$A$5:$A$104,0)),"ID TIDAK TERDAFTAR"))</f>
        <v/>
      </c>
      <c r="I66" s="64"/>
      <c r="J66" s="64"/>
      <c r="K66" s="64"/>
      <c r="L66" s="64"/>
      <c r="M66" s="67" t="str">
        <f t="shared" si="6"/>
        <v/>
      </c>
      <c r="N66" s="98"/>
      <c r="O66" s="98"/>
      <c r="P66" s="105"/>
      <c r="Q66" s="98"/>
      <c r="R66" s="104" t="str">
        <f t="shared" si="7"/>
        <v/>
      </c>
    </row>
    <row r="67" spans="1:18">
      <c r="A67" s="67" t="str">
        <f t="shared" si="4"/>
        <v/>
      </c>
      <c r="B67" s="77"/>
      <c r="C67" s="67" t="str">
        <f t="shared" si="5"/>
        <v/>
      </c>
      <c r="D67" s="64"/>
      <c r="E67" s="64"/>
      <c r="F67" s="78"/>
      <c r="G67" s="64"/>
      <c r="H67" s="67" t="str">
        <f>IF(G67="","",IFERROR(INDEX(PERKARA!$B$5:$B$104,MATCH(G67,PERKARA!$A$5:$A$104,0)),"ID TIDAK TERDAFTAR"))</f>
        <v/>
      </c>
      <c r="I67" s="64"/>
      <c r="J67" s="64"/>
      <c r="K67" s="64"/>
      <c r="L67" s="64"/>
      <c r="M67" s="67" t="str">
        <f t="shared" si="6"/>
        <v/>
      </c>
      <c r="N67" s="98"/>
      <c r="O67" s="98"/>
      <c r="P67" s="105"/>
      <c r="Q67" s="98"/>
      <c r="R67" s="104" t="str">
        <f t="shared" si="7"/>
        <v/>
      </c>
    </row>
    <row r="68" spans="1:18">
      <c r="A68" s="67" t="str">
        <f t="shared" si="4"/>
        <v/>
      </c>
      <c r="B68" s="77"/>
      <c r="C68" s="67" t="str">
        <f t="shared" si="5"/>
        <v/>
      </c>
      <c r="D68" s="64"/>
      <c r="E68" s="64"/>
      <c r="F68" s="78"/>
      <c r="G68" s="64"/>
      <c r="H68" s="67" t="str">
        <f>IF(G68="","",IFERROR(INDEX(PERKARA!$B$5:$B$104,MATCH(G68,PERKARA!$A$5:$A$104,0)),"ID TIDAK TERDAFTAR"))</f>
        <v/>
      </c>
      <c r="I68" s="64"/>
      <c r="J68" s="64"/>
      <c r="K68" s="64"/>
      <c r="L68" s="64"/>
      <c r="M68" s="67" t="str">
        <f t="shared" si="6"/>
        <v/>
      </c>
      <c r="N68" s="98"/>
      <c r="O68" s="98"/>
      <c r="P68" s="105"/>
      <c r="Q68" s="98"/>
      <c r="R68" s="104" t="str">
        <f t="shared" si="7"/>
        <v/>
      </c>
    </row>
    <row r="69" spans="1:18">
      <c r="A69" s="67" t="str">
        <f t="shared" ref="A69:A100" si="8">IF(B69="","",IFERROR("TRF-"&amp;TEXT(B69,"yyyymmdd")&amp;"-"&amp;TEXT(ROW()-4,"000"),"TANGGAL TIDAK VALID"))</f>
        <v/>
      </c>
      <c r="B69" s="77"/>
      <c r="C69" s="67" t="str">
        <f t="shared" ref="C69:C100" si="9">IF(B69="","",IFERROR(TEXT(B69,"yyyy-mm"),""))</f>
        <v/>
      </c>
      <c r="D69" s="64"/>
      <c r="E69" s="64"/>
      <c r="F69" s="78"/>
      <c r="G69" s="64"/>
      <c r="H69" s="67" t="str">
        <f>IF(G69="","",IFERROR(INDEX(PERKARA!$B$5:$B$104,MATCH(G69,PERKARA!$A$5:$A$104,0)),"ID TIDAK TERDAFTAR"))</f>
        <v/>
      </c>
      <c r="I69" s="64"/>
      <c r="J69" s="64"/>
      <c r="K69" s="64"/>
      <c r="L69" s="64"/>
      <c r="M69" s="67" t="str">
        <f t="shared" ref="M69:M100" si="10">IF(B69="","",IF(OR(D69="",E69=""),"AKUN BELUM LENGKAP",IF(D69=E69,"AKUN ASAL DAN TUJUAN SAMA",IF(F69&lt;=0,"NOMINAL TIDAK VALID",IF(AND(G69&lt;&gt;"",H69="ID TIDAK TERDAFTAR"),"PERKARA TIDAK VALID",IF(R69&lt;&gt;"LENGKAP","TRANSFER BELUM DIOTORISASI","OK"))))))</f>
        <v/>
      </c>
      <c r="N69" s="98"/>
      <c r="O69" s="98"/>
      <c r="P69" s="105"/>
      <c r="Q69" s="98"/>
      <c r="R69" s="104" t="str">
        <f t="shared" ref="R69:R100" si="11">IF(B69="","",IF(N69="Ditolak","DITOLAK",IF(AND(N69="Disetujui",O69&lt;&gt;""),"LENGKAP",IF(N69="Disetujui","NAMA PENYETUJU BELUM DIISI","MENUNGGU PERSETUJUAN MANUAL"))))</f>
        <v/>
      </c>
    </row>
    <row r="70" spans="1:18">
      <c r="A70" s="67" t="str">
        <f t="shared" si="8"/>
        <v/>
      </c>
      <c r="B70" s="77"/>
      <c r="C70" s="67" t="str">
        <f t="shared" si="9"/>
        <v/>
      </c>
      <c r="D70" s="64"/>
      <c r="E70" s="64"/>
      <c r="F70" s="78"/>
      <c r="G70" s="64"/>
      <c r="H70" s="67" t="str">
        <f>IF(G70="","",IFERROR(INDEX(PERKARA!$B$5:$B$104,MATCH(G70,PERKARA!$A$5:$A$104,0)),"ID TIDAK TERDAFTAR"))</f>
        <v/>
      </c>
      <c r="I70" s="64"/>
      <c r="J70" s="64"/>
      <c r="K70" s="64"/>
      <c r="L70" s="64"/>
      <c r="M70" s="67" t="str">
        <f t="shared" si="10"/>
        <v/>
      </c>
      <c r="N70" s="98"/>
      <c r="O70" s="98"/>
      <c r="P70" s="105"/>
      <c r="Q70" s="98"/>
      <c r="R70" s="104" t="str">
        <f t="shared" si="11"/>
        <v/>
      </c>
    </row>
    <row r="71" spans="1:18">
      <c r="A71" s="67" t="str">
        <f t="shared" si="8"/>
        <v/>
      </c>
      <c r="B71" s="77"/>
      <c r="C71" s="67" t="str">
        <f t="shared" si="9"/>
        <v/>
      </c>
      <c r="D71" s="64"/>
      <c r="E71" s="64"/>
      <c r="F71" s="78"/>
      <c r="G71" s="64"/>
      <c r="H71" s="67" t="str">
        <f>IF(G71="","",IFERROR(INDEX(PERKARA!$B$5:$B$104,MATCH(G71,PERKARA!$A$5:$A$104,0)),"ID TIDAK TERDAFTAR"))</f>
        <v/>
      </c>
      <c r="I71" s="64"/>
      <c r="J71" s="64"/>
      <c r="K71" s="64"/>
      <c r="L71" s="64"/>
      <c r="M71" s="67" t="str">
        <f t="shared" si="10"/>
        <v/>
      </c>
      <c r="N71" s="98"/>
      <c r="O71" s="98"/>
      <c r="P71" s="105"/>
      <c r="Q71" s="98"/>
      <c r="R71" s="104" t="str">
        <f t="shared" si="11"/>
        <v/>
      </c>
    </row>
    <row r="72" spans="1:18">
      <c r="A72" s="67" t="str">
        <f t="shared" si="8"/>
        <v/>
      </c>
      <c r="B72" s="77"/>
      <c r="C72" s="67" t="str">
        <f t="shared" si="9"/>
        <v/>
      </c>
      <c r="D72" s="64"/>
      <c r="E72" s="64"/>
      <c r="F72" s="78"/>
      <c r="G72" s="64"/>
      <c r="H72" s="67" t="str">
        <f>IF(G72="","",IFERROR(INDEX(PERKARA!$B$5:$B$104,MATCH(G72,PERKARA!$A$5:$A$104,0)),"ID TIDAK TERDAFTAR"))</f>
        <v/>
      </c>
      <c r="I72" s="64"/>
      <c r="J72" s="64"/>
      <c r="K72" s="64"/>
      <c r="L72" s="64"/>
      <c r="M72" s="67" t="str">
        <f t="shared" si="10"/>
        <v/>
      </c>
      <c r="N72" s="98"/>
      <c r="O72" s="98"/>
      <c r="P72" s="105"/>
      <c r="Q72" s="98"/>
      <c r="R72" s="104" t="str">
        <f t="shared" si="11"/>
        <v/>
      </c>
    </row>
    <row r="73" spans="1:18">
      <c r="A73" s="67" t="str">
        <f t="shared" si="8"/>
        <v/>
      </c>
      <c r="B73" s="77"/>
      <c r="C73" s="67" t="str">
        <f t="shared" si="9"/>
        <v/>
      </c>
      <c r="D73" s="64"/>
      <c r="E73" s="64"/>
      <c r="F73" s="78"/>
      <c r="G73" s="64"/>
      <c r="H73" s="67" t="str">
        <f>IF(G73="","",IFERROR(INDEX(PERKARA!$B$5:$B$104,MATCH(G73,PERKARA!$A$5:$A$104,0)),"ID TIDAK TERDAFTAR"))</f>
        <v/>
      </c>
      <c r="I73" s="64"/>
      <c r="J73" s="64"/>
      <c r="K73" s="64"/>
      <c r="L73" s="64"/>
      <c r="M73" s="67" t="str">
        <f t="shared" si="10"/>
        <v/>
      </c>
      <c r="N73" s="98"/>
      <c r="O73" s="98"/>
      <c r="P73" s="105"/>
      <c r="Q73" s="98"/>
      <c r="R73" s="104" t="str">
        <f t="shared" si="11"/>
        <v/>
      </c>
    </row>
    <row r="74" spans="1:18">
      <c r="A74" s="67" t="str">
        <f t="shared" si="8"/>
        <v/>
      </c>
      <c r="B74" s="77"/>
      <c r="C74" s="67" t="str">
        <f t="shared" si="9"/>
        <v/>
      </c>
      <c r="D74" s="64"/>
      <c r="E74" s="64"/>
      <c r="F74" s="78"/>
      <c r="G74" s="64"/>
      <c r="H74" s="67" t="str">
        <f>IF(G74="","",IFERROR(INDEX(PERKARA!$B$5:$B$104,MATCH(G74,PERKARA!$A$5:$A$104,0)),"ID TIDAK TERDAFTAR"))</f>
        <v/>
      </c>
      <c r="I74" s="64"/>
      <c r="J74" s="64"/>
      <c r="K74" s="64"/>
      <c r="L74" s="64"/>
      <c r="M74" s="67" t="str">
        <f t="shared" si="10"/>
        <v/>
      </c>
      <c r="N74" s="98"/>
      <c r="O74" s="98"/>
      <c r="P74" s="105"/>
      <c r="Q74" s="98"/>
      <c r="R74" s="104" t="str">
        <f t="shared" si="11"/>
        <v/>
      </c>
    </row>
    <row r="75" spans="1:18">
      <c r="A75" s="67" t="str">
        <f t="shared" si="8"/>
        <v/>
      </c>
      <c r="B75" s="77"/>
      <c r="C75" s="67" t="str">
        <f t="shared" si="9"/>
        <v/>
      </c>
      <c r="D75" s="64"/>
      <c r="E75" s="64"/>
      <c r="F75" s="78"/>
      <c r="G75" s="64"/>
      <c r="H75" s="67" t="str">
        <f>IF(G75="","",IFERROR(INDEX(PERKARA!$B$5:$B$104,MATCH(G75,PERKARA!$A$5:$A$104,0)),"ID TIDAK TERDAFTAR"))</f>
        <v/>
      </c>
      <c r="I75" s="64"/>
      <c r="J75" s="64"/>
      <c r="K75" s="64"/>
      <c r="L75" s="64"/>
      <c r="M75" s="67" t="str">
        <f t="shared" si="10"/>
        <v/>
      </c>
      <c r="N75" s="98"/>
      <c r="O75" s="98"/>
      <c r="P75" s="105"/>
      <c r="Q75" s="98"/>
      <c r="R75" s="104" t="str">
        <f t="shared" si="11"/>
        <v/>
      </c>
    </row>
    <row r="76" spans="1:18">
      <c r="A76" s="67" t="str">
        <f t="shared" si="8"/>
        <v/>
      </c>
      <c r="B76" s="77"/>
      <c r="C76" s="67" t="str">
        <f t="shared" si="9"/>
        <v/>
      </c>
      <c r="D76" s="64"/>
      <c r="E76" s="64"/>
      <c r="F76" s="78"/>
      <c r="G76" s="64"/>
      <c r="H76" s="67" t="str">
        <f>IF(G76="","",IFERROR(INDEX(PERKARA!$B$5:$B$104,MATCH(G76,PERKARA!$A$5:$A$104,0)),"ID TIDAK TERDAFTAR"))</f>
        <v/>
      </c>
      <c r="I76" s="64"/>
      <c r="J76" s="64"/>
      <c r="K76" s="64"/>
      <c r="L76" s="64"/>
      <c r="M76" s="67" t="str">
        <f t="shared" si="10"/>
        <v/>
      </c>
      <c r="N76" s="98"/>
      <c r="O76" s="98"/>
      <c r="P76" s="105"/>
      <c r="Q76" s="98"/>
      <c r="R76" s="104" t="str">
        <f t="shared" si="11"/>
        <v/>
      </c>
    </row>
    <row r="77" spans="1:18">
      <c r="A77" s="67" t="str">
        <f t="shared" si="8"/>
        <v/>
      </c>
      <c r="B77" s="77"/>
      <c r="C77" s="67" t="str">
        <f t="shared" si="9"/>
        <v/>
      </c>
      <c r="D77" s="64"/>
      <c r="E77" s="64"/>
      <c r="F77" s="78"/>
      <c r="G77" s="64"/>
      <c r="H77" s="67" t="str">
        <f>IF(G77="","",IFERROR(INDEX(PERKARA!$B$5:$B$104,MATCH(G77,PERKARA!$A$5:$A$104,0)),"ID TIDAK TERDAFTAR"))</f>
        <v/>
      </c>
      <c r="I77" s="64"/>
      <c r="J77" s="64"/>
      <c r="K77" s="64"/>
      <c r="L77" s="64"/>
      <c r="M77" s="67" t="str">
        <f t="shared" si="10"/>
        <v/>
      </c>
      <c r="N77" s="98"/>
      <c r="O77" s="98"/>
      <c r="P77" s="105"/>
      <c r="Q77" s="98"/>
      <c r="R77" s="104" t="str">
        <f t="shared" si="11"/>
        <v/>
      </c>
    </row>
    <row r="78" spans="1:18">
      <c r="A78" s="67" t="str">
        <f t="shared" si="8"/>
        <v/>
      </c>
      <c r="B78" s="77"/>
      <c r="C78" s="67" t="str">
        <f t="shared" si="9"/>
        <v/>
      </c>
      <c r="D78" s="64"/>
      <c r="E78" s="64"/>
      <c r="F78" s="78"/>
      <c r="G78" s="64"/>
      <c r="H78" s="67" t="str">
        <f>IF(G78="","",IFERROR(INDEX(PERKARA!$B$5:$B$104,MATCH(G78,PERKARA!$A$5:$A$104,0)),"ID TIDAK TERDAFTAR"))</f>
        <v/>
      </c>
      <c r="I78" s="64"/>
      <c r="J78" s="64"/>
      <c r="K78" s="64"/>
      <c r="L78" s="64"/>
      <c r="M78" s="67" t="str">
        <f t="shared" si="10"/>
        <v/>
      </c>
      <c r="N78" s="98"/>
      <c r="O78" s="98"/>
      <c r="P78" s="105"/>
      <c r="Q78" s="98"/>
      <c r="R78" s="104" t="str">
        <f t="shared" si="11"/>
        <v/>
      </c>
    </row>
    <row r="79" spans="1:18">
      <c r="A79" s="67" t="str">
        <f t="shared" si="8"/>
        <v/>
      </c>
      <c r="B79" s="77"/>
      <c r="C79" s="67" t="str">
        <f t="shared" si="9"/>
        <v/>
      </c>
      <c r="D79" s="64"/>
      <c r="E79" s="64"/>
      <c r="F79" s="78"/>
      <c r="G79" s="64"/>
      <c r="H79" s="67" t="str">
        <f>IF(G79="","",IFERROR(INDEX(PERKARA!$B$5:$B$104,MATCH(G79,PERKARA!$A$5:$A$104,0)),"ID TIDAK TERDAFTAR"))</f>
        <v/>
      </c>
      <c r="I79" s="64"/>
      <c r="J79" s="64"/>
      <c r="K79" s="64"/>
      <c r="L79" s="64"/>
      <c r="M79" s="67" t="str">
        <f t="shared" si="10"/>
        <v/>
      </c>
      <c r="N79" s="98"/>
      <c r="O79" s="98"/>
      <c r="P79" s="105"/>
      <c r="Q79" s="98"/>
      <c r="R79" s="104" t="str">
        <f t="shared" si="11"/>
        <v/>
      </c>
    </row>
    <row r="80" spans="1:18">
      <c r="A80" s="67" t="str">
        <f t="shared" si="8"/>
        <v/>
      </c>
      <c r="B80" s="77"/>
      <c r="C80" s="67" t="str">
        <f t="shared" si="9"/>
        <v/>
      </c>
      <c r="D80" s="64"/>
      <c r="E80" s="64"/>
      <c r="F80" s="78"/>
      <c r="G80" s="64"/>
      <c r="H80" s="67" t="str">
        <f>IF(G80="","",IFERROR(INDEX(PERKARA!$B$5:$B$104,MATCH(G80,PERKARA!$A$5:$A$104,0)),"ID TIDAK TERDAFTAR"))</f>
        <v/>
      </c>
      <c r="I80" s="64"/>
      <c r="J80" s="64"/>
      <c r="K80" s="64"/>
      <c r="L80" s="64"/>
      <c r="M80" s="67" t="str">
        <f t="shared" si="10"/>
        <v/>
      </c>
      <c r="N80" s="98"/>
      <c r="O80" s="98"/>
      <c r="P80" s="105"/>
      <c r="Q80" s="98"/>
      <c r="R80" s="104" t="str">
        <f t="shared" si="11"/>
        <v/>
      </c>
    </row>
    <row r="81" spans="1:18">
      <c r="A81" s="67" t="str">
        <f t="shared" si="8"/>
        <v/>
      </c>
      <c r="B81" s="77"/>
      <c r="C81" s="67" t="str">
        <f t="shared" si="9"/>
        <v/>
      </c>
      <c r="D81" s="64"/>
      <c r="E81" s="64"/>
      <c r="F81" s="78"/>
      <c r="G81" s="64"/>
      <c r="H81" s="67" t="str">
        <f>IF(G81="","",IFERROR(INDEX(PERKARA!$B$5:$B$104,MATCH(G81,PERKARA!$A$5:$A$104,0)),"ID TIDAK TERDAFTAR"))</f>
        <v/>
      </c>
      <c r="I81" s="64"/>
      <c r="J81" s="64"/>
      <c r="K81" s="64"/>
      <c r="L81" s="64"/>
      <c r="M81" s="67" t="str">
        <f t="shared" si="10"/>
        <v/>
      </c>
      <c r="N81" s="98"/>
      <c r="O81" s="98"/>
      <c r="P81" s="105"/>
      <c r="Q81" s="98"/>
      <c r="R81" s="104" t="str">
        <f t="shared" si="11"/>
        <v/>
      </c>
    </row>
    <row r="82" spans="1:18">
      <c r="A82" s="67" t="str">
        <f t="shared" si="8"/>
        <v/>
      </c>
      <c r="B82" s="77"/>
      <c r="C82" s="67" t="str">
        <f t="shared" si="9"/>
        <v/>
      </c>
      <c r="D82" s="64"/>
      <c r="E82" s="64"/>
      <c r="F82" s="78"/>
      <c r="G82" s="64"/>
      <c r="H82" s="67" t="str">
        <f>IF(G82="","",IFERROR(INDEX(PERKARA!$B$5:$B$104,MATCH(G82,PERKARA!$A$5:$A$104,0)),"ID TIDAK TERDAFTAR"))</f>
        <v/>
      </c>
      <c r="I82" s="64"/>
      <c r="J82" s="64"/>
      <c r="K82" s="64"/>
      <c r="L82" s="64"/>
      <c r="M82" s="67" t="str">
        <f t="shared" si="10"/>
        <v/>
      </c>
      <c r="N82" s="98"/>
      <c r="O82" s="98"/>
      <c r="P82" s="105"/>
      <c r="Q82" s="98"/>
      <c r="R82" s="104" t="str">
        <f t="shared" si="11"/>
        <v/>
      </c>
    </row>
    <row r="83" spans="1:18">
      <c r="A83" s="67" t="str">
        <f t="shared" si="8"/>
        <v/>
      </c>
      <c r="B83" s="77"/>
      <c r="C83" s="67" t="str">
        <f t="shared" si="9"/>
        <v/>
      </c>
      <c r="D83" s="64"/>
      <c r="E83" s="64"/>
      <c r="F83" s="78"/>
      <c r="G83" s="64"/>
      <c r="H83" s="67" t="str">
        <f>IF(G83="","",IFERROR(INDEX(PERKARA!$B$5:$B$104,MATCH(G83,PERKARA!$A$5:$A$104,0)),"ID TIDAK TERDAFTAR"))</f>
        <v/>
      </c>
      <c r="I83" s="64"/>
      <c r="J83" s="64"/>
      <c r="K83" s="64"/>
      <c r="L83" s="64"/>
      <c r="M83" s="67" t="str">
        <f t="shared" si="10"/>
        <v/>
      </c>
      <c r="N83" s="98"/>
      <c r="O83" s="98"/>
      <c r="P83" s="105"/>
      <c r="Q83" s="98"/>
      <c r="R83" s="104" t="str">
        <f t="shared" si="11"/>
        <v/>
      </c>
    </row>
    <row r="84" spans="1:18">
      <c r="A84" s="67" t="str">
        <f t="shared" si="8"/>
        <v/>
      </c>
      <c r="B84" s="77"/>
      <c r="C84" s="67" t="str">
        <f t="shared" si="9"/>
        <v/>
      </c>
      <c r="D84" s="64"/>
      <c r="E84" s="64"/>
      <c r="F84" s="78"/>
      <c r="G84" s="64"/>
      <c r="H84" s="67" t="str">
        <f>IF(G84="","",IFERROR(INDEX(PERKARA!$B$5:$B$104,MATCH(G84,PERKARA!$A$5:$A$104,0)),"ID TIDAK TERDAFTAR"))</f>
        <v/>
      </c>
      <c r="I84" s="64"/>
      <c r="J84" s="64"/>
      <c r="K84" s="64"/>
      <c r="L84" s="64"/>
      <c r="M84" s="67" t="str">
        <f t="shared" si="10"/>
        <v/>
      </c>
      <c r="N84" s="98"/>
      <c r="O84" s="98"/>
      <c r="P84" s="105"/>
      <c r="Q84" s="98"/>
      <c r="R84" s="104" t="str">
        <f t="shared" si="11"/>
        <v/>
      </c>
    </row>
    <row r="85" spans="1:18">
      <c r="A85" s="67" t="str">
        <f t="shared" si="8"/>
        <v/>
      </c>
      <c r="B85" s="77"/>
      <c r="C85" s="67" t="str">
        <f t="shared" si="9"/>
        <v/>
      </c>
      <c r="D85" s="64"/>
      <c r="E85" s="64"/>
      <c r="F85" s="78"/>
      <c r="G85" s="64"/>
      <c r="H85" s="67" t="str">
        <f>IF(G85="","",IFERROR(INDEX(PERKARA!$B$5:$B$104,MATCH(G85,PERKARA!$A$5:$A$104,0)),"ID TIDAK TERDAFTAR"))</f>
        <v/>
      </c>
      <c r="I85" s="64"/>
      <c r="J85" s="64"/>
      <c r="K85" s="64"/>
      <c r="L85" s="64"/>
      <c r="M85" s="67" t="str">
        <f t="shared" si="10"/>
        <v/>
      </c>
      <c r="N85" s="98"/>
      <c r="O85" s="98"/>
      <c r="P85" s="105"/>
      <c r="Q85" s="98"/>
      <c r="R85" s="104" t="str">
        <f t="shared" si="11"/>
        <v/>
      </c>
    </row>
    <row r="86" spans="1:18">
      <c r="A86" s="67" t="str">
        <f t="shared" si="8"/>
        <v/>
      </c>
      <c r="B86" s="77"/>
      <c r="C86" s="67" t="str">
        <f t="shared" si="9"/>
        <v/>
      </c>
      <c r="D86" s="64"/>
      <c r="E86" s="64"/>
      <c r="F86" s="78"/>
      <c r="G86" s="64"/>
      <c r="H86" s="67" t="str">
        <f>IF(G86="","",IFERROR(INDEX(PERKARA!$B$5:$B$104,MATCH(G86,PERKARA!$A$5:$A$104,0)),"ID TIDAK TERDAFTAR"))</f>
        <v/>
      </c>
      <c r="I86" s="64"/>
      <c r="J86" s="64"/>
      <c r="K86" s="64"/>
      <c r="L86" s="64"/>
      <c r="M86" s="67" t="str">
        <f t="shared" si="10"/>
        <v/>
      </c>
      <c r="N86" s="98"/>
      <c r="O86" s="98"/>
      <c r="P86" s="105"/>
      <c r="Q86" s="98"/>
      <c r="R86" s="104" t="str">
        <f t="shared" si="11"/>
        <v/>
      </c>
    </row>
    <row r="87" spans="1:18">
      <c r="A87" s="67" t="str">
        <f t="shared" si="8"/>
        <v/>
      </c>
      <c r="B87" s="77"/>
      <c r="C87" s="67" t="str">
        <f t="shared" si="9"/>
        <v/>
      </c>
      <c r="D87" s="64"/>
      <c r="E87" s="64"/>
      <c r="F87" s="78"/>
      <c r="G87" s="64"/>
      <c r="H87" s="67" t="str">
        <f>IF(G87="","",IFERROR(INDEX(PERKARA!$B$5:$B$104,MATCH(G87,PERKARA!$A$5:$A$104,0)),"ID TIDAK TERDAFTAR"))</f>
        <v/>
      </c>
      <c r="I87" s="64"/>
      <c r="J87" s="64"/>
      <c r="K87" s="64"/>
      <c r="L87" s="64"/>
      <c r="M87" s="67" t="str">
        <f t="shared" si="10"/>
        <v/>
      </c>
      <c r="N87" s="98"/>
      <c r="O87" s="98"/>
      <c r="P87" s="105"/>
      <c r="Q87" s="98"/>
      <c r="R87" s="104" t="str">
        <f t="shared" si="11"/>
        <v/>
      </c>
    </row>
    <row r="88" spans="1:18">
      <c r="A88" s="67" t="str">
        <f t="shared" si="8"/>
        <v/>
      </c>
      <c r="B88" s="77"/>
      <c r="C88" s="67" t="str">
        <f t="shared" si="9"/>
        <v/>
      </c>
      <c r="D88" s="64"/>
      <c r="E88" s="64"/>
      <c r="F88" s="78"/>
      <c r="G88" s="64"/>
      <c r="H88" s="67" t="str">
        <f>IF(G88="","",IFERROR(INDEX(PERKARA!$B$5:$B$104,MATCH(G88,PERKARA!$A$5:$A$104,0)),"ID TIDAK TERDAFTAR"))</f>
        <v/>
      </c>
      <c r="I88" s="64"/>
      <c r="J88" s="64"/>
      <c r="K88" s="64"/>
      <c r="L88" s="64"/>
      <c r="M88" s="67" t="str">
        <f t="shared" si="10"/>
        <v/>
      </c>
      <c r="N88" s="98"/>
      <c r="O88" s="98"/>
      <c r="P88" s="105"/>
      <c r="Q88" s="98"/>
      <c r="R88" s="104" t="str">
        <f t="shared" si="11"/>
        <v/>
      </c>
    </row>
    <row r="89" spans="1:18">
      <c r="A89" s="67" t="str">
        <f t="shared" si="8"/>
        <v/>
      </c>
      <c r="B89" s="77"/>
      <c r="C89" s="67" t="str">
        <f t="shared" si="9"/>
        <v/>
      </c>
      <c r="D89" s="64"/>
      <c r="E89" s="64"/>
      <c r="F89" s="78"/>
      <c r="G89" s="64"/>
      <c r="H89" s="67" t="str">
        <f>IF(G89="","",IFERROR(INDEX(PERKARA!$B$5:$B$104,MATCH(G89,PERKARA!$A$5:$A$104,0)),"ID TIDAK TERDAFTAR"))</f>
        <v/>
      </c>
      <c r="I89" s="64"/>
      <c r="J89" s="64"/>
      <c r="K89" s="64"/>
      <c r="L89" s="64"/>
      <c r="M89" s="67" t="str">
        <f t="shared" si="10"/>
        <v/>
      </c>
      <c r="N89" s="98"/>
      <c r="O89" s="98"/>
      <c r="P89" s="105"/>
      <c r="Q89" s="98"/>
      <c r="R89" s="104" t="str">
        <f t="shared" si="11"/>
        <v/>
      </c>
    </row>
    <row r="90" spans="1:18">
      <c r="A90" s="67" t="str">
        <f t="shared" si="8"/>
        <v/>
      </c>
      <c r="B90" s="77"/>
      <c r="C90" s="67" t="str">
        <f t="shared" si="9"/>
        <v/>
      </c>
      <c r="D90" s="64"/>
      <c r="E90" s="64"/>
      <c r="F90" s="78"/>
      <c r="G90" s="64"/>
      <c r="H90" s="67" t="str">
        <f>IF(G90="","",IFERROR(INDEX(PERKARA!$B$5:$B$104,MATCH(G90,PERKARA!$A$5:$A$104,0)),"ID TIDAK TERDAFTAR"))</f>
        <v/>
      </c>
      <c r="I90" s="64"/>
      <c r="J90" s="64"/>
      <c r="K90" s="64"/>
      <c r="L90" s="64"/>
      <c r="M90" s="67" t="str">
        <f t="shared" si="10"/>
        <v/>
      </c>
      <c r="N90" s="98"/>
      <c r="O90" s="98"/>
      <c r="P90" s="105"/>
      <c r="Q90" s="98"/>
      <c r="R90" s="104" t="str">
        <f t="shared" si="11"/>
        <v/>
      </c>
    </row>
    <row r="91" spans="1:18">
      <c r="A91" s="67" t="str">
        <f t="shared" si="8"/>
        <v/>
      </c>
      <c r="B91" s="77"/>
      <c r="C91" s="67" t="str">
        <f t="shared" si="9"/>
        <v/>
      </c>
      <c r="D91" s="64"/>
      <c r="E91" s="64"/>
      <c r="F91" s="78"/>
      <c r="G91" s="64"/>
      <c r="H91" s="67" t="str">
        <f>IF(G91="","",IFERROR(INDEX(PERKARA!$B$5:$B$104,MATCH(G91,PERKARA!$A$5:$A$104,0)),"ID TIDAK TERDAFTAR"))</f>
        <v/>
      </c>
      <c r="I91" s="64"/>
      <c r="J91" s="64"/>
      <c r="K91" s="64"/>
      <c r="L91" s="64"/>
      <c r="M91" s="67" t="str">
        <f t="shared" si="10"/>
        <v/>
      </c>
      <c r="N91" s="98"/>
      <c r="O91" s="98"/>
      <c r="P91" s="105"/>
      <c r="Q91" s="98"/>
      <c r="R91" s="104" t="str">
        <f t="shared" si="11"/>
        <v/>
      </c>
    </row>
    <row r="92" spans="1:18">
      <c r="A92" s="67" t="str">
        <f t="shared" si="8"/>
        <v/>
      </c>
      <c r="B92" s="77"/>
      <c r="C92" s="67" t="str">
        <f t="shared" si="9"/>
        <v/>
      </c>
      <c r="D92" s="64"/>
      <c r="E92" s="64"/>
      <c r="F92" s="78"/>
      <c r="G92" s="64"/>
      <c r="H92" s="67" t="str">
        <f>IF(G92="","",IFERROR(INDEX(PERKARA!$B$5:$B$104,MATCH(G92,PERKARA!$A$5:$A$104,0)),"ID TIDAK TERDAFTAR"))</f>
        <v/>
      </c>
      <c r="I92" s="64"/>
      <c r="J92" s="64"/>
      <c r="K92" s="64"/>
      <c r="L92" s="64"/>
      <c r="M92" s="67" t="str">
        <f t="shared" si="10"/>
        <v/>
      </c>
      <c r="N92" s="98"/>
      <c r="O92" s="98"/>
      <c r="P92" s="105"/>
      <c r="Q92" s="98"/>
      <c r="R92" s="104" t="str">
        <f t="shared" si="11"/>
        <v/>
      </c>
    </row>
    <row r="93" spans="1:18">
      <c r="A93" s="67" t="str">
        <f t="shared" si="8"/>
        <v/>
      </c>
      <c r="B93" s="77"/>
      <c r="C93" s="67" t="str">
        <f t="shared" si="9"/>
        <v/>
      </c>
      <c r="D93" s="64"/>
      <c r="E93" s="64"/>
      <c r="F93" s="78"/>
      <c r="G93" s="64"/>
      <c r="H93" s="67" t="str">
        <f>IF(G93="","",IFERROR(INDEX(PERKARA!$B$5:$B$104,MATCH(G93,PERKARA!$A$5:$A$104,0)),"ID TIDAK TERDAFTAR"))</f>
        <v/>
      </c>
      <c r="I93" s="64"/>
      <c r="J93" s="64"/>
      <c r="K93" s="64"/>
      <c r="L93" s="64"/>
      <c r="M93" s="67" t="str">
        <f t="shared" si="10"/>
        <v/>
      </c>
      <c r="N93" s="98"/>
      <c r="O93" s="98"/>
      <c r="P93" s="105"/>
      <c r="Q93" s="98"/>
      <c r="R93" s="104" t="str">
        <f t="shared" si="11"/>
        <v/>
      </c>
    </row>
    <row r="94" spans="1:18">
      <c r="A94" s="67" t="str">
        <f t="shared" si="8"/>
        <v/>
      </c>
      <c r="B94" s="77"/>
      <c r="C94" s="67" t="str">
        <f t="shared" si="9"/>
        <v/>
      </c>
      <c r="D94" s="64"/>
      <c r="E94" s="64"/>
      <c r="F94" s="78"/>
      <c r="G94" s="64"/>
      <c r="H94" s="67" t="str">
        <f>IF(G94="","",IFERROR(INDEX(PERKARA!$B$5:$B$104,MATCH(G94,PERKARA!$A$5:$A$104,0)),"ID TIDAK TERDAFTAR"))</f>
        <v/>
      </c>
      <c r="I94" s="64"/>
      <c r="J94" s="64"/>
      <c r="K94" s="64"/>
      <c r="L94" s="64"/>
      <c r="M94" s="67" t="str">
        <f t="shared" si="10"/>
        <v/>
      </c>
      <c r="N94" s="98"/>
      <c r="O94" s="98"/>
      <c r="P94" s="105"/>
      <c r="Q94" s="98"/>
      <c r="R94" s="104" t="str">
        <f t="shared" si="11"/>
        <v/>
      </c>
    </row>
    <row r="95" spans="1:18">
      <c r="A95" s="67" t="str">
        <f t="shared" si="8"/>
        <v/>
      </c>
      <c r="B95" s="77"/>
      <c r="C95" s="67" t="str">
        <f t="shared" si="9"/>
        <v/>
      </c>
      <c r="D95" s="64"/>
      <c r="E95" s="64"/>
      <c r="F95" s="78"/>
      <c r="G95" s="64"/>
      <c r="H95" s="67" t="str">
        <f>IF(G95="","",IFERROR(INDEX(PERKARA!$B$5:$B$104,MATCH(G95,PERKARA!$A$5:$A$104,0)),"ID TIDAK TERDAFTAR"))</f>
        <v/>
      </c>
      <c r="I95" s="64"/>
      <c r="J95" s="64"/>
      <c r="K95" s="64"/>
      <c r="L95" s="64"/>
      <c r="M95" s="67" t="str">
        <f t="shared" si="10"/>
        <v/>
      </c>
      <c r="N95" s="98"/>
      <c r="O95" s="98"/>
      <c r="P95" s="105"/>
      <c r="Q95" s="98"/>
      <c r="R95" s="104" t="str">
        <f t="shared" si="11"/>
        <v/>
      </c>
    </row>
    <row r="96" spans="1:18">
      <c r="A96" s="67" t="str">
        <f t="shared" si="8"/>
        <v/>
      </c>
      <c r="B96" s="77"/>
      <c r="C96" s="67" t="str">
        <f t="shared" si="9"/>
        <v/>
      </c>
      <c r="D96" s="64"/>
      <c r="E96" s="64"/>
      <c r="F96" s="78"/>
      <c r="G96" s="64"/>
      <c r="H96" s="67" t="str">
        <f>IF(G96="","",IFERROR(INDEX(PERKARA!$B$5:$B$104,MATCH(G96,PERKARA!$A$5:$A$104,0)),"ID TIDAK TERDAFTAR"))</f>
        <v/>
      </c>
      <c r="I96" s="64"/>
      <c r="J96" s="64"/>
      <c r="K96" s="64"/>
      <c r="L96" s="64"/>
      <c r="M96" s="67" t="str">
        <f t="shared" si="10"/>
        <v/>
      </c>
      <c r="N96" s="98"/>
      <c r="O96" s="98"/>
      <c r="P96" s="105"/>
      <c r="Q96" s="98"/>
      <c r="R96" s="104" t="str">
        <f t="shared" si="11"/>
        <v/>
      </c>
    </row>
    <row r="97" spans="1:18">
      <c r="A97" s="67" t="str">
        <f t="shared" si="8"/>
        <v/>
      </c>
      <c r="B97" s="77"/>
      <c r="C97" s="67" t="str">
        <f t="shared" si="9"/>
        <v/>
      </c>
      <c r="D97" s="64"/>
      <c r="E97" s="64"/>
      <c r="F97" s="78"/>
      <c r="G97" s="64"/>
      <c r="H97" s="67" t="str">
        <f>IF(G97="","",IFERROR(INDEX(PERKARA!$B$5:$B$104,MATCH(G97,PERKARA!$A$5:$A$104,0)),"ID TIDAK TERDAFTAR"))</f>
        <v/>
      </c>
      <c r="I97" s="64"/>
      <c r="J97" s="64"/>
      <c r="K97" s="64"/>
      <c r="L97" s="64"/>
      <c r="M97" s="67" t="str">
        <f t="shared" si="10"/>
        <v/>
      </c>
      <c r="N97" s="98"/>
      <c r="O97" s="98"/>
      <c r="P97" s="105"/>
      <c r="Q97" s="98"/>
      <c r="R97" s="104" t="str">
        <f t="shared" si="11"/>
        <v/>
      </c>
    </row>
    <row r="98" spans="1:18">
      <c r="A98" s="67" t="str">
        <f t="shared" si="8"/>
        <v/>
      </c>
      <c r="B98" s="77"/>
      <c r="C98" s="67" t="str">
        <f t="shared" si="9"/>
        <v/>
      </c>
      <c r="D98" s="64"/>
      <c r="E98" s="64"/>
      <c r="F98" s="78"/>
      <c r="G98" s="64"/>
      <c r="H98" s="67" t="str">
        <f>IF(G98="","",IFERROR(INDEX(PERKARA!$B$5:$B$104,MATCH(G98,PERKARA!$A$5:$A$104,0)),"ID TIDAK TERDAFTAR"))</f>
        <v/>
      </c>
      <c r="I98" s="64"/>
      <c r="J98" s="64"/>
      <c r="K98" s="64"/>
      <c r="L98" s="64"/>
      <c r="M98" s="67" t="str">
        <f t="shared" si="10"/>
        <v/>
      </c>
      <c r="N98" s="98"/>
      <c r="O98" s="98"/>
      <c r="P98" s="105"/>
      <c r="Q98" s="98"/>
      <c r="R98" s="104" t="str">
        <f t="shared" si="11"/>
        <v/>
      </c>
    </row>
    <row r="99" spans="1:18">
      <c r="A99" s="67" t="str">
        <f t="shared" si="8"/>
        <v/>
      </c>
      <c r="B99" s="77"/>
      <c r="C99" s="67" t="str">
        <f t="shared" si="9"/>
        <v/>
      </c>
      <c r="D99" s="64"/>
      <c r="E99" s="64"/>
      <c r="F99" s="78"/>
      <c r="G99" s="64"/>
      <c r="H99" s="67" t="str">
        <f>IF(G99="","",IFERROR(INDEX(PERKARA!$B$5:$B$104,MATCH(G99,PERKARA!$A$5:$A$104,0)),"ID TIDAK TERDAFTAR"))</f>
        <v/>
      </c>
      <c r="I99" s="64"/>
      <c r="J99" s="64"/>
      <c r="K99" s="64"/>
      <c r="L99" s="64"/>
      <c r="M99" s="67" t="str">
        <f t="shared" si="10"/>
        <v/>
      </c>
      <c r="N99" s="98"/>
      <c r="O99" s="98"/>
      <c r="P99" s="105"/>
      <c r="Q99" s="98"/>
      <c r="R99" s="104" t="str">
        <f t="shared" si="11"/>
        <v/>
      </c>
    </row>
    <row r="100" spans="1:18">
      <c r="A100" s="67" t="str">
        <f t="shared" si="8"/>
        <v/>
      </c>
      <c r="B100" s="77"/>
      <c r="C100" s="67" t="str">
        <f t="shared" si="9"/>
        <v/>
      </c>
      <c r="D100" s="64"/>
      <c r="E100" s="64"/>
      <c r="F100" s="78"/>
      <c r="G100" s="64"/>
      <c r="H100" s="67" t="str">
        <f>IF(G100="","",IFERROR(INDEX(PERKARA!$B$5:$B$104,MATCH(G100,PERKARA!$A$5:$A$104,0)),"ID TIDAK TERDAFTAR"))</f>
        <v/>
      </c>
      <c r="I100" s="64"/>
      <c r="J100" s="64"/>
      <c r="K100" s="64"/>
      <c r="L100" s="64"/>
      <c r="M100" s="67" t="str">
        <f t="shared" si="10"/>
        <v/>
      </c>
      <c r="N100" s="98"/>
      <c r="O100" s="98"/>
      <c r="P100" s="105"/>
      <c r="Q100" s="98"/>
      <c r="R100" s="104" t="str">
        <f t="shared" si="11"/>
        <v/>
      </c>
    </row>
    <row r="101" spans="1:18">
      <c r="A101" s="67" t="str">
        <f t="shared" ref="A101:A132" si="12">IF(B101="","",IFERROR("TRF-"&amp;TEXT(B101,"yyyymmdd")&amp;"-"&amp;TEXT(ROW()-4,"000"),"TANGGAL TIDAK VALID"))</f>
        <v/>
      </c>
      <c r="B101" s="77"/>
      <c r="C101" s="67" t="str">
        <f t="shared" ref="C101:C132" si="13">IF(B101="","",IFERROR(TEXT(B101,"yyyy-mm"),""))</f>
        <v/>
      </c>
      <c r="D101" s="64"/>
      <c r="E101" s="64"/>
      <c r="F101" s="78"/>
      <c r="G101" s="64"/>
      <c r="H101" s="67" t="str">
        <f>IF(G101="","",IFERROR(INDEX(PERKARA!$B$5:$B$104,MATCH(G101,PERKARA!$A$5:$A$104,0)),"ID TIDAK TERDAFTAR"))</f>
        <v/>
      </c>
      <c r="I101" s="64"/>
      <c r="J101" s="64"/>
      <c r="K101" s="64"/>
      <c r="L101" s="64"/>
      <c r="M101" s="67" t="str">
        <f t="shared" ref="M101:M132" si="14">IF(B101="","",IF(OR(D101="",E101=""),"AKUN BELUM LENGKAP",IF(D101=E101,"AKUN ASAL DAN TUJUAN SAMA",IF(F101&lt;=0,"NOMINAL TIDAK VALID",IF(AND(G101&lt;&gt;"",H101="ID TIDAK TERDAFTAR"),"PERKARA TIDAK VALID",IF(R101&lt;&gt;"LENGKAP","TRANSFER BELUM DIOTORISASI","OK"))))))</f>
        <v/>
      </c>
      <c r="N101" s="98"/>
      <c r="O101" s="98"/>
      <c r="P101" s="105"/>
      <c r="Q101" s="98"/>
      <c r="R101" s="104" t="str">
        <f t="shared" ref="R101:R132" si="15">IF(B101="","",IF(N101="Ditolak","DITOLAK",IF(AND(N101="Disetujui",O101&lt;&gt;""),"LENGKAP",IF(N101="Disetujui","NAMA PENYETUJU BELUM DIISI","MENUNGGU PERSETUJUAN MANUAL"))))</f>
        <v/>
      </c>
    </row>
    <row r="102" spans="1:18">
      <c r="A102" s="67" t="str">
        <f t="shared" si="12"/>
        <v/>
      </c>
      <c r="B102" s="77"/>
      <c r="C102" s="67" t="str">
        <f t="shared" si="13"/>
        <v/>
      </c>
      <c r="D102" s="64"/>
      <c r="E102" s="64"/>
      <c r="F102" s="78"/>
      <c r="G102" s="64"/>
      <c r="H102" s="67" t="str">
        <f>IF(G102="","",IFERROR(INDEX(PERKARA!$B$5:$B$104,MATCH(G102,PERKARA!$A$5:$A$104,0)),"ID TIDAK TERDAFTAR"))</f>
        <v/>
      </c>
      <c r="I102" s="64"/>
      <c r="J102" s="64"/>
      <c r="K102" s="64"/>
      <c r="L102" s="64"/>
      <c r="M102" s="67" t="str">
        <f t="shared" si="14"/>
        <v/>
      </c>
      <c r="N102" s="98"/>
      <c r="O102" s="98"/>
      <c r="P102" s="105"/>
      <c r="Q102" s="98"/>
      <c r="R102" s="104" t="str">
        <f t="shared" si="15"/>
        <v/>
      </c>
    </row>
    <row r="103" spans="1:18">
      <c r="A103" s="67" t="str">
        <f t="shared" si="12"/>
        <v/>
      </c>
      <c r="B103" s="77"/>
      <c r="C103" s="67" t="str">
        <f t="shared" si="13"/>
        <v/>
      </c>
      <c r="D103" s="64"/>
      <c r="E103" s="64"/>
      <c r="F103" s="78"/>
      <c r="G103" s="64"/>
      <c r="H103" s="67" t="str">
        <f>IF(G103="","",IFERROR(INDEX(PERKARA!$B$5:$B$104,MATCH(G103,PERKARA!$A$5:$A$104,0)),"ID TIDAK TERDAFTAR"))</f>
        <v/>
      </c>
      <c r="I103" s="64"/>
      <c r="J103" s="64"/>
      <c r="K103" s="64"/>
      <c r="L103" s="64"/>
      <c r="M103" s="67" t="str">
        <f t="shared" si="14"/>
        <v/>
      </c>
      <c r="N103" s="98"/>
      <c r="O103" s="98"/>
      <c r="P103" s="105"/>
      <c r="Q103" s="98"/>
      <c r="R103" s="104" t="str">
        <f t="shared" si="15"/>
        <v/>
      </c>
    </row>
    <row r="104" spans="1:18">
      <c r="A104" s="67" t="str">
        <f t="shared" si="12"/>
        <v/>
      </c>
      <c r="B104" s="77"/>
      <c r="C104" s="67" t="str">
        <f t="shared" si="13"/>
        <v/>
      </c>
      <c r="D104" s="64"/>
      <c r="E104" s="64"/>
      <c r="F104" s="78"/>
      <c r="G104" s="64"/>
      <c r="H104" s="67" t="str">
        <f>IF(G104="","",IFERROR(INDEX(PERKARA!$B$5:$B$104,MATCH(G104,PERKARA!$A$5:$A$104,0)),"ID TIDAK TERDAFTAR"))</f>
        <v/>
      </c>
      <c r="I104" s="64"/>
      <c r="J104" s="64"/>
      <c r="K104" s="64"/>
      <c r="L104" s="64"/>
      <c r="M104" s="67" t="str">
        <f t="shared" si="14"/>
        <v/>
      </c>
      <c r="N104" s="98"/>
      <c r="O104" s="98"/>
      <c r="P104" s="105"/>
      <c r="Q104" s="98"/>
      <c r="R104" s="104" t="str">
        <f t="shared" si="15"/>
        <v/>
      </c>
    </row>
    <row r="105" spans="1:18">
      <c r="A105" s="67" t="str">
        <f t="shared" si="12"/>
        <v/>
      </c>
      <c r="B105" s="77"/>
      <c r="C105" s="67" t="str">
        <f t="shared" si="13"/>
        <v/>
      </c>
      <c r="D105" s="64"/>
      <c r="E105" s="64"/>
      <c r="F105" s="78"/>
      <c r="G105" s="64"/>
      <c r="H105" s="67" t="str">
        <f>IF(G105="","",IFERROR(INDEX(PERKARA!$B$5:$B$104,MATCH(G105,PERKARA!$A$5:$A$104,0)),"ID TIDAK TERDAFTAR"))</f>
        <v/>
      </c>
      <c r="I105" s="64"/>
      <c r="J105" s="64"/>
      <c r="K105" s="64"/>
      <c r="L105" s="64"/>
      <c r="M105" s="67" t="str">
        <f t="shared" si="14"/>
        <v/>
      </c>
      <c r="N105" s="98"/>
      <c r="O105" s="98"/>
      <c r="P105" s="105"/>
      <c r="Q105" s="98"/>
      <c r="R105" s="104" t="str">
        <f t="shared" si="15"/>
        <v/>
      </c>
    </row>
    <row r="106" spans="1:18">
      <c r="A106" s="67" t="str">
        <f t="shared" si="12"/>
        <v/>
      </c>
      <c r="B106" s="77"/>
      <c r="C106" s="67" t="str">
        <f t="shared" si="13"/>
        <v/>
      </c>
      <c r="D106" s="64"/>
      <c r="E106" s="64"/>
      <c r="F106" s="78"/>
      <c r="G106" s="64"/>
      <c r="H106" s="67" t="str">
        <f>IF(G106="","",IFERROR(INDEX(PERKARA!$B$5:$B$104,MATCH(G106,PERKARA!$A$5:$A$104,0)),"ID TIDAK TERDAFTAR"))</f>
        <v/>
      </c>
      <c r="I106" s="64"/>
      <c r="J106" s="64"/>
      <c r="K106" s="64"/>
      <c r="L106" s="64"/>
      <c r="M106" s="67" t="str">
        <f t="shared" si="14"/>
        <v/>
      </c>
      <c r="N106" s="98"/>
      <c r="O106" s="98"/>
      <c r="P106" s="105"/>
      <c r="Q106" s="98"/>
      <c r="R106" s="104" t="str">
        <f t="shared" si="15"/>
        <v/>
      </c>
    </row>
    <row r="107" spans="1:18">
      <c r="A107" s="67" t="str">
        <f t="shared" si="12"/>
        <v/>
      </c>
      <c r="B107" s="77"/>
      <c r="C107" s="67" t="str">
        <f t="shared" si="13"/>
        <v/>
      </c>
      <c r="D107" s="64"/>
      <c r="E107" s="64"/>
      <c r="F107" s="78"/>
      <c r="G107" s="64"/>
      <c r="H107" s="67" t="str">
        <f>IF(G107="","",IFERROR(INDEX(PERKARA!$B$5:$B$104,MATCH(G107,PERKARA!$A$5:$A$104,0)),"ID TIDAK TERDAFTAR"))</f>
        <v/>
      </c>
      <c r="I107" s="64"/>
      <c r="J107" s="64"/>
      <c r="K107" s="64"/>
      <c r="L107" s="64"/>
      <c r="M107" s="67" t="str">
        <f t="shared" si="14"/>
        <v/>
      </c>
      <c r="N107" s="98"/>
      <c r="O107" s="98"/>
      <c r="P107" s="105"/>
      <c r="Q107" s="98"/>
      <c r="R107" s="104" t="str">
        <f t="shared" si="15"/>
        <v/>
      </c>
    </row>
    <row r="108" spans="1:18">
      <c r="A108" s="67" t="str">
        <f t="shared" si="12"/>
        <v/>
      </c>
      <c r="B108" s="77"/>
      <c r="C108" s="67" t="str">
        <f t="shared" si="13"/>
        <v/>
      </c>
      <c r="D108" s="64"/>
      <c r="E108" s="64"/>
      <c r="F108" s="78"/>
      <c r="G108" s="64"/>
      <c r="H108" s="67" t="str">
        <f>IF(G108="","",IFERROR(INDEX(PERKARA!$B$5:$B$104,MATCH(G108,PERKARA!$A$5:$A$104,0)),"ID TIDAK TERDAFTAR"))</f>
        <v/>
      </c>
      <c r="I108" s="64"/>
      <c r="J108" s="64"/>
      <c r="K108" s="64"/>
      <c r="L108" s="64"/>
      <c r="M108" s="67" t="str">
        <f t="shared" si="14"/>
        <v/>
      </c>
      <c r="N108" s="98"/>
      <c r="O108" s="98"/>
      <c r="P108" s="105"/>
      <c r="Q108" s="98"/>
      <c r="R108" s="104" t="str">
        <f t="shared" si="15"/>
        <v/>
      </c>
    </row>
    <row r="109" spans="1:18">
      <c r="A109" s="67" t="str">
        <f t="shared" si="12"/>
        <v/>
      </c>
      <c r="B109" s="77"/>
      <c r="C109" s="67" t="str">
        <f t="shared" si="13"/>
        <v/>
      </c>
      <c r="D109" s="64"/>
      <c r="E109" s="64"/>
      <c r="F109" s="78"/>
      <c r="G109" s="64"/>
      <c r="H109" s="67" t="str">
        <f>IF(G109="","",IFERROR(INDEX(PERKARA!$B$5:$B$104,MATCH(G109,PERKARA!$A$5:$A$104,0)),"ID TIDAK TERDAFTAR"))</f>
        <v/>
      </c>
      <c r="I109" s="64"/>
      <c r="J109" s="64"/>
      <c r="K109" s="64"/>
      <c r="L109" s="64"/>
      <c r="M109" s="67" t="str">
        <f t="shared" si="14"/>
        <v/>
      </c>
      <c r="N109" s="98"/>
      <c r="O109" s="98"/>
      <c r="P109" s="105"/>
      <c r="Q109" s="98"/>
      <c r="R109" s="104" t="str">
        <f t="shared" si="15"/>
        <v/>
      </c>
    </row>
    <row r="110" spans="1:18">
      <c r="A110" s="67" t="str">
        <f t="shared" si="12"/>
        <v/>
      </c>
      <c r="B110" s="77"/>
      <c r="C110" s="67" t="str">
        <f t="shared" si="13"/>
        <v/>
      </c>
      <c r="D110" s="64"/>
      <c r="E110" s="64"/>
      <c r="F110" s="78"/>
      <c r="G110" s="64"/>
      <c r="H110" s="67" t="str">
        <f>IF(G110="","",IFERROR(INDEX(PERKARA!$B$5:$B$104,MATCH(G110,PERKARA!$A$5:$A$104,0)),"ID TIDAK TERDAFTAR"))</f>
        <v/>
      </c>
      <c r="I110" s="64"/>
      <c r="J110" s="64"/>
      <c r="K110" s="64"/>
      <c r="L110" s="64"/>
      <c r="M110" s="67" t="str">
        <f t="shared" si="14"/>
        <v/>
      </c>
      <c r="N110" s="98"/>
      <c r="O110" s="98"/>
      <c r="P110" s="105"/>
      <c r="Q110" s="98"/>
      <c r="R110" s="104" t="str">
        <f t="shared" si="15"/>
        <v/>
      </c>
    </row>
    <row r="111" spans="1:18">
      <c r="A111" s="67" t="str">
        <f t="shared" si="12"/>
        <v/>
      </c>
      <c r="B111" s="77"/>
      <c r="C111" s="67" t="str">
        <f t="shared" si="13"/>
        <v/>
      </c>
      <c r="D111" s="64"/>
      <c r="E111" s="64"/>
      <c r="F111" s="78"/>
      <c r="G111" s="64"/>
      <c r="H111" s="67" t="str">
        <f>IF(G111="","",IFERROR(INDEX(PERKARA!$B$5:$B$104,MATCH(G111,PERKARA!$A$5:$A$104,0)),"ID TIDAK TERDAFTAR"))</f>
        <v/>
      </c>
      <c r="I111" s="64"/>
      <c r="J111" s="64"/>
      <c r="K111" s="64"/>
      <c r="L111" s="64"/>
      <c r="M111" s="67" t="str">
        <f t="shared" si="14"/>
        <v/>
      </c>
      <c r="N111" s="98"/>
      <c r="O111" s="98"/>
      <c r="P111" s="105"/>
      <c r="Q111" s="98"/>
      <c r="R111" s="104" t="str">
        <f t="shared" si="15"/>
        <v/>
      </c>
    </row>
    <row r="112" spans="1:18">
      <c r="A112" s="67" t="str">
        <f t="shared" si="12"/>
        <v/>
      </c>
      <c r="B112" s="77"/>
      <c r="C112" s="67" t="str">
        <f t="shared" si="13"/>
        <v/>
      </c>
      <c r="D112" s="64"/>
      <c r="E112" s="64"/>
      <c r="F112" s="78"/>
      <c r="G112" s="64"/>
      <c r="H112" s="67" t="str">
        <f>IF(G112="","",IFERROR(INDEX(PERKARA!$B$5:$B$104,MATCH(G112,PERKARA!$A$5:$A$104,0)),"ID TIDAK TERDAFTAR"))</f>
        <v/>
      </c>
      <c r="I112" s="64"/>
      <c r="J112" s="64"/>
      <c r="K112" s="64"/>
      <c r="L112" s="64"/>
      <c r="M112" s="67" t="str">
        <f t="shared" si="14"/>
        <v/>
      </c>
      <c r="N112" s="98"/>
      <c r="O112" s="98"/>
      <c r="P112" s="105"/>
      <c r="Q112" s="98"/>
      <c r="R112" s="104" t="str">
        <f t="shared" si="15"/>
        <v/>
      </c>
    </row>
    <row r="113" spans="1:18">
      <c r="A113" s="67" t="str">
        <f t="shared" si="12"/>
        <v/>
      </c>
      <c r="B113" s="77"/>
      <c r="C113" s="67" t="str">
        <f t="shared" si="13"/>
        <v/>
      </c>
      <c r="D113" s="64"/>
      <c r="E113" s="64"/>
      <c r="F113" s="78"/>
      <c r="G113" s="64"/>
      <c r="H113" s="67" t="str">
        <f>IF(G113="","",IFERROR(INDEX(PERKARA!$B$5:$B$104,MATCH(G113,PERKARA!$A$5:$A$104,0)),"ID TIDAK TERDAFTAR"))</f>
        <v/>
      </c>
      <c r="I113" s="64"/>
      <c r="J113" s="64"/>
      <c r="K113" s="64"/>
      <c r="L113" s="64"/>
      <c r="M113" s="67" t="str">
        <f t="shared" si="14"/>
        <v/>
      </c>
      <c r="N113" s="98"/>
      <c r="O113" s="98"/>
      <c r="P113" s="105"/>
      <c r="Q113" s="98"/>
      <c r="R113" s="104" t="str">
        <f t="shared" si="15"/>
        <v/>
      </c>
    </row>
    <row r="114" spans="1:18">
      <c r="A114" s="67" t="str">
        <f t="shared" si="12"/>
        <v/>
      </c>
      <c r="B114" s="77"/>
      <c r="C114" s="67" t="str">
        <f t="shared" si="13"/>
        <v/>
      </c>
      <c r="D114" s="64"/>
      <c r="E114" s="64"/>
      <c r="F114" s="78"/>
      <c r="G114" s="64"/>
      <c r="H114" s="67" t="str">
        <f>IF(G114="","",IFERROR(INDEX(PERKARA!$B$5:$B$104,MATCH(G114,PERKARA!$A$5:$A$104,0)),"ID TIDAK TERDAFTAR"))</f>
        <v/>
      </c>
      <c r="I114" s="64"/>
      <c r="J114" s="64"/>
      <c r="K114" s="64"/>
      <c r="L114" s="64"/>
      <c r="M114" s="67" t="str">
        <f t="shared" si="14"/>
        <v/>
      </c>
      <c r="N114" s="98"/>
      <c r="O114" s="98"/>
      <c r="P114" s="105"/>
      <c r="Q114" s="98"/>
      <c r="R114" s="104" t="str">
        <f t="shared" si="15"/>
        <v/>
      </c>
    </row>
    <row r="115" spans="1:18">
      <c r="A115" s="67" t="str">
        <f t="shared" si="12"/>
        <v/>
      </c>
      <c r="B115" s="77"/>
      <c r="C115" s="67" t="str">
        <f t="shared" si="13"/>
        <v/>
      </c>
      <c r="D115" s="64"/>
      <c r="E115" s="64"/>
      <c r="F115" s="78"/>
      <c r="G115" s="64"/>
      <c r="H115" s="67" t="str">
        <f>IF(G115="","",IFERROR(INDEX(PERKARA!$B$5:$B$104,MATCH(G115,PERKARA!$A$5:$A$104,0)),"ID TIDAK TERDAFTAR"))</f>
        <v/>
      </c>
      <c r="I115" s="64"/>
      <c r="J115" s="64"/>
      <c r="K115" s="64"/>
      <c r="L115" s="64"/>
      <c r="M115" s="67" t="str">
        <f t="shared" si="14"/>
        <v/>
      </c>
      <c r="N115" s="98"/>
      <c r="O115" s="98"/>
      <c r="P115" s="105"/>
      <c r="Q115" s="98"/>
      <c r="R115" s="104" t="str">
        <f t="shared" si="15"/>
        <v/>
      </c>
    </row>
    <row r="116" spans="1:18">
      <c r="A116" s="67" t="str">
        <f t="shared" si="12"/>
        <v/>
      </c>
      <c r="B116" s="77"/>
      <c r="C116" s="67" t="str">
        <f t="shared" si="13"/>
        <v/>
      </c>
      <c r="D116" s="64"/>
      <c r="E116" s="64"/>
      <c r="F116" s="78"/>
      <c r="G116" s="64"/>
      <c r="H116" s="67" t="str">
        <f>IF(G116="","",IFERROR(INDEX(PERKARA!$B$5:$B$104,MATCH(G116,PERKARA!$A$5:$A$104,0)),"ID TIDAK TERDAFTAR"))</f>
        <v/>
      </c>
      <c r="I116" s="64"/>
      <c r="J116" s="64"/>
      <c r="K116" s="64"/>
      <c r="L116" s="64"/>
      <c r="M116" s="67" t="str">
        <f t="shared" si="14"/>
        <v/>
      </c>
      <c r="N116" s="98"/>
      <c r="O116" s="98"/>
      <c r="P116" s="105"/>
      <c r="Q116" s="98"/>
      <c r="R116" s="104" t="str">
        <f t="shared" si="15"/>
        <v/>
      </c>
    </row>
    <row r="117" spans="1:18">
      <c r="A117" s="67" t="str">
        <f t="shared" si="12"/>
        <v/>
      </c>
      <c r="B117" s="77"/>
      <c r="C117" s="67" t="str">
        <f t="shared" si="13"/>
        <v/>
      </c>
      <c r="D117" s="64"/>
      <c r="E117" s="64"/>
      <c r="F117" s="78"/>
      <c r="G117" s="64"/>
      <c r="H117" s="67" t="str">
        <f>IF(G117="","",IFERROR(INDEX(PERKARA!$B$5:$B$104,MATCH(G117,PERKARA!$A$5:$A$104,0)),"ID TIDAK TERDAFTAR"))</f>
        <v/>
      </c>
      <c r="I117" s="64"/>
      <c r="J117" s="64"/>
      <c r="K117" s="64"/>
      <c r="L117" s="64"/>
      <c r="M117" s="67" t="str">
        <f t="shared" si="14"/>
        <v/>
      </c>
      <c r="N117" s="98"/>
      <c r="O117" s="98"/>
      <c r="P117" s="105"/>
      <c r="Q117" s="98"/>
      <c r="R117" s="104" t="str">
        <f t="shared" si="15"/>
        <v/>
      </c>
    </row>
    <row r="118" spans="1:18">
      <c r="A118" s="67" t="str">
        <f t="shared" si="12"/>
        <v/>
      </c>
      <c r="B118" s="77"/>
      <c r="C118" s="67" t="str">
        <f t="shared" si="13"/>
        <v/>
      </c>
      <c r="D118" s="64"/>
      <c r="E118" s="64"/>
      <c r="F118" s="78"/>
      <c r="G118" s="64"/>
      <c r="H118" s="67" t="str">
        <f>IF(G118="","",IFERROR(INDEX(PERKARA!$B$5:$B$104,MATCH(G118,PERKARA!$A$5:$A$104,0)),"ID TIDAK TERDAFTAR"))</f>
        <v/>
      </c>
      <c r="I118" s="64"/>
      <c r="J118" s="64"/>
      <c r="K118" s="64"/>
      <c r="L118" s="64"/>
      <c r="M118" s="67" t="str">
        <f t="shared" si="14"/>
        <v/>
      </c>
      <c r="N118" s="98"/>
      <c r="O118" s="98"/>
      <c r="P118" s="105"/>
      <c r="Q118" s="98"/>
      <c r="R118" s="104" t="str">
        <f t="shared" si="15"/>
        <v/>
      </c>
    </row>
    <row r="119" spans="1:18">
      <c r="A119" s="67" t="str">
        <f t="shared" si="12"/>
        <v/>
      </c>
      <c r="B119" s="77"/>
      <c r="C119" s="67" t="str">
        <f t="shared" si="13"/>
        <v/>
      </c>
      <c r="D119" s="64"/>
      <c r="E119" s="64"/>
      <c r="F119" s="78"/>
      <c r="G119" s="64"/>
      <c r="H119" s="67" t="str">
        <f>IF(G119="","",IFERROR(INDEX(PERKARA!$B$5:$B$104,MATCH(G119,PERKARA!$A$5:$A$104,0)),"ID TIDAK TERDAFTAR"))</f>
        <v/>
      </c>
      <c r="I119" s="64"/>
      <c r="J119" s="64"/>
      <c r="K119" s="64"/>
      <c r="L119" s="64"/>
      <c r="M119" s="67" t="str">
        <f t="shared" si="14"/>
        <v/>
      </c>
      <c r="N119" s="98"/>
      <c r="O119" s="98"/>
      <c r="P119" s="105"/>
      <c r="Q119" s="98"/>
      <c r="R119" s="104" t="str">
        <f t="shared" si="15"/>
        <v/>
      </c>
    </row>
    <row r="120" spans="1:18">
      <c r="A120" s="67" t="str">
        <f t="shared" si="12"/>
        <v/>
      </c>
      <c r="B120" s="77"/>
      <c r="C120" s="67" t="str">
        <f t="shared" si="13"/>
        <v/>
      </c>
      <c r="D120" s="64"/>
      <c r="E120" s="64"/>
      <c r="F120" s="78"/>
      <c r="G120" s="64"/>
      <c r="H120" s="67" t="str">
        <f>IF(G120="","",IFERROR(INDEX(PERKARA!$B$5:$B$104,MATCH(G120,PERKARA!$A$5:$A$104,0)),"ID TIDAK TERDAFTAR"))</f>
        <v/>
      </c>
      <c r="I120" s="64"/>
      <c r="J120" s="64"/>
      <c r="K120" s="64"/>
      <c r="L120" s="64"/>
      <c r="M120" s="67" t="str">
        <f t="shared" si="14"/>
        <v/>
      </c>
      <c r="N120" s="98"/>
      <c r="O120" s="98"/>
      <c r="P120" s="105"/>
      <c r="Q120" s="98"/>
      <c r="R120" s="104" t="str">
        <f t="shared" si="15"/>
        <v/>
      </c>
    </row>
    <row r="121" spans="1:18">
      <c r="A121" s="67" t="str">
        <f t="shared" si="12"/>
        <v/>
      </c>
      <c r="B121" s="77"/>
      <c r="C121" s="67" t="str">
        <f t="shared" si="13"/>
        <v/>
      </c>
      <c r="D121" s="64"/>
      <c r="E121" s="64"/>
      <c r="F121" s="78"/>
      <c r="G121" s="64"/>
      <c r="H121" s="67" t="str">
        <f>IF(G121="","",IFERROR(INDEX(PERKARA!$B$5:$B$104,MATCH(G121,PERKARA!$A$5:$A$104,0)),"ID TIDAK TERDAFTAR"))</f>
        <v/>
      </c>
      <c r="I121" s="64"/>
      <c r="J121" s="64"/>
      <c r="K121" s="64"/>
      <c r="L121" s="64"/>
      <c r="M121" s="67" t="str">
        <f t="shared" si="14"/>
        <v/>
      </c>
      <c r="N121" s="98"/>
      <c r="O121" s="98"/>
      <c r="P121" s="105"/>
      <c r="Q121" s="98"/>
      <c r="R121" s="104" t="str">
        <f t="shared" si="15"/>
        <v/>
      </c>
    </row>
    <row r="122" spans="1:18">
      <c r="A122" s="67" t="str">
        <f t="shared" si="12"/>
        <v/>
      </c>
      <c r="B122" s="77"/>
      <c r="C122" s="67" t="str">
        <f t="shared" si="13"/>
        <v/>
      </c>
      <c r="D122" s="64"/>
      <c r="E122" s="64"/>
      <c r="F122" s="78"/>
      <c r="G122" s="64"/>
      <c r="H122" s="67" t="str">
        <f>IF(G122="","",IFERROR(INDEX(PERKARA!$B$5:$B$104,MATCH(G122,PERKARA!$A$5:$A$104,0)),"ID TIDAK TERDAFTAR"))</f>
        <v/>
      </c>
      <c r="I122" s="64"/>
      <c r="J122" s="64"/>
      <c r="K122" s="64"/>
      <c r="L122" s="64"/>
      <c r="M122" s="67" t="str">
        <f t="shared" si="14"/>
        <v/>
      </c>
      <c r="N122" s="98"/>
      <c r="O122" s="98"/>
      <c r="P122" s="105"/>
      <c r="Q122" s="98"/>
      <c r="R122" s="104" t="str">
        <f t="shared" si="15"/>
        <v/>
      </c>
    </row>
    <row r="123" spans="1:18">
      <c r="A123" s="67" t="str">
        <f t="shared" si="12"/>
        <v/>
      </c>
      <c r="B123" s="77"/>
      <c r="C123" s="67" t="str">
        <f t="shared" si="13"/>
        <v/>
      </c>
      <c r="D123" s="64"/>
      <c r="E123" s="64"/>
      <c r="F123" s="78"/>
      <c r="G123" s="64"/>
      <c r="H123" s="67" t="str">
        <f>IF(G123="","",IFERROR(INDEX(PERKARA!$B$5:$B$104,MATCH(G123,PERKARA!$A$5:$A$104,0)),"ID TIDAK TERDAFTAR"))</f>
        <v/>
      </c>
      <c r="I123" s="64"/>
      <c r="J123" s="64"/>
      <c r="K123" s="64"/>
      <c r="L123" s="64"/>
      <c r="M123" s="67" t="str">
        <f t="shared" si="14"/>
        <v/>
      </c>
      <c r="N123" s="98"/>
      <c r="O123" s="98"/>
      <c r="P123" s="105"/>
      <c r="Q123" s="98"/>
      <c r="R123" s="104" t="str">
        <f t="shared" si="15"/>
        <v/>
      </c>
    </row>
    <row r="124" spans="1:18">
      <c r="A124" s="67" t="str">
        <f t="shared" si="12"/>
        <v/>
      </c>
      <c r="B124" s="77"/>
      <c r="C124" s="67" t="str">
        <f t="shared" si="13"/>
        <v/>
      </c>
      <c r="D124" s="64"/>
      <c r="E124" s="64"/>
      <c r="F124" s="78"/>
      <c r="G124" s="64"/>
      <c r="H124" s="67" t="str">
        <f>IF(G124="","",IFERROR(INDEX(PERKARA!$B$5:$B$104,MATCH(G124,PERKARA!$A$5:$A$104,0)),"ID TIDAK TERDAFTAR"))</f>
        <v/>
      </c>
      <c r="I124" s="64"/>
      <c r="J124" s="64"/>
      <c r="K124" s="64"/>
      <c r="L124" s="64"/>
      <c r="M124" s="67" t="str">
        <f t="shared" si="14"/>
        <v/>
      </c>
      <c r="N124" s="98"/>
      <c r="O124" s="98"/>
      <c r="P124" s="105"/>
      <c r="Q124" s="98"/>
      <c r="R124" s="104" t="str">
        <f t="shared" si="15"/>
        <v/>
      </c>
    </row>
    <row r="125" spans="1:18">
      <c r="A125" s="67" t="str">
        <f t="shared" si="12"/>
        <v/>
      </c>
      <c r="B125" s="77"/>
      <c r="C125" s="67" t="str">
        <f t="shared" si="13"/>
        <v/>
      </c>
      <c r="D125" s="64"/>
      <c r="E125" s="64"/>
      <c r="F125" s="78"/>
      <c r="G125" s="64"/>
      <c r="H125" s="67" t="str">
        <f>IF(G125="","",IFERROR(INDEX(PERKARA!$B$5:$B$104,MATCH(G125,PERKARA!$A$5:$A$104,0)),"ID TIDAK TERDAFTAR"))</f>
        <v/>
      </c>
      <c r="I125" s="64"/>
      <c r="J125" s="64"/>
      <c r="K125" s="64"/>
      <c r="L125" s="64"/>
      <c r="M125" s="67" t="str">
        <f t="shared" si="14"/>
        <v/>
      </c>
      <c r="N125" s="98"/>
      <c r="O125" s="98"/>
      <c r="P125" s="105"/>
      <c r="Q125" s="98"/>
      <c r="R125" s="104" t="str">
        <f t="shared" si="15"/>
        <v/>
      </c>
    </row>
    <row r="126" spans="1:18">
      <c r="A126" s="67" t="str">
        <f t="shared" si="12"/>
        <v/>
      </c>
      <c r="B126" s="77"/>
      <c r="C126" s="67" t="str">
        <f t="shared" si="13"/>
        <v/>
      </c>
      <c r="D126" s="64"/>
      <c r="E126" s="64"/>
      <c r="F126" s="78"/>
      <c r="G126" s="64"/>
      <c r="H126" s="67" t="str">
        <f>IF(G126="","",IFERROR(INDEX(PERKARA!$B$5:$B$104,MATCH(G126,PERKARA!$A$5:$A$104,0)),"ID TIDAK TERDAFTAR"))</f>
        <v/>
      </c>
      <c r="I126" s="64"/>
      <c r="J126" s="64"/>
      <c r="K126" s="64"/>
      <c r="L126" s="64"/>
      <c r="M126" s="67" t="str">
        <f t="shared" si="14"/>
        <v/>
      </c>
      <c r="N126" s="98"/>
      <c r="O126" s="98"/>
      <c r="P126" s="105"/>
      <c r="Q126" s="98"/>
      <c r="R126" s="104" t="str">
        <f t="shared" si="15"/>
        <v/>
      </c>
    </row>
    <row r="127" spans="1:18">
      <c r="A127" s="67" t="str">
        <f t="shared" si="12"/>
        <v/>
      </c>
      <c r="B127" s="77"/>
      <c r="C127" s="67" t="str">
        <f t="shared" si="13"/>
        <v/>
      </c>
      <c r="D127" s="64"/>
      <c r="E127" s="64"/>
      <c r="F127" s="78"/>
      <c r="G127" s="64"/>
      <c r="H127" s="67" t="str">
        <f>IF(G127="","",IFERROR(INDEX(PERKARA!$B$5:$B$104,MATCH(G127,PERKARA!$A$5:$A$104,0)),"ID TIDAK TERDAFTAR"))</f>
        <v/>
      </c>
      <c r="I127" s="64"/>
      <c r="J127" s="64"/>
      <c r="K127" s="64"/>
      <c r="L127" s="64"/>
      <c r="M127" s="67" t="str">
        <f t="shared" si="14"/>
        <v/>
      </c>
      <c r="N127" s="98"/>
      <c r="O127" s="98"/>
      <c r="P127" s="105"/>
      <c r="Q127" s="98"/>
      <c r="R127" s="104" t="str">
        <f t="shared" si="15"/>
        <v/>
      </c>
    </row>
    <row r="128" spans="1:18">
      <c r="A128" s="67" t="str">
        <f t="shared" si="12"/>
        <v/>
      </c>
      <c r="B128" s="77"/>
      <c r="C128" s="67" t="str">
        <f t="shared" si="13"/>
        <v/>
      </c>
      <c r="D128" s="64"/>
      <c r="E128" s="64"/>
      <c r="F128" s="78"/>
      <c r="G128" s="64"/>
      <c r="H128" s="67" t="str">
        <f>IF(G128="","",IFERROR(INDEX(PERKARA!$B$5:$B$104,MATCH(G128,PERKARA!$A$5:$A$104,0)),"ID TIDAK TERDAFTAR"))</f>
        <v/>
      </c>
      <c r="I128" s="64"/>
      <c r="J128" s="64"/>
      <c r="K128" s="64"/>
      <c r="L128" s="64"/>
      <c r="M128" s="67" t="str">
        <f t="shared" si="14"/>
        <v/>
      </c>
      <c r="N128" s="98"/>
      <c r="O128" s="98"/>
      <c r="P128" s="105"/>
      <c r="Q128" s="98"/>
      <c r="R128" s="104" t="str">
        <f t="shared" si="15"/>
        <v/>
      </c>
    </row>
    <row r="129" spans="1:18">
      <c r="A129" s="67" t="str">
        <f t="shared" si="12"/>
        <v/>
      </c>
      <c r="B129" s="77"/>
      <c r="C129" s="67" t="str">
        <f t="shared" si="13"/>
        <v/>
      </c>
      <c r="D129" s="64"/>
      <c r="E129" s="64"/>
      <c r="F129" s="78"/>
      <c r="G129" s="64"/>
      <c r="H129" s="67" t="str">
        <f>IF(G129="","",IFERROR(INDEX(PERKARA!$B$5:$B$104,MATCH(G129,PERKARA!$A$5:$A$104,0)),"ID TIDAK TERDAFTAR"))</f>
        <v/>
      </c>
      <c r="I129" s="64"/>
      <c r="J129" s="64"/>
      <c r="K129" s="64"/>
      <c r="L129" s="64"/>
      <c r="M129" s="67" t="str">
        <f t="shared" si="14"/>
        <v/>
      </c>
      <c r="N129" s="98"/>
      <c r="O129" s="98"/>
      <c r="P129" s="105"/>
      <c r="Q129" s="98"/>
      <c r="R129" s="104" t="str">
        <f t="shared" si="15"/>
        <v/>
      </c>
    </row>
    <row r="130" spans="1:18">
      <c r="A130" s="67" t="str">
        <f t="shared" si="12"/>
        <v/>
      </c>
      <c r="B130" s="77"/>
      <c r="C130" s="67" t="str">
        <f t="shared" si="13"/>
        <v/>
      </c>
      <c r="D130" s="64"/>
      <c r="E130" s="64"/>
      <c r="F130" s="78"/>
      <c r="G130" s="64"/>
      <c r="H130" s="67" t="str">
        <f>IF(G130="","",IFERROR(INDEX(PERKARA!$B$5:$B$104,MATCH(G130,PERKARA!$A$5:$A$104,0)),"ID TIDAK TERDAFTAR"))</f>
        <v/>
      </c>
      <c r="I130" s="64"/>
      <c r="J130" s="64"/>
      <c r="K130" s="64"/>
      <c r="L130" s="64"/>
      <c r="M130" s="67" t="str">
        <f t="shared" si="14"/>
        <v/>
      </c>
      <c r="N130" s="98"/>
      <c r="O130" s="98"/>
      <c r="P130" s="105"/>
      <c r="Q130" s="98"/>
      <c r="R130" s="104" t="str">
        <f t="shared" si="15"/>
        <v/>
      </c>
    </row>
    <row r="131" spans="1:18">
      <c r="A131" s="67" t="str">
        <f t="shared" si="12"/>
        <v/>
      </c>
      <c r="B131" s="77"/>
      <c r="C131" s="67" t="str">
        <f t="shared" si="13"/>
        <v/>
      </c>
      <c r="D131" s="64"/>
      <c r="E131" s="64"/>
      <c r="F131" s="78"/>
      <c r="G131" s="64"/>
      <c r="H131" s="67" t="str">
        <f>IF(G131="","",IFERROR(INDEX(PERKARA!$B$5:$B$104,MATCH(G131,PERKARA!$A$5:$A$104,0)),"ID TIDAK TERDAFTAR"))</f>
        <v/>
      </c>
      <c r="I131" s="64"/>
      <c r="J131" s="64"/>
      <c r="K131" s="64"/>
      <c r="L131" s="64"/>
      <c r="M131" s="67" t="str">
        <f t="shared" si="14"/>
        <v/>
      </c>
      <c r="N131" s="98"/>
      <c r="O131" s="98"/>
      <c r="P131" s="105"/>
      <c r="Q131" s="98"/>
      <c r="R131" s="104" t="str">
        <f t="shared" si="15"/>
        <v/>
      </c>
    </row>
    <row r="132" spans="1:18">
      <c r="A132" s="67" t="str">
        <f t="shared" si="12"/>
        <v/>
      </c>
      <c r="B132" s="77"/>
      <c r="C132" s="67" t="str">
        <f t="shared" si="13"/>
        <v/>
      </c>
      <c r="D132" s="64"/>
      <c r="E132" s="64"/>
      <c r="F132" s="78"/>
      <c r="G132" s="64"/>
      <c r="H132" s="67" t="str">
        <f>IF(G132="","",IFERROR(INDEX(PERKARA!$B$5:$B$104,MATCH(G132,PERKARA!$A$5:$A$104,0)),"ID TIDAK TERDAFTAR"))</f>
        <v/>
      </c>
      <c r="I132" s="64"/>
      <c r="J132" s="64"/>
      <c r="K132" s="64"/>
      <c r="L132" s="64"/>
      <c r="M132" s="67" t="str">
        <f t="shared" si="14"/>
        <v/>
      </c>
      <c r="N132" s="98"/>
      <c r="O132" s="98"/>
      <c r="P132" s="105"/>
      <c r="Q132" s="98"/>
      <c r="R132" s="104" t="str">
        <f t="shared" si="15"/>
        <v/>
      </c>
    </row>
    <row r="133" spans="1:18">
      <c r="A133" s="67" t="str">
        <f t="shared" ref="A133:A164" si="16">IF(B133="","",IFERROR("TRF-"&amp;TEXT(B133,"yyyymmdd")&amp;"-"&amp;TEXT(ROW()-4,"000"),"TANGGAL TIDAK VALID"))</f>
        <v/>
      </c>
      <c r="B133" s="77"/>
      <c r="C133" s="67" t="str">
        <f t="shared" ref="C133:C164" si="17">IF(B133="","",IFERROR(TEXT(B133,"yyyy-mm"),""))</f>
        <v/>
      </c>
      <c r="D133" s="64"/>
      <c r="E133" s="64"/>
      <c r="F133" s="78"/>
      <c r="G133" s="64"/>
      <c r="H133" s="67" t="str">
        <f>IF(G133="","",IFERROR(INDEX(PERKARA!$B$5:$B$104,MATCH(G133,PERKARA!$A$5:$A$104,0)),"ID TIDAK TERDAFTAR"))</f>
        <v/>
      </c>
      <c r="I133" s="64"/>
      <c r="J133" s="64"/>
      <c r="K133" s="64"/>
      <c r="L133" s="64"/>
      <c r="M133" s="67" t="str">
        <f t="shared" ref="M133:M164" si="18">IF(B133="","",IF(OR(D133="",E133=""),"AKUN BELUM LENGKAP",IF(D133=E133,"AKUN ASAL DAN TUJUAN SAMA",IF(F133&lt;=0,"NOMINAL TIDAK VALID",IF(AND(G133&lt;&gt;"",H133="ID TIDAK TERDAFTAR"),"PERKARA TIDAK VALID",IF(R133&lt;&gt;"LENGKAP","TRANSFER BELUM DIOTORISASI","OK"))))))</f>
        <v/>
      </c>
      <c r="N133" s="98"/>
      <c r="O133" s="98"/>
      <c r="P133" s="105"/>
      <c r="Q133" s="98"/>
      <c r="R133" s="104" t="str">
        <f t="shared" ref="R133:R164" si="19">IF(B133="","",IF(N133="Ditolak","DITOLAK",IF(AND(N133="Disetujui",O133&lt;&gt;""),"LENGKAP",IF(N133="Disetujui","NAMA PENYETUJU BELUM DIISI","MENUNGGU PERSETUJUAN MANUAL"))))</f>
        <v/>
      </c>
    </row>
    <row r="134" spans="1:18">
      <c r="A134" s="67" t="str">
        <f t="shared" si="16"/>
        <v/>
      </c>
      <c r="B134" s="77"/>
      <c r="C134" s="67" t="str">
        <f t="shared" si="17"/>
        <v/>
      </c>
      <c r="D134" s="64"/>
      <c r="E134" s="64"/>
      <c r="F134" s="78"/>
      <c r="G134" s="64"/>
      <c r="H134" s="67" t="str">
        <f>IF(G134="","",IFERROR(INDEX(PERKARA!$B$5:$B$104,MATCH(G134,PERKARA!$A$5:$A$104,0)),"ID TIDAK TERDAFTAR"))</f>
        <v/>
      </c>
      <c r="I134" s="64"/>
      <c r="J134" s="64"/>
      <c r="K134" s="64"/>
      <c r="L134" s="64"/>
      <c r="M134" s="67" t="str">
        <f t="shared" si="18"/>
        <v/>
      </c>
      <c r="N134" s="98"/>
      <c r="O134" s="98"/>
      <c r="P134" s="105"/>
      <c r="Q134" s="98"/>
      <c r="R134" s="104" t="str">
        <f t="shared" si="19"/>
        <v/>
      </c>
    </row>
    <row r="135" spans="1:18">
      <c r="A135" s="67" t="str">
        <f t="shared" si="16"/>
        <v/>
      </c>
      <c r="B135" s="77"/>
      <c r="C135" s="67" t="str">
        <f t="shared" si="17"/>
        <v/>
      </c>
      <c r="D135" s="64"/>
      <c r="E135" s="64"/>
      <c r="F135" s="78"/>
      <c r="G135" s="64"/>
      <c r="H135" s="67" t="str">
        <f>IF(G135="","",IFERROR(INDEX(PERKARA!$B$5:$B$104,MATCH(G135,PERKARA!$A$5:$A$104,0)),"ID TIDAK TERDAFTAR"))</f>
        <v/>
      </c>
      <c r="I135" s="64"/>
      <c r="J135" s="64"/>
      <c r="K135" s="64"/>
      <c r="L135" s="64"/>
      <c r="M135" s="67" t="str">
        <f t="shared" si="18"/>
        <v/>
      </c>
      <c r="N135" s="98"/>
      <c r="O135" s="98"/>
      <c r="P135" s="105"/>
      <c r="Q135" s="98"/>
      <c r="R135" s="104" t="str">
        <f t="shared" si="19"/>
        <v/>
      </c>
    </row>
    <row r="136" spans="1:18">
      <c r="A136" s="67" t="str">
        <f t="shared" si="16"/>
        <v/>
      </c>
      <c r="B136" s="77"/>
      <c r="C136" s="67" t="str">
        <f t="shared" si="17"/>
        <v/>
      </c>
      <c r="D136" s="64"/>
      <c r="E136" s="64"/>
      <c r="F136" s="78"/>
      <c r="G136" s="64"/>
      <c r="H136" s="67" t="str">
        <f>IF(G136="","",IFERROR(INDEX(PERKARA!$B$5:$B$104,MATCH(G136,PERKARA!$A$5:$A$104,0)),"ID TIDAK TERDAFTAR"))</f>
        <v/>
      </c>
      <c r="I136" s="64"/>
      <c r="J136" s="64"/>
      <c r="K136" s="64"/>
      <c r="L136" s="64"/>
      <c r="M136" s="67" t="str">
        <f t="shared" si="18"/>
        <v/>
      </c>
      <c r="N136" s="98"/>
      <c r="O136" s="98"/>
      <c r="P136" s="105"/>
      <c r="Q136" s="98"/>
      <c r="R136" s="104" t="str">
        <f t="shared" si="19"/>
        <v/>
      </c>
    </row>
    <row r="137" spans="1:18">
      <c r="A137" s="67" t="str">
        <f t="shared" si="16"/>
        <v/>
      </c>
      <c r="B137" s="77"/>
      <c r="C137" s="67" t="str">
        <f t="shared" si="17"/>
        <v/>
      </c>
      <c r="D137" s="64"/>
      <c r="E137" s="64"/>
      <c r="F137" s="78"/>
      <c r="G137" s="64"/>
      <c r="H137" s="67" t="str">
        <f>IF(G137="","",IFERROR(INDEX(PERKARA!$B$5:$B$104,MATCH(G137,PERKARA!$A$5:$A$104,0)),"ID TIDAK TERDAFTAR"))</f>
        <v/>
      </c>
      <c r="I137" s="64"/>
      <c r="J137" s="64"/>
      <c r="K137" s="64"/>
      <c r="L137" s="64"/>
      <c r="M137" s="67" t="str">
        <f t="shared" si="18"/>
        <v/>
      </c>
      <c r="N137" s="98"/>
      <c r="O137" s="98"/>
      <c r="P137" s="105"/>
      <c r="Q137" s="98"/>
      <c r="R137" s="104" t="str">
        <f t="shared" si="19"/>
        <v/>
      </c>
    </row>
    <row r="138" spans="1:18">
      <c r="A138" s="67" t="str">
        <f t="shared" si="16"/>
        <v/>
      </c>
      <c r="B138" s="77"/>
      <c r="C138" s="67" t="str">
        <f t="shared" si="17"/>
        <v/>
      </c>
      <c r="D138" s="64"/>
      <c r="E138" s="64"/>
      <c r="F138" s="78"/>
      <c r="G138" s="64"/>
      <c r="H138" s="67" t="str">
        <f>IF(G138="","",IFERROR(INDEX(PERKARA!$B$5:$B$104,MATCH(G138,PERKARA!$A$5:$A$104,0)),"ID TIDAK TERDAFTAR"))</f>
        <v/>
      </c>
      <c r="I138" s="64"/>
      <c r="J138" s="64"/>
      <c r="K138" s="64"/>
      <c r="L138" s="64"/>
      <c r="M138" s="67" t="str">
        <f t="shared" si="18"/>
        <v/>
      </c>
      <c r="N138" s="98"/>
      <c r="O138" s="98"/>
      <c r="P138" s="105"/>
      <c r="Q138" s="98"/>
      <c r="R138" s="104" t="str">
        <f t="shared" si="19"/>
        <v/>
      </c>
    </row>
    <row r="139" spans="1:18">
      <c r="A139" s="67" t="str">
        <f t="shared" si="16"/>
        <v/>
      </c>
      <c r="B139" s="77"/>
      <c r="C139" s="67" t="str">
        <f t="shared" si="17"/>
        <v/>
      </c>
      <c r="D139" s="64"/>
      <c r="E139" s="64"/>
      <c r="F139" s="78"/>
      <c r="G139" s="64"/>
      <c r="H139" s="67" t="str">
        <f>IF(G139="","",IFERROR(INDEX(PERKARA!$B$5:$B$104,MATCH(G139,PERKARA!$A$5:$A$104,0)),"ID TIDAK TERDAFTAR"))</f>
        <v/>
      </c>
      <c r="I139" s="64"/>
      <c r="J139" s="64"/>
      <c r="K139" s="64"/>
      <c r="L139" s="64"/>
      <c r="M139" s="67" t="str">
        <f t="shared" si="18"/>
        <v/>
      </c>
      <c r="N139" s="98"/>
      <c r="O139" s="98"/>
      <c r="P139" s="105"/>
      <c r="Q139" s="98"/>
      <c r="R139" s="104" t="str">
        <f t="shared" si="19"/>
        <v/>
      </c>
    </row>
    <row r="140" spans="1:18">
      <c r="A140" s="67" t="str">
        <f t="shared" si="16"/>
        <v/>
      </c>
      <c r="B140" s="77"/>
      <c r="C140" s="67" t="str">
        <f t="shared" si="17"/>
        <v/>
      </c>
      <c r="D140" s="64"/>
      <c r="E140" s="64"/>
      <c r="F140" s="78"/>
      <c r="G140" s="64"/>
      <c r="H140" s="67" t="str">
        <f>IF(G140="","",IFERROR(INDEX(PERKARA!$B$5:$B$104,MATCH(G140,PERKARA!$A$5:$A$104,0)),"ID TIDAK TERDAFTAR"))</f>
        <v/>
      </c>
      <c r="I140" s="64"/>
      <c r="J140" s="64"/>
      <c r="K140" s="64"/>
      <c r="L140" s="64"/>
      <c r="M140" s="67" t="str">
        <f t="shared" si="18"/>
        <v/>
      </c>
      <c r="N140" s="98"/>
      <c r="O140" s="98"/>
      <c r="P140" s="105"/>
      <c r="Q140" s="98"/>
      <c r="R140" s="104" t="str">
        <f t="shared" si="19"/>
        <v/>
      </c>
    </row>
    <row r="141" spans="1:18">
      <c r="A141" s="67" t="str">
        <f t="shared" si="16"/>
        <v/>
      </c>
      <c r="B141" s="77"/>
      <c r="C141" s="67" t="str">
        <f t="shared" si="17"/>
        <v/>
      </c>
      <c r="D141" s="64"/>
      <c r="E141" s="64"/>
      <c r="F141" s="78"/>
      <c r="G141" s="64"/>
      <c r="H141" s="67" t="str">
        <f>IF(G141="","",IFERROR(INDEX(PERKARA!$B$5:$B$104,MATCH(G141,PERKARA!$A$5:$A$104,0)),"ID TIDAK TERDAFTAR"))</f>
        <v/>
      </c>
      <c r="I141" s="64"/>
      <c r="J141" s="64"/>
      <c r="K141" s="64"/>
      <c r="L141" s="64"/>
      <c r="M141" s="67" t="str">
        <f t="shared" si="18"/>
        <v/>
      </c>
      <c r="N141" s="98"/>
      <c r="O141" s="98"/>
      <c r="P141" s="105"/>
      <c r="Q141" s="98"/>
      <c r="R141" s="104" t="str">
        <f t="shared" si="19"/>
        <v/>
      </c>
    </row>
    <row r="142" spans="1:18">
      <c r="A142" s="67" t="str">
        <f t="shared" si="16"/>
        <v/>
      </c>
      <c r="B142" s="77"/>
      <c r="C142" s="67" t="str">
        <f t="shared" si="17"/>
        <v/>
      </c>
      <c r="D142" s="64"/>
      <c r="E142" s="64"/>
      <c r="F142" s="78"/>
      <c r="G142" s="64"/>
      <c r="H142" s="67" t="str">
        <f>IF(G142="","",IFERROR(INDEX(PERKARA!$B$5:$B$104,MATCH(G142,PERKARA!$A$5:$A$104,0)),"ID TIDAK TERDAFTAR"))</f>
        <v/>
      </c>
      <c r="I142" s="64"/>
      <c r="J142" s="64"/>
      <c r="K142" s="64"/>
      <c r="L142" s="64"/>
      <c r="M142" s="67" t="str">
        <f t="shared" si="18"/>
        <v/>
      </c>
      <c r="N142" s="98"/>
      <c r="O142" s="98"/>
      <c r="P142" s="105"/>
      <c r="Q142" s="98"/>
      <c r="R142" s="104" t="str">
        <f t="shared" si="19"/>
        <v/>
      </c>
    </row>
    <row r="143" spans="1:18">
      <c r="A143" s="67" t="str">
        <f t="shared" si="16"/>
        <v/>
      </c>
      <c r="B143" s="77"/>
      <c r="C143" s="67" t="str">
        <f t="shared" si="17"/>
        <v/>
      </c>
      <c r="D143" s="64"/>
      <c r="E143" s="64"/>
      <c r="F143" s="78"/>
      <c r="G143" s="64"/>
      <c r="H143" s="67" t="str">
        <f>IF(G143="","",IFERROR(INDEX(PERKARA!$B$5:$B$104,MATCH(G143,PERKARA!$A$5:$A$104,0)),"ID TIDAK TERDAFTAR"))</f>
        <v/>
      </c>
      <c r="I143" s="64"/>
      <c r="J143" s="64"/>
      <c r="K143" s="64"/>
      <c r="L143" s="64"/>
      <c r="M143" s="67" t="str">
        <f t="shared" si="18"/>
        <v/>
      </c>
      <c r="N143" s="98"/>
      <c r="O143" s="98"/>
      <c r="P143" s="105"/>
      <c r="Q143" s="98"/>
      <c r="R143" s="104" t="str">
        <f t="shared" si="19"/>
        <v/>
      </c>
    </row>
    <row r="144" spans="1:18">
      <c r="A144" s="67" t="str">
        <f t="shared" si="16"/>
        <v/>
      </c>
      <c r="B144" s="77"/>
      <c r="C144" s="67" t="str">
        <f t="shared" si="17"/>
        <v/>
      </c>
      <c r="D144" s="64"/>
      <c r="E144" s="64"/>
      <c r="F144" s="78"/>
      <c r="G144" s="64"/>
      <c r="H144" s="67" t="str">
        <f>IF(G144="","",IFERROR(INDEX(PERKARA!$B$5:$B$104,MATCH(G144,PERKARA!$A$5:$A$104,0)),"ID TIDAK TERDAFTAR"))</f>
        <v/>
      </c>
      <c r="I144" s="64"/>
      <c r="J144" s="64"/>
      <c r="K144" s="64"/>
      <c r="L144" s="64"/>
      <c r="M144" s="67" t="str">
        <f t="shared" si="18"/>
        <v/>
      </c>
      <c r="N144" s="98"/>
      <c r="O144" s="98"/>
      <c r="P144" s="105"/>
      <c r="Q144" s="98"/>
      <c r="R144" s="104" t="str">
        <f t="shared" si="19"/>
        <v/>
      </c>
    </row>
    <row r="145" spans="1:18">
      <c r="A145" s="67" t="str">
        <f t="shared" si="16"/>
        <v/>
      </c>
      <c r="B145" s="77"/>
      <c r="C145" s="67" t="str">
        <f t="shared" si="17"/>
        <v/>
      </c>
      <c r="D145" s="64"/>
      <c r="E145" s="64"/>
      <c r="F145" s="78"/>
      <c r="G145" s="64"/>
      <c r="H145" s="67" t="str">
        <f>IF(G145="","",IFERROR(INDEX(PERKARA!$B$5:$B$104,MATCH(G145,PERKARA!$A$5:$A$104,0)),"ID TIDAK TERDAFTAR"))</f>
        <v/>
      </c>
      <c r="I145" s="64"/>
      <c r="J145" s="64"/>
      <c r="K145" s="64"/>
      <c r="L145" s="64"/>
      <c r="M145" s="67" t="str">
        <f t="shared" si="18"/>
        <v/>
      </c>
      <c r="N145" s="98"/>
      <c r="O145" s="98"/>
      <c r="P145" s="105"/>
      <c r="Q145" s="98"/>
      <c r="R145" s="104" t="str">
        <f t="shared" si="19"/>
        <v/>
      </c>
    </row>
    <row r="146" spans="1:18">
      <c r="A146" s="67" t="str">
        <f t="shared" si="16"/>
        <v/>
      </c>
      <c r="B146" s="77"/>
      <c r="C146" s="67" t="str">
        <f t="shared" si="17"/>
        <v/>
      </c>
      <c r="D146" s="64"/>
      <c r="E146" s="64"/>
      <c r="F146" s="78"/>
      <c r="G146" s="64"/>
      <c r="H146" s="67" t="str">
        <f>IF(G146="","",IFERROR(INDEX(PERKARA!$B$5:$B$104,MATCH(G146,PERKARA!$A$5:$A$104,0)),"ID TIDAK TERDAFTAR"))</f>
        <v/>
      </c>
      <c r="I146" s="64"/>
      <c r="J146" s="64"/>
      <c r="K146" s="64"/>
      <c r="L146" s="64"/>
      <c r="M146" s="67" t="str">
        <f t="shared" si="18"/>
        <v/>
      </c>
      <c r="N146" s="98"/>
      <c r="O146" s="98"/>
      <c r="P146" s="105"/>
      <c r="Q146" s="98"/>
      <c r="R146" s="104" t="str">
        <f t="shared" si="19"/>
        <v/>
      </c>
    </row>
    <row r="147" spans="1:18">
      <c r="A147" s="67" t="str">
        <f t="shared" si="16"/>
        <v/>
      </c>
      <c r="B147" s="77"/>
      <c r="C147" s="67" t="str">
        <f t="shared" si="17"/>
        <v/>
      </c>
      <c r="D147" s="64"/>
      <c r="E147" s="64"/>
      <c r="F147" s="78"/>
      <c r="G147" s="64"/>
      <c r="H147" s="67" t="str">
        <f>IF(G147="","",IFERROR(INDEX(PERKARA!$B$5:$B$104,MATCH(G147,PERKARA!$A$5:$A$104,0)),"ID TIDAK TERDAFTAR"))</f>
        <v/>
      </c>
      <c r="I147" s="64"/>
      <c r="J147" s="64"/>
      <c r="K147" s="64"/>
      <c r="L147" s="64"/>
      <c r="M147" s="67" t="str">
        <f t="shared" si="18"/>
        <v/>
      </c>
      <c r="N147" s="98"/>
      <c r="O147" s="98"/>
      <c r="P147" s="105"/>
      <c r="Q147" s="98"/>
      <c r="R147" s="104" t="str">
        <f t="shared" si="19"/>
        <v/>
      </c>
    </row>
    <row r="148" spans="1:18">
      <c r="A148" s="67" t="str">
        <f t="shared" si="16"/>
        <v/>
      </c>
      <c r="B148" s="77"/>
      <c r="C148" s="67" t="str">
        <f t="shared" si="17"/>
        <v/>
      </c>
      <c r="D148" s="64"/>
      <c r="E148" s="64"/>
      <c r="F148" s="78"/>
      <c r="G148" s="64"/>
      <c r="H148" s="67" t="str">
        <f>IF(G148="","",IFERROR(INDEX(PERKARA!$B$5:$B$104,MATCH(G148,PERKARA!$A$5:$A$104,0)),"ID TIDAK TERDAFTAR"))</f>
        <v/>
      </c>
      <c r="I148" s="64"/>
      <c r="J148" s="64"/>
      <c r="K148" s="64"/>
      <c r="L148" s="64"/>
      <c r="M148" s="67" t="str">
        <f t="shared" si="18"/>
        <v/>
      </c>
      <c r="N148" s="98"/>
      <c r="O148" s="98"/>
      <c r="P148" s="105"/>
      <c r="Q148" s="98"/>
      <c r="R148" s="104" t="str">
        <f t="shared" si="19"/>
        <v/>
      </c>
    </row>
    <row r="149" spans="1:18">
      <c r="A149" s="67" t="str">
        <f t="shared" si="16"/>
        <v/>
      </c>
      <c r="B149" s="77"/>
      <c r="C149" s="67" t="str">
        <f t="shared" si="17"/>
        <v/>
      </c>
      <c r="D149" s="64"/>
      <c r="E149" s="64"/>
      <c r="F149" s="78"/>
      <c r="G149" s="64"/>
      <c r="H149" s="67" t="str">
        <f>IF(G149="","",IFERROR(INDEX(PERKARA!$B$5:$B$104,MATCH(G149,PERKARA!$A$5:$A$104,0)),"ID TIDAK TERDAFTAR"))</f>
        <v/>
      </c>
      <c r="I149" s="64"/>
      <c r="J149" s="64"/>
      <c r="K149" s="64"/>
      <c r="L149" s="64"/>
      <c r="M149" s="67" t="str">
        <f t="shared" si="18"/>
        <v/>
      </c>
      <c r="N149" s="98"/>
      <c r="O149" s="98"/>
      <c r="P149" s="105"/>
      <c r="Q149" s="98"/>
      <c r="R149" s="104" t="str">
        <f t="shared" si="19"/>
        <v/>
      </c>
    </row>
    <row r="150" spans="1:18">
      <c r="A150" s="67" t="str">
        <f t="shared" si="16"/>
        <v/>
      </c>
      <c r="B150" s="77"/>
      <c r="C150" s="67" t="str">
        <f t="shared" si="17"/>
        <v/>
      </c>
      <c r="D150" s="64"/>
      <c r="E150" s="64"/>
      <c r="F150" s="78"/>
      <c r="G150" s="64"/>
      <c r="H150" s="67" t="str">
        <f>IF(G150="","",IFERROR(INDEX(PERKARA!$B$5:$B$104,MATCH(G150,PERKARA!$A$5:$A$104,0)),"ID TIDAK TERDAFTAR"))</f>
        <v/>
      </c>
      <c r="I150" s="64"/>
      <c r="J150" s="64"/>
      <c r="K150" s="64"/>
      <c r="L150" s="64"/>
      <c r="M150" s="67" t="str">
        <f t="shared" si="18"/>
        <v/>
      </c>
      <c r="N150" s="98"/>
      <c r="O150" s="98"/>
      <c r="P150" s="105"/>
      <c r="Q150" s="98"/>
      <c r="R150" s="104" t="str">
        <f t="shared" si="19"/>
        <v/>
      </c>
    </row>
    <row r="151" spans="1:18">
      <c r="A151" s="67" t="str">
        <f t="shared" si="16"/>
        <v/>
      </c>
      <c r="B151" s="77"/>
      <c r="C151" s="67" t="str">
        <f t="shared" si="17"/>
        <v/>
      </c>
      <c r="D151" s="64"/>
      <c r="E151" s="64"/>
      <c r="F151" s="78"/>
      <c r="G151" s="64"/>
      <c r="H151" s="67" t="str">
        <f>IF(G151="","",IFERROR(INDEX(PERKARA!$B$5:$B$104,MATCH(G151,PERKARA!$A$5:$A$104,0)),"ID TIDAK TERDAFTAR"))</f>
        <v/>
      </c>
      <c r="I151" s="64"/>
      <c r="J151" s="64"/>
      <c r="K151" s="64"/>
      <c r="L151" s="64"/>
      <c r="M151" s="67" t="str">
        <f t="shared" si="18"/>
        <v/>
      </c>
      <c r="N151" s="98"/>
      <c r="O151" s="98"/>
      <c r="P151" s="105"/>
      <c r="Q151" s="98"/>
      <c r="R151" s="104" t="str">
        <f t="shared" si="19"/>
        <v/>
      </c>
    </row>
    <row r="152" spans="1:18">
      <c r="A152" s="67" t="str">
        <f t="shared" si="16"/>
        <v/>
      </c>
      <c r="B152" s="77"/>
      <c r="C152" s="67" t="str">
        <f t="shared" si="17"/>
        <v/>
      </c>
      <c r="D152" s="64"/>
      <c r="E152" s="64"/>
      <c r="F152" s="78"/>
      <c r="G152" s="64"/>
      <c r="H152" s="67" t="str">
        <f>IF(G152="","",IFERROR(INDEX(PERKARA!$B$5:$B$104,MATCH(G152,PERKARA!$A$5:$A$104,0)),"ID TIDAK TERDAFTAR"))</f>
        <v/>
      </c>
      <c r="I152" s="64"/>
      <c r="J152" s="64"/>
      <c r="K152" s="64"/>
      <c r="L152" s="64"/>
      <c r="M152" s="67" t="str">
        <f t="shared" si="18"/>
        <v/>
      </c>
      <c r="N152" s="98"/>
      <c r="O152" s="98"/>
      <c r="P152" s="105"/>
      <c r="Q152" s="98"/>
      <c r="R152" s="104" t="str">
        <f t="shared" si="19"/>
        <v/>
      </c>
    </row>
    <row r="153" spans="1:18">
      <c r="A153" s="67" t="str">
        <f t="shared" si="16"/>
        <v/>
      </c>
      <c r="B153" s="77"/>
      <c r="C153" s="67" t="str">
        <f t="shared" si="17"/>
        <v/>
      </c>
      <c r="D153" s="64"/>
      <c r="E153" s="64"/>
      <c r="F153" s="78"/>
      <c r="G153" s="64"/>
      <c r="H153" s="67" t="str">
        <f>IF(G153="","",IFERROR(INDEX(PERKARA!$B$5:$B$104,MATCH(G153,PERKARA!$A$5:$A$104,0)),"ID TIDAK TERDAFTAR"))</f>
        <v/>
      </c>
      <c r="I153" s="64"/>
      <c r="J153" s="64"/>
      <c r="K153" s="64"/>
      <c r="L153" s="64"/>
      <c r="M153" s="67" t="str">
        <f t="shared" si="18"/>
        <v/>
      </c>
      <c r="N153" s="98"/>
      <c r="O153" s="98"/>
      <c r="P153" s="105"/>
      <c r="Q153" s="98"/>
      <c r="R153" s="104" t="str">
        <f t="shared" si="19"/>
        <v/>
      </c>
    </row>
    <row r="154" spans="1:18">
      <c r="A154" s="67" t="str">
        <f t="shared" si="16"/>
        <v/>
      </c>
      <c r="B154" s="77"/>
      <c r="C154" s="67" t="str">
        <f t="shared" si="17"/>
        <v/>
      </c>
      <c r="D154" s="64"/>
      <c r="E154" s="64"/>
      <c r="F154" s="78"/>
      <c r="G154" s="64"/>
      <c r="H154" s="67" t="str">
        <f>IF(G154="","",IFERROR(INDEX(PERKARA!$B$5:$B$104,MATCH(G154,PERKARA!$A$5:$A$104,0)),"ID TIDAK TERDAFTAR"))</f>
        <v/>
      </c>
      <c r="I154" s="64"/>
      <c r="J154" s="64"/>
      <c r="K154" s="64"/>
      <c r="L154" s="64"/>
      <c r="M154" s="67" t="str">
        <f t="shared" si="18"/>
        <v/>
      </c>
      <c r="N154" s="98"/>
      <c r="O154" s="98"/>
      <c r="P154" s="105"/>
      <c r="Q154" s="98"/>
      <c r="R154" s="104" t="str">
        <f t="shared" si="19"/>
        <v/>
      </c>
    </row>
    <row r="155" spans="1:18">
      <c r="A155" s="67" t="str">
        <f t="shared" si="16"/>
        <v/>
      </c>
      <c r="B155" s="77"/>
      <c r="C155" s="67" t="str">
        <f t="shared" si="17"/>
        <v/>
      </c>
      <c r="D155" s="64"/>
      <c r="E155" s="64"/>
      <c r="F155" s="78"/>
      <c r="G155" s="64"/>
      <c r="H155" s="67" t="str">
        <f>IF(G155="","",IFERROR(INDEX(PERKARA!$B$5:$B$104,MATCH(G155,PERKARA!$A$5:$A$104,0)),"ID TIDAK TERDAFTAR"))</f>
        <v/>
      </c>
      <c r="I155" s="64"/>
      <c r="J155" s="64"/>
      <c r="K155" s="64"/>
      <c r="L155" s="64"/>
      <c r="M155" s="67" t="str">
        <f t="shared" si="18"/>
        <v/>
      </c>
      <c r="N155" s="98"/>
      <c r="O155" s="98"/>
      <c r="P155" s="105"/>
      <c r="Q155" s="98"/>
      <c r="R155" s="104" t="str">
        <f t="shared" si="19"/>
        <v/>
      </c>
    </row>
    <row r="156" spans="1:18">
      <c r="A156" s="67" t="str">
        <f t="shared" si="16"/>
        <v/>
      </c>
      <c r="B156" s="77"/>
      <c r="C156" s="67" t="str">
        <f t="shared" si="17"/>
        <v/>
      </c>
      <c r="D156" s="64"/>
      <c r="E156" s="64"/>
      <c r="F156" s="78"/>
      <c r="G156" s="64"/>
      <c r="H156" s="67" t="str">
        <f>IF(G156="","",IFERROR(INDEX(PERKARA!$B$5:$B$104,MATCH(G156,PERKARA!$A$5:$A$104,0)),"ID TIDAK TERDAFTAR"))</f>
        <v/>
      </c>
      <c r="I156" s="64"/>
      <c r="J156" s="64"/>
      <c r="K156" s="64"/>
      <c r="L156" s="64"/>
      <c r="M156" s="67" t="str">
        <f t="shared" si="18"/>
        <v/>
      </c>
      <c r="N156" s="98"/>
      <c r="O156" s="98"/>
      <c r="P156" s="105"/>
      <c r="Q156" s="98"/>
      <c r="R156" s="104" t="str">
        <f t="shared" si="19"/>
        <v/>
      </c>
    </row>
    <row r="157" spans="1:18">
      <c r="A157" s="67" t="str">
        <f t="shared" si="16"/>
        <v/>
      </c>
      <c r="B157" s="77"/>
      <c r="C157" s="67" t="str">
        <f t="shared" si="17"/>
        <v/>
      </c>
      <c r="D157" s="64"/>
      <c r="E157" s="64"/>
      <c r="F157" s="78"/>
      <c r="G157" s="64"/>
      <c r="H157" s="67" t="str">
        <f>IF(G157="","",IFERROR(INDEX(PERKARA!$B$5:$B$104,MATCH(G157,PERKARA!$A$5:$A$104,0)),"ID TIDAK TERDAFTAR"))</f>
        <v/>
      </c>
      <c r="I157" s="64"/>
      <c r="J157" s="64"/>
      <c r="K157" s="64"/>
      <c r="L157" s="64"/>
      <c r="M157" s="67" t="str">
        <f t="shared" si="18"/>
        <v/>
      </c>
      <c r="N157" s="98"/>
      <c r="O157" s="98"/>
      <c r="P157" s="105"/>
      <c r="Q157" s="98"/>
      <c r="R157" s="104" t="str">
        <f t="shared" si="19"/>
        <v/>
      </c>
    </row>
    <row r="158" spans="1:18">
      <c r="A158" s="67" t="str">
        <f t="shared" si="16"/>
        <v/>
      </c>
      <c r="B158" s="77"/>
      <c r="C158" s="67" t="str">
        <f t="shared" si="17"/>
        <v/>
      </c>
      <c r="D158" s="64"/>
      <c r="E158" s="64"/>
      <c r="F158" s="78"/>
      <c r="G158" s="64"/>
      <c r="H158" s="67" t="str">
        <f>IF(G158="","",IFERROR(INDEX(PERKARA!$B$5:$B$104,MATCH(G158,PERKARA!$A$5:$A$104,0)),"ID TIDAK TERDAFTAR"))</f>
        <v/>
      </c>
      <c r="I158" s="64"/>
      <c r="J158" s="64"/>
      <c r="K158" s="64"/>
      <c r="L158" s="64"/>
      <c r="M158" s="67" t="str">
        <f t="shared" si="18"/>
        <v/>
      </c>
      <c r="N158" s="98"/>
      <c r="O158" s="98"/>
      <c r="P158" s="105"/>
      <c r="Q158" s="98"/>
      <c r="R158" s="104" t="str">
        <f t="shared" si="19"/>
        <v/>
      </c>
    </row>
    <row r="159" spans="1:18">
      <c r="A159" s="67" t="str">
        <f t="shared" si="16"/>
        <v/>
      </c>
      <c r="B159" s="77"/>
      <c r="C159" s="67" t="str">
        <f t="shared" si="17"/>
        <v/>
      </c>
      <c r="D159" s="64"/>
      <c r="E159" s="64"/>
      <c r="F159" s="78"/>
      <c r="G159" s="64"/>
      <c r="H159" s="67" t="str">
        <f>IF(G159="","",IFERROR(INDEX(PERKARA!$B$5:$B$104,MATCH(G159,PERKARA!$A$5:$A$104,0)),"ID TIDAK TERDAFTAR"))</f>
        <v/>
      </c>
      <c r="I159" s="64"/>
      <c r="J159" s="64"/>
      <c r="K159" s="64"/>
      <c r="L159" s="64"/>
      <c r="M159" s="67" t="str">
        <f t="shared" si="18"/>
        <v/>
      </c>
      <c r="N159" s="98"/>
      <c r="O159" s="98"/>
      <c r="P159" s="105"/>
      <c r="Q159" s="98"/>
      <c r="R159" s="104" t="str">
        <f t="shared" si="19"/>
        <v/>
      </c>
    </row>
    <row r="160" spans="1:18">
      <c r="A160" s="67" t="str">
        <f t="shared" si="16"/>
        <v/>
      </c>
      <c r="B160" s="77"/>
      <c r="C160" s="67" t="str">
        <f t="shared" si="17"/>
        <v/>
      </c>
      <c r="D160" s="64"/>
      <c r="E160" s="64"/>
      <c r="F160" s="78"/>
      <c r="G160" s="64"/>
      <c r="H160" s="67" t="str">
        <f>IF(G160="","",IFERROR(INDEX(PERKARA!$B$5:$B$104,MATCH(G160,PERKARA!$A$5:$A$104,0)),"ID TIDAK TERDAFTAR"))</f>
        <v/>
      </c>
      <c r="I160" s="64"/>
      <c r="J160" s="64"/>
      <c r="K160" s="64"/>
      <c r="L160" s="64"/>
      <c r="M160" s="67" t="str">
        <f t="shared" si="18"/>
        <v/>
      </c>
      <c r="N160" s="98"/>
      <c r="O160" s="98"/>
      <c r="P160" s="105"/>
      <c r="Q160" s="98"/>
      <c r="R160" s="104" t="str">
        <f t="shared" si="19"/>
        <v/>
      </c>
    </row>
    <row r="161" spans="1:18">
      <c r="A161" s="67" t="str">
        <f t="shared" si="16"/>
        <v/>
      </c>
      <c r="B161" s="77"/>
      <c r="C161" s="67" t="str">
        <f t="shared" si="17"/>
        <v/>
      </c>
      <c r="D161" s="64"/>
      <c r="E161" s="64"/>
      <c r="F161" s="78"/>
      <c r="G161" s="64"/>
      <c r="H161" s="67" t="str">
        <f>IF(G161="","",IFERROR(INDEX(PERKARA!$B$5:$B$104,MATCH(G161,PERKARA!$A$5:$A$104,0)),"ID TIDAK TERDAFTAR"))</f>
        <v/>
      </c>
      <c r="I161" s="64"/>
      <c r="J161" s="64"/>
      <c r="K161" s="64"/>
      <c r="L161" s="64"/>
      <c r="M161" s="67" t="str">
        <f t="shared" si="18"/>
        <v/>
      </c>
      <c r="N161" s="98"/>
      <c r="O161" s="98"/>
      <c r="P161" s="105"/>
      <c r="Q161" s="98"/>
      <c r="R161" s="104" t="str">
        <f t="shared" si="19"/>
        <v/>
      </c>
    </row>
    <row r="162" spans="1:18">
      <c r="A162" s="67" t="str">
        <f t="shared" si="16"/>
        <v/>
      </c>
      <c r="B162" s="77"/>
      <c r="C162" s="67" t="str">
        <f t="shared" si="17"/>
        <v/>
      </c>
      <c r="D162" s="64"/>
      <c r="E162" s="64"/>
      <c r="F162" s="78"/>
      <c r="G162" s="64"/>
      <c r="H162" s="67" t="str">
        <f>IF(G162="","",IFERROR(INDEX(PERKARA!$B$5:$B$104,MATCH(G162,PERKARA!$A$5:$A$104,0)),"ID TIDAK TERDAFTAR"))</f>
        <v/>
      </c>
      <c r="I162" s="64"/>
      <c r="J162" s="64"/>
      <c r="K162" s="64"/>
      <c r="L162" s="64"/>
      <c r="M162" s="67" t="str">
        <f t="shared" si="18"/>
        <v/>
      </c>
      <c r="N162" s="98"/>
      <c r="O162" s="98"/>
      <c r="P162" s="105"/>
      <c r="Q162" s="98"/>
      <c r="R162" s="104" t="str">
        <f t="shared" si="19"/>
        <v/>
      </c>
    </row>
    <row r="163" spans="1:18">
      <c r="A163" s="67" t="str">
        <f t="shared" si="16"/>
        <v/>
      </c>
      <c r="B163" s="77"/>
      <c r="C163" s="67" t="str">
        <f t="shared" si="17"/>
        <v/>
      </c>
      <c r="D163" s="64"/>
      <c r="E163" s="64"/>
      <c r="F163" s="78"/>
      <c r="G163" s="64"/>
      <c r="H163" s="67" t="str">
        <f>IF(G163="","",IFERROR(INDEX(PERKARA!$B$5:$B$104,MATCH(G163,PERKARA!$A$5:$A$104,0)),"ID TIDAK TERDAFTAR"))</f>
        <v/>
      </c>
      <c r="I163" s="64"/>
      <c r="J163" s="64"/>
      <c r="K163" s="64"/>
      <c r="L163" s="64"/>
      <c r="M163" s="67" t="str">
        <f t="shared" si="18"/>
        <v/>
      </c>
      <c r="N163" s="98"/>
      <c r="O163" s="98"/>
      <c r="P163" s="105"/>
      <c r="Q163" s="98"/>
      <c r="R163" s="104" t="str">
        <f t="shared" si="19"/>
        <v/>
      </c>
    </row>
    <row r="164" spans="1:18">
      <c r="A164" s="67" t="str">
        <f t="shared" si="16"/>
        <v/>
      </c>
      <c r="B164" s="77"/>
      <c r="C164" s="67" t="str">
        <f t="shared" si="17"/>
        <v/>
      </c>
      <c r="D164" s="64"/>
      <c r="E164" s="64"/>
      <c r="F164" s="78"/>
      <c r="G164" s="64"/>
      <c r="H164" s="67" t="str">
        <f>IF(G164="","",IFERROR(INDEX(PERKARA!$B$5:$B$104,MATCH(G164,PERKARA!$A$5:$A$104,0)),"ID TIDAK TERDAFTAR"))</f>
        <v/>
      </c>
      <c r="I164" s="64"/>
      <c r="J164" s="64"/>
      <c r="K164" s="64"/>
      <c r="L164" s="64"/>
      <c r="M164" s="67" t="str">
        <f t="shared" si="18"/>
        <v/>
      </c>
      <c r="N164" s="98"/>
      <c r="O164" s="98"/>
      <c r="P164" s="105"/>
      <c r="Q164" s="98"/>
      <c r="R164" s="104" t="str">
        <f t="shared" si="19"/>
        <v/>
      </c>
    </row>
    <row r="165" spans="1:18">
      <c r="A165" s="67" t="str">
        <f t="shared" ref="A165:A196" si="20">IF(B165="","",IFERROR("TRF-"&amp;TEXT(B165,"yyyymmdd")&amp;"-"&amp;TEXT(ROW()-4,"000"),"TANGGAL TIDAK VALID"))</f>
        <v/>
      </c>
      <c r="B165" s="77"/>
      <c r="C165" s="67" t="str">
        <f t="shared" ref="C165:C196" si="21">IF(B165="","",IFERROR(TEXT(B165,"yyyy-mm"),""))</f>
        <v/>
      </c>
      <c r="D165" s="64"/>
      <c r="E165" s="64"/>
      <c r="F165" s="78"/>
      <c r="G165" s="64"/>
      <c r="H165" s="67" t="str">
        <f>IF(G165="","",IFERROR(INDEX(PERKARA!$B$5:$B$104,MATCH(G165,PERKARA!$A$5:$A$104,0)),"ID TIDAK TERDAFTAR"))</f>
        <v/>
      </c>
      <c r="I165" s="64"/>
      <c r="J165" s="64"/>
      <c r="K165" s="64"/>
      <c r="L165" s="64"/>
      <c r="M165" s="67" t="str">
        <f t="shared" ref="M165:M196" si="22">IF(B165="","",IF(OR(D165="",E165=""),"AKUN BELUM LENGKAP",IF(D165=E165,"AKUN ASAL DAN TUJUAN SAMA",IF(F165&lt;=0,"NOMINAL TIDAK VALID",IF(AND(G165&lt;&gt;"",H165="ID TIDAK TERDAFTAR"),"PERKARA TIDAK VALID",IF(R165&lt;&gt;"LENGKAP","TRANSFER BELUM DIOTORISASI","OK"))))))</f>
        <v/>
      </c>
      <c r="N165" s="98"/>
      <c r="O165" s="98"/>
      <c r="P165" s="105"/>
      <c r="Q165" s="98"/>
      <c r="R165" s="104" t="str">
        <f t="shared" ref="R165:R196" si="23">IF(B165="","",IF(N165="Ditolak","DITOLAK",IF(AND(N165="Disetujui",O165&lt;&gt;""),"LENGKAP",IF(N165="Disetujui","NAMA PENYETUJU BELUM DIISI","MENUNGGU PERSETUJUAN MANUAL"))))</f>
        <v/>
      </c>
    </row>
    <row r="166" spans="1:18">
      <c r="A166" s="67" t="str">
        <f t="shared" si="20"/>
        <v/>
      </c>
      <c r="B166" s="77"/>
      <c r="C166" s="67" t="str">
        <f t="shared" si="21"/>
        <v/>
      </c>
      <c r="D166" s="64"/>
      <c r="E166" s="64"/>
      <c r="F166" s="78"/>
      <c r="G166" s="64"/>
      <c r="H166" s="67" t="str">
        <f>IF(G166="","",IFERROR(INDEX(PERKARA!$B$5:$B$104,MATCH(G166,PERKARA!$A$5:$A$104,0)),"ID TIDAK TERDAFTAR"))</f>
        <v/>
      </c>
      <c r="I166" s="64"/>
      <c r="J166" s="64"/>
      <c r="K166" s="64"/>
      <c r="L166" s="64"/>
      <c r="M166" s="67" t="str">
        <f t="shared" si="22"/>
        <v/>
      </c>
      <c r="N166" s="98"/>
      <c r="O166" s="98"/>
      <c r="P166" s="105"/>
      <c r="Q166" s="98"/>
      <c r="R166" s="104" t="str">
        <f t="shared" si="23"/>
        <v/>
      </c>
    </row>
    <row r="167" spans="1:18">
      <c r="A167" s="67" t="str">
        <f t="shared" si="20"/>
        <v/>
      </c>
      <c r="B167" s="77"/>
      <c r="C167" s="67" t="str">
        <f t="shared" si="21"/>
        <v/>
      </c>
      <c r="D167" s="64"/>
      <c r="E167" s="64"/>
      <c r="F167" s="78"/>
      <c r="G167" s="64"/>
      <c r="H167" s="67" t="str">
        <f>IF(G167="","",IFERROR(INDEX(PERKARA!$B$5:$B$104,MATCH(G167,PERKARA!$A$5:$A$104,0)),"ID TIDAK TERDAFTAR"))</f>
        <v/>
      </c>
      <c r="I167" s="64"/>
      <c r="J167" s="64"/>
      <c r="K167" s="64"/>
      <c r="L167" s="64"/>
      <c r="M167" s="67" t="str">
        <f t="shared" si="22"/>
        <v/>
      </c>
      <c r="N167" s="98"/>
      <c r="O167" s="98"/>
      <c r="P167" s="105"/>
      <c r="Q167" s="98"/>
      <c r="R167" s="104" t="str">
        <f t="shared" si="23"/>
        <v/>
      </c>
    </row>
    <row r="168" spans="1:18">
      <c r="A168" s="67" t="str">
        <f t="shared" si="20"/>
        <v/>
      </c>
      <c r="B168" s="77"/>
      <c r="C168" s="67" t="str">
        <f t="shared" si="21"/>
        <v/>
      </c>
      <c r="D168" s="64"/>
      <c r="E168" s="64"/>
      <c r="F168" s="78"/>
      <c r="G168" s="64"/>
      <c r="H168" s="67" t="str">
        <f>IF(G168="","",IFERROR(INDEX(PERKARA!$B$5:$B$104,MATCH(G168,PERKARA!$A$5:$A$104,0)),"ID TIDAK TERDAFTAR"))</f>
        <v/>
      </c>
      <c r="I168" s="64"/>
      <c r="J168" s="64"/>
      <c r="K168" s="64"/>
      <c r="L168" s="64"/>
      <c r="M168" s="67" t="str">
        <f t="shared" si="22"/>
        <v/>
      </c>
      <c r="N168" s="98"/>
      <c r="O168" s="98"/>
      <c r="P168" s="105"/>
      <c r="Q168" s="98"/>
      <c r="R168" s="104" t="str">
        <f t="shared" si="23"/>
        <v/>
      </c>
    </row>
    <row r="169" spans="1:18">
      <c r="A169" s="67" t="str">
        <f t="shared" si="20"/>
        <v/>
      </c>
      <c r="B169" s="77"/>
      <c r="C169" s="67" t="str">
        <f t="shared" si="21"/>
        <v/>
      </c>
      <c r="D169" s="64"/>
      <c r="E169" s="64"/>
      <c r="F169" s="78"/>
      <c r="G169" s="64"/>
      <c r="H169" s="67" t="str">
        <f>IF(G169="","",IFERROR(INDEX(PERKARA!$B$5:$B$104,MATCH(G169,PERKARA!$A$5:$A$104,0)),"ID TIDAK TERDAFTAR"))</f>
        <v/>
      </c>
      <c r="I169" s="64"/>
      <c r="J169" s="64"/>
      <c r="K169" s="64"/>
      <c r="L169" s="64"/>
      <c r="M169" s="67" t="str">
        <f t="shared" si="22"/>
        <v/>
      </c>
      <c r="N169" s="98"/>
      <c r="O169" s="98"/>
      <c r="P169" s="105"/>
      <c r="Q169" s="98"/>
      <c r="R169" s="104" t="str">
        <f t="shared" si="23"/>
        <v/>
      </c>
    </row>
    <row r="170" spans="1:18">
      <c r="A170" s="67" t="str">
        <f t="shared" si="20"/>
        <v/>
      </c>
      <c r="B170" s="77"/>
      <c r="C170" s="67" t="str">
        <f t="shared" si="21"/>
        <v/>
      </c>
      <c r="D170" s="64"/>
      <c r="E170" s="64"/>
      <c r="F170" s="78"/>
      <c r="G170" s="64"/>
      <c r="H170" s="67" t="str">
        <f>IF(G170="","",IFERROR(INDEX(PERKARA!$B$5:$B$104,MATCH(G170,PERKARA!$A$5:$A$104,0)),"ID TIDAK TERDAFTAR"))</f>
        <v/>
      </c>
      <c r="I170" s="64"/>
      <c r="J170" s="64"/>
      <c r="K170" s="64"/>
      <c r="L170" s="64"/>
      <c r="M170" s="67" t="str">
        <f t="shared" si="22"/>
        <v/>
      </c>
      <c r="N170" s="98"/>
      <c r="O170" s="98"/>
      <c r="P170" s="105"/>
      <c r="Q170" s="98"/>
      <c r="R170" s="104" t="str">
        <f t="shared" si="23"/>
        <v/>
      </c>
    </row>
    <row r="171" spans="1:18">
      <c r="A171" s="67" t="str">
        <f t="shared" si="20"/>
        <v/>
      </c>
      <c r="B171" s="77"/>
      <c r="C171" s="67" t="str">
        <f t="shared" si="21"/>
        <v/>
      </c>
      <c r="D171" s="64"/>
      <c r="E171" s="64"/>
      <c r="F171" s="78"/>
      <c r="G171" s="64"/>
      <c r="H171" s="67" t="str">
        <f>IF(G171="","",IFERROR(INDEX(PERKARA!$B$5:$B$104,MATCH(G171,PERKARA!$A$5:$A$104,0)),"ID TIDAK TERDAFTAR"))</f>
        <v/>
      </c>
      <c r="I171" s="64"/>
      <c r="J171" s="64"/>
      <c r="K171" s="64"/>
      <c r="L171" s="64"/>
      <c r="M171" s="67" t="str">
        <f t="shared" si="22"/>
        <v/>
      </c>
      <c r="N171" s="98"/>
      <c r="O171" s="98"/>
      <c r="P171" s="105"/>
      <c r="Q171" s="98"/>
      <c r="R171" s="104" t="str">
        <f t="shared" si="23"/>
        <v/>
      </c>
    </row>
    <row r="172" spans="1:18">
      <c r="A172" s="67" t="str">
        <f t="shared" si="20"/>
        <v/>
      </c>
      <c r="B172" s="77"/>
      <c r="C172" s="67" t="str">
        <f t="shared" si="21"/>
        <v/>
      </c>
      <c r="D172" s="64"/>
      <c r="E172" s="64"/>
      <c r="F172" s="78"/>
      <c r="G172" s="64"/>
      <c r="H172" s="67" t="str">
        <f>IF(G172="","",IFERROR(INDEX(PERKARA!$B$5:$B$104,MATCH(G172,PERKARA!$A$5:$A$104,0)),"ID TIDAK TERDAFTAR"))</f>
        <v/>
      </c>
      <c r="I172" s="64"/>
      <c r="J172" s="64"/>
      <c r="K172" s="64"/>
      <c r="L172" s="64"/>
      <c r="M172" s="67" t="str">
        <f t="shared" si="22"/>
        <v/>
      </c>
      <c r="N172" s="98"/>
      <c r="O172" s="98"/>
      <c r="P172" s="105"/>
      <c r="Q172" s="98"/>
      <c r="R172" s="104" t="str">
        <f t="shared" si="23"/>
        <v/>
      </c>
    </row>
    <row r="173" spans="1:18">
      <c r="A173" s="67" t="str">
        <f t="shared" si="20"/>
        <v/>
      </c>
      <c r="B173" s="77"/>
      <c r="C173" s="67" t="str">
        <f t="shared" si="21"/>
        <v/>
      </c>
      <c r="D173" s="64"/>
      <c r="E173" s="64"/>
      <c r="F173" s="78"/>
      <c r="G173" s="64"/>
      <c r="H173" s="67" t="str">
        <f>IF(G173="","",IFERROR(INDEX(PERKARA!$B$5:$B$104,MATCH(G173,PERKARA!$A$5:$A$104,0)),"ID TIDAK TERDAFTAR"))</f>
        <v/>
      </c>
      <c r="I173" s="64"/>
      <c r="J173" s="64"/>
      <c r="K173" s="64"/>
      <c r="L173" s="64"/>
      <c r="M173" s="67" t="str">
        <f t="shared" si="22"/>
        <v/>
      </c>
      <c r="N173" s="98"/>
      <c r="O173" s="98"/>
      <c r="P173" s="105"/>
      <c r="Q173" s="98"/>
      <c r="R173" s="104" t="str">
        <f t="shared" si="23"/>
        <v/>
      </c>
    </row>
    <row r="174" spans="1:18">
      <c r="A174" s="67" t="str">
        <f t="shared" si="20"/>
        <v/>
      </c>
      <c r="B174" s="77"/>
      <c r="C174" s="67" t="str">
        <f t="shared" si="21"/>
        <v/>
      </c>
      <c r="D174" s="64"/>
      <c r="E174" s="64"/>
      <c r="F174" s="78"/>
      <c r="G174" s="64"/>
      <c r="H174" s="67" t="str">
        <f>IF(G174="","",IFERROR(INDEX(PERKARA!$B$5:$B$104,MATCH(G174,PERKARA!$A$5:$A$104,0)),"ID TIDAK TERDAFTAR"))</f>
        <v/>
      </c>
      <c r="I174" s="64"/>
      <c r="J174" s="64"/>
      <c r="K174" s="64"/>
      <c r="L174" s="64"/>
      <c r="M174" s="67" t="str">
        <f t="shared" si="22"/>
        <v/>
      </c>
      <c r="N174" s="98"/>
      <c r="O174" s="98"/>
      <c r="P174" s="105"/>
      <c r="Q174" s="98"/>
      <c r="R174" s="104" t="str">
        <f t="shared" si="23"/>
        <v/>
      </c>
    </row>
    <row r="175" spans="1:18">
      <c r="A175" s="67" t="str">
        <f t="shared" si="20"/>
        <v/>
      </c>
      <c r="B175" s="77"/>
      <c r="C175" s="67" t="str">
        <f t="shared" si="21"/>
        <v/>
      </c>
      <c r="D175" s="64"/>
      <c r="E175" s="64"/>
      <c r="F175" s="78"/>
      <c r="G175" s="64"/>
      <c r="H175" s="67" t="str">
        <f>IF(G175="","",IFERROR(INDEX(PERKARA!$B$5:$B$104,MATCH(G175,PERKARA!$A$5:$A$104,0)),"ID TIDAK TERDAFTAR"))</f>
        <v/>
      </c>
      <c r="I175" s="64"/>
      <c r="J175" s="64"/>
      <c r="K175" s="64"/>
      <c r="L175" s="64"/>
      <c r="M175" s="67" t="str">
        <f t="shared" si="22"/>
        <v/>
      </c>
      <c r="N175" s="98"/>
      <c r="O175" s="98"/>
      <c r="P175" s="105"/>
      <c r="Q175" s="98"/>
      <c r="R175" s="104" t="str">
        <f t="shared" si="23"/>
        <v/>
      </c>
    </row>
    <row r="176" spans="1:18">
      <c r="A176" s="67" t="str">
        <f t="shared" si="20"/>
        <v/>
      </c>
      <c r="B176" s="77"/>
      <c r="C176" s="67" t="str">
        <f t="shared" si="21"/>
        <v/>
      </c>
      <c r="D176" s="64"/>
      <c r="E176" s="64"/>
      <c r="F176" s="78"/>
      <c r="G176" s="64"/>
      <c r="H176" s="67" t="str">
        <f>IF(G176="","",IFERROR(INDEX(PERKARA!$B$5:$B$104,MATCH(G176,PERKARA!$A$5:$A$104,0)),"ID TIDAK TERDAFTAR"))</f>
        <v/>
      </c>
      <c r="I176" s="64"/>
      <c r="J176" s="64"/>
      <c r="K176" s="64"/>
      <c r="L176" s="64"/>
      <c r="M176" s="67" t="str">
        <f t="shared" si="22"/>
        <v/>
      </c>
      <c r="N176" s="98"/>
      <c r="O176" s="98"/>
      <c r="P176" s="105"/>
      <c r="Q176" s="98"/>
      <c r="R176" s="104" t="str">
        <f t="shared" si="23"/>
        <v/>
      </c>
    </row>
    <row r="177" spans="1:18">
      <c r="A177" s="67" t="str">
        <f t="shared" si="20"/>
        <v/>
      </c>
      <c r="B177" s="77"/>
      <c r="C177" s="67" t="str">
        <f t="shared" si="21"/>
        <v/>
      </c>
      <c r="D177" s="64"/>
      <c r="E177" s="64"/>
      <c r="F177" s="78"/>
      <c r="G177" s="64"/>
      <c r="H177" s="67" t="str">
        <f>IF(G177="","",IFERROR(INDEX(PERKARA!$B$5:$B$104,MATCH(G177,PERKARA!$A$5:$A$104,0)),"ID TIDAK TERDAFTAR"))</f>
        <v/>
      </c>
      <c r="I177" s="64"/>
      <c r="J177" s="64"/>
      <c r="K177" s="64"/>
      <c r="L177" s="64"/>
      <c r="M177" s="67" t="str">
        <f t="shared" si="22"/>
        <v/>
      </c>
      <c r="N177" s="98"/>
      <c r="O177" s="98"/>
      <c r="P177" s="105"/>
      <c r="Q177" s="98"/>
      <c r="R177" s="104" t="str">
        <f t="shared" si="23"/>
        <v/>
      </c>
    </row>
    <row r="178" spans="1:18">
      <c r="A178" s="67" t="str">
        <f t="shared" si="20"/>
        <v/>
      </c>
      <c r="B178" s="77"/>
      <c r="C178" s="67" t="str">
        <f t="shared" si="21"/>
        <v/>
      </c>
      <c r="D178" s="64"/>
      <c r="E178" s="64"/>
      <c r="F178" s="78"/>
      <c r="G178" s="64"/>
      <c r="H178" s="67" t="str">
        <f>IF(G178="","",IFERROR(INDEX(PERKARA!$B$5:$B$104,MATCH(G178,PERKARA!$A$5:$A$104,0)),"ID TIDAK TERDAFTAR"))</f>
        <v/>
      </c>
      <c r="I178" s="64"/>
      <c r="J178" s="64"/>
      <c r="K178" s="64"/>
      <c r="L178" s="64"/>
      <c r="M178" s="67" t="str">
        <f t="shared" si="22"/>
        <v/>
      </c>
      <c r="N178" s="98"/>
      <c r="O178" s="98"/>
      <c r="P178" s="105"/>
      <c r="Q178" s="98"/>
      <c r="R178" s="104" t="str">
        <f t="shared" si="23"/>
        <v/>
      </c>
    </row>
    <row r="179" spans="1:18">
      <c r="A179" s="67" t="str">
        <f t="shared" si="20"/>
        <v/>
      </c>
      <c r="B179" s="77"/>
      <c r="C179" s="67" t="str">
        <f t="shared" si="21"/>
        <v/>
      </c>
      <c r="D179" s="64"/>
      <c r="E179" s="64"/>
      <c r="F179" s="78"/>
      <c r="G179" s="64"/>
      <c r="H179" s="67" t="str">
        <f>IF(G179="","",IFERROR(INDEX(PERKARA!$B$5:$B$104,MATCH(G179,PERKARA!$A$5:$A$104,0)),"ID TIDAK TERDAFTAR"))</f>
        <v/>
      </c>
      <c r="I179" s="64"/>
      <c r="J179" s="64"/>
      <c r="K179" s="64"/>
      <c r="L179" s="64"/>
      <c r="M179" s="67" t="str">
        <f t="shared" si="22"/>
        <v/>
      </c>
      <c r="N179" s="98"/>
      <c r="O179" s="98"/>
      <c r="P179" s="105"/>
      <c r="Q179" s="98"/>
      <c r="R179" s="104" t="str">
        <f t="shared" si="23"/>
        <v/>
      </c>
    </row>
    <row r="180" spans="1:18">
      <c r="A180" s="67" t="str">
        <f t="shared" si="20"/>
        <v/>
      </c>
      <c r="B180" s="77"/>
      <c r="C180" s="67" t="str">
        <f t="shared" si="21"/>
        <v/>
      </c>
      <c r="D180" s="64"/>
      <c r="E180" s="64"/>
      <c r="F180" s="78"/>
      <c r="G180" s="64"/>
      <c r="H180" s="67" t="str">
        <f>IF(G180="","",IFERROR(INDEX(PERKARA!$B$5:$B$104,MATCH(G180,PERKARA!$A$5:$A$104,0)),"ID TIDAK TERDAFTAR"))</f>
        <v/>
      </c>
      <c r="I180" s="64"/>
      <c r="J180" s="64"/>
      <c r="K180" s="64"/>
      <c r="L180" s="64"/>
      <c r="M180" s="67" t="str">
        <f t="shared" si="22"/>
        <v/>
      </c>
      <c r="N180" s="98"/>
      <c r="O180" s="98"/>
      <c r="P180" s="105"/>
      <c r="Q180" s="98"/>
      <c r="R180" s="104" t="str">
        <f t="shared" si="23"/>
        <v/>
      </c>
    </row>
    <row r="181" spans="1:18">
      <c r="A181" s="67" t="str">
        <f t="shared" si="20"/>
        <v/>
      </c>
      <c r="B181" s="77"/>
      <c r="C181" s="67" t="str">
        <f t="shared" si="21"/>
        <v/>
      </c>
      <c r="D181" s="64"/>
      <c r="E181" s="64"/>
      <c r="F181" s="78"/>
      <c r="G181" s="64"/>
      <c r="H181" s="67" t="str">
        <f>IF(G181="","",IFERROR(INDEX(PERKARA!$B$5:$B$104,MATCH(G181,PERKARA!$A$5:$A$104,0)),"ID TIDAK TERDAFTAR"))</f>
        <v/>
      </c>
      <c r="I181" s="64"/>
      <c r="J181" s="64"/>
      <c r="K181" s="64"/>
      <c r="L181" s="64"/>
      <c r="M181" s="67" t="str">
        <f t="shared" si="22"/>
        <v/>
      </c>
      <c r="N181" s="98"/>
      <c r="O181" s="98"/>
      <c r="P181" s="105"/>
      <c r="Q181" s="98"/>
      <c r="R181" s="104" t="str">
        <f t="shared" si="23"/>
        <v/>
      </c>
    </row>
    <row r="182" spans="1:18">
      <c r="A182" s="67" t="str">
        <f t="shared" si="20"/>
        <v/>
      </c>
      <c r="B182" s="77"/>
      <c r="C182" s="67" t="str">
        <f t="shared" si="21"/>
        <v/>
      </c>
      <c r="D182" s="64"/>
      <c r="E182" s="64"/>
      <c r="F182" s="78"/>
      <c r="G182" s="64"/>
      <c r="H182" s="67" t="str">
        <f>IF(G182="","",IFERROR(INDEX(PERKARA!$B$5:$B$104,MATCH(G182,PERKARA!$A$5:$A$104,0)),"ID TIDAK TERDAFTAR"))</f>
        <v/>
      </c>
      <c r="I182" s="64"/>
      <c r="J182" s="64"/>
      <c r="K182" s="64"/>
      <c r="L182" s="64"/>
      <c r="M182" s="67" t="str">
        <f t="shared" si="22"/>
        <v/>
      </c>
      <c r="N182" s="98"/>
      <c r="O182" s="98"/>
      <c r="P182" s="105"/>
      <c r="Q182" s="98"/>
      <c r="R182" s="104" t="str">
        <f t="shared" si="23"/>
        <v/>
      </c>
    </row>
    <row r="183" spans="1:18">
      <c r="A183" s="67" t="str">
        <f t="shared" si="20"/>
        <v/>
      </c>
      <c r="B183" s="77"/>
      <c r="C183" s="67" t="str">
        <f t="shared" si="21"/>
        <v/>
      </c>
      <c r="D183" s="64"/>
      <c r="E183" s="64"/>
      <c r="F183" s="78"/>
      <c r="G183" s="64"/>
      <c r="H183" s="67" t="str">
        <f>IF(G183="","",IFERROR(INDEX(PERKARA!$B$5:$B$104,MATCH(G183,PERKARA!$A$5:$A$104,0)),"ID TIDAK TERDAFTAR"))</f>
        <v/>
      </c>
      <c r="I183" s="64"/>
      <c r="J183" s="64"/>
      <c r="K183" s="64"/>
      <c r="L183" s="64"/>
      <c r="M183" s="67" t="str">
        <f t="shared" si="22"/>
        <v/>
      </c>
      <c r="N183" s="98"/>
      <c r="O183" s="98"/>
      <c r="P183" s="105"/>
      <c r="Q183" s="98"/>
      <c r="R183" s="104" t="str">
        <f t="shared" si="23"/>
        <v/>
      </c>
    </row>
    <row r="184" spans="1:18">
      <c r="A184" s="67" t="str">
        <f t="shared" si="20"/>
        <v/>
      </c>
      <c r="B184" s="77"/>
      <c r="C184" s="67" t="str">
        <f t="shared" si="21"/>
        <v/>
      </c>
      <c r="D184" s="64"/>
      <c r="E184" s="64"/>
      <c r="F184" s="78"/>
      <c r="G184" s="64"/>
      <c r="H184" s="67" t="str">
        <f>IF(G184="","",IFERROR(INDEX(PERKARA!$B$5:$B$104,MATCH(G184,PERKARA!$A$5:$A$104,0)),"ID TIDAK TERDAFTAR"))</f>
        <v/>
      </c>
      <c r="I184" s="64"/>
      <c r="J184" s="64"/>
      <c r="K184" s="64"/>
      <c r="L184" s="64"/>
      <c r="M184" s="67" t="str">
        <f t="shared" si="22"/>
        <v/>
      </c>
      <c r="N184" s="98"/>
      <c r="O184" s="98"/>
      <c r="P184" s="105"/>
      <c r="Q184" s="98"/>
      <c r="R184" s="104" t="str">
        <f t="shared" si="23"/>
        <v/>
      </c>
    </row>
    <row r="185" spans="1:18">
      <c r="A185" s="67" t="str">
        <f t="shared" si="20"/>
        <v/>
      </c>
      <c r="B185" s="77"/>
      <c r="C185" s="67" t="str">
        <f t="shared" si="21"/>
        <v/>
      </c>
      <c r="D185" s="64"/>
      <c r="E185" s="64"/>
      <c r="F185" s="78"/>
      <c r="G185" s="64"/>
      <c r="H185" s="67" t="str">
        <f>IF(G185="","",IFERROR(INDEX(PERKARA!$B$5:$B$104,MATCH(G185,PERKARA!$A$5:$A$104,0)),"ID TIDAK TERDAFTAR"))</f>
        <v/>
      </c>
      <c r="I185" s="64"/>
      <c r="J185" s="64"/>
      <c r="K185" s="64"/>
      <c r="L185" s="64"/>
      <c r="M185" s="67" t="str">
        <f t="shared" si="22"/>
        <v/>
      </c>
      <c r="N185" s="98"/>
      <c r="O185" s="98"/>
      <c r="P185" s="105"/>
      <c r="Q185" s="98"/>
      <c r="R185" s="104" t="str">
        <f t="shared" si="23"/>
        <v/>
      </c>
    </row>
    <row r="186" spans="1:18">
      <c r="A186" s="67" t="str">
        <f t="shared" si="20"/>
        <v/>
      </c>
      <c r="B186" s="77"/>
      <c r="C186" s="67" t="str">
        <f t="shared" si="21"/>
        <v/>
      </c>
      <c r="D186" s="64"/>
      <c r="E186" s="64"/>
      <c r="F186" s="78"/>
      <c r="G186" s="64"/>
      <c r="H186" s="67" t="str">
        <f>IF(G186="","",IFERROR(INDEX(PERKARA!$B$5:$B$104,MATCH(G186,PERKARA!$A$5:$A$104,0)),"ID TIDAK TERDAFTAR"))</f>
        <v/>
      </c>
      <c r="I186" s="64"/>
      <c r="J186" s="64"/>
      <c r="K186" s="64"/>
      <c r="L186" s="64"/>
      <c r="M186" s="67" t="str">
        <f t="shared" si="22"/>
        <v/>
      </c>
      <c r="N186" s="98"/>
      <c r="O186" s="98"/>
      <c r="P186" s="105"/>
      <c r="Q186" s="98"/>
      <c r="R186" s="104" t="str">
        <f t="shared" si="23"/>
        <v/>
      </c>
    </row>
    <row r="187" spans="1:18">
      <c r="A187" s="67" t="str">
        <f t="shared" si="20"/>
        <v/>
      </c>
      <c r="B187" s="77"/>
      <c r="C187" s="67" t="str">
        <f t="shared" si="21"/>
        <v/>
      </c>
      <c r="D187" s="64"/>
      <c r="E187" s="64"/>
      <c r="F187" s="78"/>
      <c r="G187" s="64"/>
      <c r="H187" s="67" t="str">
        <f>IF(G187="","",IFERROR(INDEX(PERKARA!$B$5:$B$104,MATCH(G187,PERKARA!$A$5:$A$104,0)),"ID TIDAK TERDAFTAR"))</f>
        <v/>
      </c>
      <c r="I187" s="64"/>
      <c r="J187" s="64"/>
      <c r="K187" s="64"/>
      <c r="L187" s="64"/>
      <c r="M187" s="67" t="str">
        <f t="shared" si="22"/>
        <v/>
      </c>
      <c r="N187" s="98"/>
      <c r="O187" s="98"/>
      <c r="P187" s="105"/>
      <c r="Q187" s="98"/>
      <c r="R187" s="104" t="str">
        <f t="shared" si="23"/>
        <v/>
      </c>
    </row>
    <row r="188" spans="1:18">
      <c r="A188" s="67" t="str">
        <f t="shared" si="20"/>
        <v/>
      </c>
      <c r="B188" s="77"/>
      <c r="C188" s="67" t="str">
        <f t="shared" si="21"/>
        <v/>
      </c>
      <c r="D188" s="64"/>
      <c r="E188" s="64"/>
      <c r="F188" s="78"/>
      <c r="G188" s="64"/>
      <c r="H188" s="67" t="str">
        <f>IF(G188="","",IFERROR(INDEX(PERKARA!$B$5:$B$104,MATCH(G188,PERKARA!$A$5:$A$104,0)),"ID TIDAK TERDAFTAR"))</f>
        <v/>
      </c>
      <c r="I188" s="64"/>
      <c r="J188" s="64"/>
      <c r="K188" s="64"/>
      <c r="L188" s="64"/>
      <c r="M188" s="67" t="str">
        <f t="shared" si="22"/>
        <v/>
      </c>
      <c r="N188" s="98"/>
      <c r="O188" s="98"/>
      <c r="P188" s="105"/>
      <c r="Q188" s="98"/>
      <c r="R188" s="104" t="str">
        <f t="shared" si="23"/>
        <v/>
      </c>
    </row>
    <row r="189" spans="1:18">
      <c r="A189" s="67" t="str">
        <f t="shared" si="20"/>
        <v/>
      </c>
      <c r="B189" s="77"/>
      <c r="C189" s="67" t="str">
        <f t="shared" si="21"/>
        <v/>
      </c>
      <c r="D189" s="64"/>
      <c r="E189" s="64"/>
      <c r="F189" s="78"/>
      <c r="G189" s="64"/>
      <c r="H189" s="67" t="str">
        <f>IF(G189="","",IFERROR(INDEX(PERKARA!$B$5:$B$104,MATCH(G189,PERKARA!$A$5:$A$104,0)),"ID TIDAK TERDAFTAR"))</f>
        <v/>
      </c>
      <c r="I189" s="64"/>
      <c r="J189" s="64"/>
      <c r="K189" s="64"/>
      <c r="L189" s="64"/>
      <c r="M189" s="67" t="str">
        <f t="shared" si="22"/>
        <v/>
      </c>
      <c r="N189" s="98"/>
      <c r="O189" s="98"/>
      <c r="P189" s="105"/>
      <c r="Q189" s="98"/>
      <c r="R189" s="104" t="str">
        <f t="shared" si="23"/>
        <v/>
      </c>
    </row>
    <row r="190" spans="1:18">
      <c r="A190" s="67" t="str">
        <f t="shared" si="20"/>
        <v/>
      </c>
      <c r="B190" s="77"/>
      <c r="C190" s="67" t="str">
        <f t="shared" si="21"/>
        <v/>
      </c>
      <c r="D190" s="64"/>
      <c r="E190" s="64"/>
      <c r="F190" s="78"/>
      <c r="G190" s="64"/>
      <c r="H190" s="67" t="str">
        <f>IF(G190="","",IFERROR(INDEX(PERKARA!$B$5:$B$104,MATCH(G190,PERKARA!$A$5:$A$104,0)),"ID TIDAK TERDAFTAR"))</f>
        <v/>
      </c>
      <c r="I190" s="64"/>
      <c r="J190" s="64"/>
      <c r="K190" s="64"/>
      <c r="L190" s="64"/>
      <c r="M190" s="67" t="str">
        <f t="shared" si="22"/>
        <v/>
      </c>
      <c r="N190" s="98"/>
      <c r="O190" s="98"/>
      <c r="P190" s="105"/>
      <c r="Q190" s="98"/>
      <c r="R190" s="104" t="str">
        <f t="shared" si="23"/>
        <v/>
      </c>
    </row>
    <row r="191" spans="1:18">
      <c r="A191" s="67" t="str">
        <f t="shared" si="20"/>
        <v/>
      </c>
      <c r="B191" s="77"/>
      <c r="C191" s="67" t="str">
        <f t="shared" si="21"/>
        <v/>
      </c>
      <c r="D191" s="64"/>
      <c r="E191" s="64"/>
      <c r="F191" s="78"/>
      <c r="G191" s="64"/>
      <c r="H191" s="67" t="str">
        <f>IF(G191="","",IFERROR(INDEX(PERKARA!$B$5:$B$104,MATCH(G191,PERKARA!$A$5:$A$104,0)),"ID TIDAK TERDAFTAR"))</f>
        <v/>
      </c>
      <c r="I191" s="64"/>
      <c r="J191" s="64"/>
      <c r="K191" s="64"/>
      <c r="L191" s="64"/>
      <c r="M191" s="67" t="str">
        <f t="shared" si="22"/>
        <v/>
      </c>
      <c r="N191" s="98"/>
      <c r="O191" s="98"/>
      <c r="P191" s="105"/>
      <c r="Q191" s="98"/>
      <c r="R191" s="104" t="str">
        <f t="shared" si="23"/>
        <v/>
      </c>
    </row>
    <row r="192" spans="1:18">
      <c r="A192" s="67" t="str">
        <f t="shared" si="20"/>
        <v/>
      </c>
      <c r="B192" s="77"/>
      <c r="C192" s="67" t="str">
        <f t="shared" si="21"/>
        <v/>
      </c>
      <c r="D192" s="64"/>
      <c r="E192" s="64"/>
      <c r="F192" s="78"/>
      <c r="G192" s="64"/>
      <c r="H192" s="67" t="str">
        <f>IF(G192="","",IFERROR(INDEX(PERKARA!$B$5:$B$104,MATCH(G192,PERKARA!$A$5:$A$104,0)),"ID TIDAK TERDAFTAR"))</f>
        <v/>
      </c>
      <c r="I192" s="64"/>
      <c r="J192" s="64"/>
      <c r="K192" s="64"/>
      <c r="L192" s="64"/>
      <c r="M192" s="67" t="str">
        <f t="shared" si="22"/>
        <v/>
      </c>
      <c r="N192" s="98"/>
      <c r="O192" s="98"/>
      <c r="P192" s="105"/>
      <c r="Q192" s="98"/>
      <c r="R192" s="104" t="str">
        <f t="shared" si="23"/>
        <v/>
      </c>
    </row>
    <row r="193" spans="1:18">
      <c r="A193" s="67" t="str">
        <f t="shared" si="20"/>
        <v/>
      </c>
      <c r="B193" s="77"/>
      <c r="C193" s="67" t="str">
        <f t="shared" si="21"/>
        <v/>
      </c>
      <c r="D193" s="64"/>
      <c r="E193" s="64"/>
      <c r="F193" s="78"/>
      <c r="G193" s="64"/>
      <c r="H193" s="67" t="str">
        <f>IF(G193="","",IFERROR(INDEX(PERKARA!$B$5:$B$104,MATCH(G193,PERKARA!$A$5:$A$104,0)),"ID TIDAK TERDAFTAR"))</f>
        <v/>
      </c>
      <c r="I193" s="64"/>
      <c r="J193" s="64"/>
      <c r="K193" s="64"/>
      <c r="L193" s="64"/>
      <c r="M193" s="67" t="str">
        <f t="shared" si="22"/>
        <v/>
      </c>
      <c r="N193" s="98"/>
      <c r="O193" s="98"/>
      <c r="P193" s="105"/>
      <c r="Q193" s="98"/>
      <c r="R193" s="104" t="str">
        <f t="shared" si="23"/>
        <v/>
      </c>
    </row>
    <row r="194" spans="1:18">
      <c r="A194" s="67" t="str">
        <f t="shared" si="20"/>
        <v/>
      </c>
      <c r="B194" s="77"/>
      <c r="C194" s="67" t="str">
        <f t="shared" si="21"/>
        <v/>
      </c>
      <c r="D194" s="64"/>
      <c r="E194" s="64"/>
      <c r="F194" s="78"/>
      <c r="G194" s="64"/>
      <c r="H194" s="67" t="str">
        <f>IF(G194="","",IFERROR(INDEX(PERKARA!$B$5:$B$104,MATCH(G194,PERKARA!$A$5:$A$104,0)),"ID TIDAK TERDAFTAR"))</f>
        <v/>
      </c>
      <c r="I194" s="64"/>
      <c r="J194" s="64"/>
      <c r="K194" s="64"/>
      <c r="L194" s="64"/>
      <c r="M194" s="67" t="str">
        <f t="shared" si="22"/>
        <v/>
      </c>
      <c r="N194" s="98"/>
      <c r="O194" s="98"/>
      <c r="P194" s="105"/>
      <c r="Q194" s="98"/>
      <c r="R194" s="104" t="str">
        <f t="shared" si="23"/>
        <v/>
      </c>
    </row>
    <row r="195" spans="1:18">
      <c r="A195" s="67" t="str">
        <f t="shared" si="20"/>
        <v/>
      </c>
      <c r="B195" s="77"/>
      <c r="C195" s="67" t="str">
        <f t="shared" si="21"/>
        <v/>
      </c>
      <c r="D195" s="64"/>
      <c r="E195" s="64"/>
      <c r="F195" s="78"/>
      <c r="G195" s="64"/>
      <c r="H195" s="67" t="str">
        <f>IF(G195="","",IFERROR(INDEX(PERKARA!$B$5:$B$104,MATCH(G195,PERKARA!$A$5:$A$104,0)),"ID TIDAK TERDAFTAR"))</f>
        <v/>
      </c>
      <c r="I195" s="64"/>
      <c r="J195" s="64"/>
      <c r="K195" s="64"/>
      <c r="L195" s="64"/>
      <c r="M195" s="67" t="str">
        <f t="shared" si="22"/>
        <v/>
      </c>
      <c r="N195" s="98"/>
      <c r="O195" s="98"/>
      <c r="P195" s="105"/>
      <c r="Q195" s="98"/>
      <c r="R195" s="104" t="str">
        <f t="shared" si="23"/>
        <v/>
      </c>
    </row>
    <row r="196" spans="1:18">
      <c r="A196" s="67" t="str">
        <f t="shared" si="20"/>
        <v/>
      </c>
      <c r="B196" s="77"/>
      <c r="C196" s="67" t="str">
        <f t="shared" si="21"/>
        <v/>
      </c>
      <c r="D196" s="64"/>
      <c r="E196" s="64"/>
      <c r="F196" s="78"/>
      <c r="G196" s="64"/>
      <c r="H196" s="67" t="str">
        <f>IF(G196="","",IFERROR(INDEX(PERKARA!$B$5:$B$104,MATCH(G196,PERKARA!$A$5:$A$104,0)),"ID TIDAK TERDAFTAR"))</f>
        <v/>
      </c>
      <c r="I196" s="64"/>
      <c r="J196" s="64"/>
      <c r="K196" s="64"/>
      <c r="L196" s="64"/>
      <c r="M196" s="67" t="str">
        <f t="shared" si="22"/>
        <v/>
      </c>
      <c r="N196" s="98"/>
      <c r="O196" s="98"/>
      <c r="P196" s="105"/>
      <c r="Q196" s="98"/>
      <c r="R196" s="104" t="str">
        <f t="shared" si="23"/>
        <v/>
      </c>
    </row>
    <row r="197" spans="1:18">
      <c r="A197" s="67" t="str">
        <f t="shared" ref="A197:A204" si="24">IF(B197="","",IFERROR("TRF-"&amp;TEXT(B197,"yyyymmdd")&amp;"-"&amp;TEXT(ROW()-4,"000"),"TANGGAL TIDAK VALID"))</f>
        <v/>
      </c>
      <c r="B197" s="77"/>
      <c r="C197" s="67" t="str">
        <f t="shared" ref="C197:C204" si="25">IF(B197="","",IFERROR(TEXT(B197,"yyyy-mm"),""))</f>
        <v/>
      </c>
      <c r="D197" s="64"/>
      <c r="E197" s="64"/>
      <c r="F197" s="78"/>
      <c r="G197" s="64"/>
      <c r="H197" s="67" t="str">
        <f>IF(G197="","",IFERROR(INDEX(PERKARA!$B$5:$B$104,MATCH(G197,PERKARA!$A$5:$A$104,0)),"ID TIDAK TERDAFTAR"))</f>
        <v/>
      </c>
      <c r="I197" s="64"/>
      <c r="J197" s="64"/>
      <c r="K197" s="64"/>
      <c r="L197" s="64"/>
      <c r="M197" s="67" t="str">
        <f t="shared" ref="M197:M204" si="26">IF(B197="","",IF(OR(D197="",E197=""),"AKUN BELUM LENGKAP",IF(D197=E197,"AKUN ASAL DAN TUJUAN SAMA",IF(F197&lt;=0,"NOMINAL TIDAK VALID",IF(AND(G197&lt;&gt;"",H197="ID TIDAK TERDAFTAR"),"PERKARA TIDAK VALID",IF(R197&lt;&gt;"LENGKAP","TRANSFER BELUM DIOTORISASI","OK"))))))</f>
        <v/>
      </c>
      <c r="N197" s="98"/>
      <c r="O197" s="98"/>
      <c r="P197" s="105"/>
      <c r="Q197" s="98"/>
      <c r="R197" s="104" t="str">
        <f t="shared" ref="R197:R204" si="27">IF(B197="","",IF(N197="Ditolak","DITOLAK",IF(AND(N197="Disetujui",O197&lt;&gt;""),"LENGKAP",IF(N197="Disetujui","NAMA PENYETUJU BELUM DIISI","MENUNGGU PERSETUJUAN MANUAL"))))</f>
        <v/>
      </c>
    </row>
    <row r="198" spans="1:18">
      <c r="A198" s="67" t="str">
        <f t="shared" si="24"/>
        <v/>
      </c>
      <c r="B198" s="77"/>
      <c r="C198" s="67" t="str">
        <f t="shared" si="25"/>
        <v/>
      </c>
      <c r="D198" s="64"/>
      <c r="E198" s="64"/>
      <c r="F198" s="78"/>
      <c r="G198" s="64"/>
      <c r="H198" s="67" t="str">
        <f>IF(G198="","",IFERROR(INDEX(PERKARA!$B$5:$B$104,MATCH(G198,PERKARA!$A$5:$A$104,0)),"ID TIDAK TERDAFTAR"))</f>
        <v/>
      </c>
      <c r="I198" s="64"/>
      <c r="J198" s="64"/>
      <c r="K198" s="64"/>
      <c r="L198" s="64"/>
      <c r="M198" s="67" t="str">
        <f t="shared" si="26"/>
        <v/>
      </c>
      <c r="N198" s="98"/>
      <c r="O198" s="98"/>
      <c r="P198" s="105"/>
      <c r="Q198" s="98"/>
      <c r="R198" s="104" t="str">
        <f t="shared" si="27"/>
        <v/>
      </c>
    </row>
    <row r="199" spans="1:18">
      <c r="A199" s="67" t="str">
        <f t="shared" si="24"/>
        <v/>
      </c>
      <c r="B199" s="77"/>
      <c r="C199" s="67" t="str">
        <f t="shared" si="25"/>
        <v/>
      </c>
      <c r="D199" s="64"/>
      <c r="E199" s="64"/>
      <c r="F199" s="78"/>
      <c r="G199" s="64"/>
      <c r="H199" s="67" t="str">
        <f>IF(G199="","",IFERROR(INDEX(PERKARA!$B$5:$B$104,MATCH(G199,PERKARA!$A$5:$A$104,0)),"ID TIDAK TERDAFTAR"))</f>
        <v/>
      </c>
      <c r="I199" s="64"/>
      <c r="J199" s="64"/>
      <c r="K199" s="64"/>
      <c r="L199" s="64"/>
      <c r="M199" s="67" t="str">
        <f t="shared" si="26"/>
        <v/>
      </c>
      <c r="N199" s="98"/>
      <c r="O199" s="98"/>
      <c r="P199" s="105"/>
      <c r="Q199" s="98"/>
      <c r="R199" s="104" t="str">
        <f t="shared" si="27"/>
        <v/>
      </c>
    </row>
    <row r="200" spans="1:18">
      <c r="A200" s="67" t="str">
        <f t="shared" si="24"/>
        <v/>
      </c>
      <c r="B200" s="77"/>
      <c r="C200" s="67" t="str">
        <f t="shared" si="25"/>
        <v/>
      </c>
      <c r="D200" s="64"/>
      <c r="E200" s="64"/>
      <c r="F200" s="78"/>
      <c r="G200" s="64"/>
      <c r="H200" s="67" t="str">
        <f>IF(G200="","",IFERROR(INDEX(PERKARA!$B$5:$B$104,MATCH(G200,PERKARA!$A$5:$A$104,0)),"ID TIDAK TERDAFTAR"))</f>
        <v/>
      </c>
      <c r="I200" s="64"/>
      <c r="J200" s="64"/>
      <c r="K200" s="64"/>
      <c r="L200" s="64"/>
      <c r="M200" s="67" t="str">
        <f t="shared" si="26"/>
        <v/>
      </c>
      <c r="N200" s="98"/>
      <c r="O200" s="98"/>
      <c r="P200" s="105"/>
      <c r="Q200" s="98"/>
      <c r="R200" s="104" t="str">
        <f t="shared" si="27"/>
        <v/>
      </c>
    </row>
    <row r="201" spans="1:18">
      <c r="A201" s="67" t="str">
        <f t="shared" si="24"/>
        <v/>
      </c>
      <c r="B201" s="77"/>
      <c r="C201" s="67" t="str">
        <f t="shared" si="25"/>
        <v/>
      </c>
      <c r="D201" s="64"/>
      <c r="E201" s="64"/>
      <c r="F201" s="78"/>
      <c r="G201" s="64"/>
      <c r="H201" s="67" t="str">
        <f>IF(G201="","",IFERROR(INDEX(PERKARA!$B$5:$B$104,MATCH(G201,PERKARA!$A$5:$A$104,0)),"ID TIDAK TERDAFTAR"))</f>
        <v/>
      </c>
      <c r="I201" s="64"/>
      <c r="J201" s="64"/>
      <c r="K201" s="64"/>
      <c r="L201" s="64"/>
      <c r="M201" s="67" t="str">
        <f t="shared" si="26"/>
        <v/>
      </c>
      <c r="N201" s="98"/>
      <c r="O201" s="98"/>
      <c r="P201" s="105"/>
      <c r="Q201" s="98"/>
      <c r="R201" s="104" t="str">
        <f t="shared" si="27"/>
        <v/>
      </c>
    </row>
    <row r="202" spans="1:18">
      <c r="A202" s="67" t="str">
        <f t="shared" si="24"/>
        <v/>
      </c>
      <c r="B202" s="77"/>
      <c r="C202" s="67" t="str">
        <f t="shared" si="25"/>
        <v/>
      </c>
      <c r="D202" s="64"/>
      <c r="E202" s="64"/>
      <c r="F202" s="78"/>
      <c r="G202" s="64"/>
      <c r="H202" s="67" t="str">
        <f>IF(G202="","",IFERROR(INDEX(PERKARA!$B$5:$B$104,MATCH(G202,PERKARA!$A$5:$A$104,0)),"ID TIDAK TERDAFTAR"))</f>
        <v/>
      </c>
      <c r="I202" s="64"/>
      <c r="J202" s="64"/>
      <c r="K202" s="64"/>
      <c r="L202" s="64"/>
      <c r="M202" s="67" t="str">
        <f t="shared" si="26"/>
        <v/>
      </c>
      <c r="N202" s="98"/>
      <c r="O202" s="98"/>
      <c r="P202" s="105"/>
      <c r="Q202" s="98"/>
      <c r="R202" s="104" t="str">
        <f t="shared" si="27"/>
        <v/>
      </c>
    </row>
    <row r="203" spans="1:18">
      <c r="A203" s="67" t="str">
        <f t="shared" si="24"/>
        <v/>
      </c>
      <c r="B203" s="77"/>
      <c r="C203" s="67" t="str">
        <f t="shared" si="25"/>
        <v/>
      </c>
      <c r="D203" s="64"/>
      <c r="E203" s="64"/>
      <c r="F203" s="78"/>
      <c r="G203" s="64"/>
      <c r="H203" s="67" t="str">
        <f>IF(G203="","",IFERROR(INDEX(PERKARA!$B$5:$B$104,MATCH(G203,PERKARA!$A$5:$A$104,0)),"ID TIDAK TERDAFTAR"))</f>
        <v/>
      </c>
      <c r="I203" s="64"/>
      <c r="J203" s="64"/>
      <c r="K203" s="64"/>
      <c r="L203" s="64"/>
      <c r="M203" s="67" t="str">
        <f t="shared" si="26"/>
        <v/>
      </c>
      <c r="N203" s="98"/>
      <c r="O203" s="98"/>
      <c r="P203" s="105"/>
      <c r="Q203" s="98"/>
      <c r="R203" s="104" t="str">
        <f t="shared" si="27"/>
        <v/>
      </c>
    </row>
    <row r="204" spans="1:18">
      <c r="A204" s="67" t="str">
        <f t="shared" si="24"/>
        <v/>
      </c>
      <c r="B204" s="77"/>
      <c r="C204" s="67" t="str">
        <f t="shared" si="25"/>
        <v/>
      </c>
      <c r="D204" s="64"/>
      <c r="E204" s="64"/>
      <c r="F204" s="78"/>
      <c r="G204" s="64"/>
      <c r="H204" s="67" t="str">
        <f>IF(G204="","",IFERROR(INDEX(PERKARA!$B$5:$B$104,MATCH(G204,PERKARA!$A$5:$A$104,0)),"ID TIDAK TERDAFTAR"))</f>
        <v/>
      </c>
      <c r="I204" s="64"/>
      <c r="J204" s="64"/>
      <c r="K204" s="64"/>
      <c r="L204" s="64"/>
      <c r="M204" s="67" t="str">
        <f t="shared" si="26"/>
        <v/>
      </c>
      <c r="N204" s="98"/>
      <c r="O204" s="98"/>
      <c r="P204" s="105"/>
      <c r="Q204" s="98"/>
      <c r="R204" s="104" t="str">
        <f t="shared" si="27"/>
        <v/>
      </c>
    </row>
  </sheetData>
  <mergeCells count="2">
    <mergeCell ref="A1:R2"/>
    <mergeCell ref="A3:R3"/>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xr:uid="{00000000-0002-0000-1600-000000000000}">
          <x14:formula1>
            <xm:f>MASTER!$G$5:$G$10</xm:f>
          </x14:formula1>
          <xm:sqref>D5:E204</xm:sqref>
        </x14:dataValidation>
        <x14:dataValidation type="list" xr:uid="{00000000-0002-0000-1600-000001000000}">
          <x14:formula1>
            <xm:f>PERKARA!$A$5:$A$104</xm:f>
          </x14:formula1>
          <xm:sqref>G5:G204</xm:sqref>
        </x14:dataValidation>
        <x14:dataValidation type="list" xr:uid="{00000000-0002-0000-1600-000002000000}">
          <x14:formula1>
            <xm:f>MASTER!$I$5:$I$10</xm:f>
          </x14:formula1>
          <xm:sqref>I5:I204</xm:sqref>
        </x14:dataValidation>
        <x14:dataValidation type="list" xr:uid="{00000000-0002-0000-1600-000003000000}">
          <x14:formula1>
            <xm:f>MASTER!$A$5:$A$7</xm:f>
          </x14:formula1>
          <xm:sqref>K5:K204 O5:O204</xm:sqref>
        </x14:dataValidation>
        <x14:dataValidation type="list" xr:uid="{00000000-0002-0000-1600-000004000000}">
          <x14:formula1>
            <xm:f>MASTER!$M$5:$M$8</xm:f>
          </x14:formula1>
          <xm:sqref>N5:N204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2"/>
  <sheetViews>
    <sheetView showGridLines="0" workbookViewId="0">
      <selection sqref="A1:E2"/>
    </sheetView>
  </sheetViews>
  <sheetFormatPr defaultRowHeight="13.8"/>
  <cols>
    <col min="1" max="1" width="46" customWidth="1"/>
    <col min="5" max="5" width="23" customWidth="1"/>
  </cols>
  <sheetData>
    <row r="1" spans="1:8">
      <c r="A1" s="399" t="s">
        <v>897</v>
      </c>
      <c r="B1" s="399"/>
      <c r="C1" s="399"/>
      <c r="D1" s="399"/>
      <c r="E1" s="399"/>
      <c r="F1" s="75"/>
      <c r="G1" s="75"/>
      <c r="H1" s="75"/>
    </row>
    <row r="2" spans="1:8">
      <c r="A2" s="399"/>
      <c r="B2" s="399"/>
      <c r="C2" s="399"/>
      <c r="D2" s="399"/>
      <c r="E2" s="399"/>
      <c r="F2" s="75"/>
      <c r="G2" s="75"/>
      <c r="H2" s="75"/>
    </row>
    <row r="3" spans="1:8" ht="28.05" customHeight="1">
      <c r="A3" s="400" t="s">
        <v>898</v>
      </c>
      <c r="B3" s="400"/>
      <c r="C3" s="400"/>
      <c r="D3" s="400"/>
      <c r="E3" s="400"/>
      <c r="F3" s="76"/>
      <c r="G3" s="76"/>
      <c r="H3" s="76"/>
    </row>
    <row r="5" spans="1:8">
      <c r="A5" s="238" t="s">
        <v>899</v>
      </c>
      <c r="B5" s="238"/>
      <c r="C5" s="238"/>
      <c r="D5" s="238"/>
      <c r="E5" s="238"/>
      <c r="F5" s="238"/>
      <c r="G5" s="238"/>
      <c r="H5" s="238"/>
    </row>
    <row r="6" spans="1:8">
      <c r="A6" t="s">
        <v>900</v>
      </c>
      <c r="E6" s="84">
        <f>SUM(KAS_BANK!$S$5:$S$10)</f>
        <v>2904092</v>
      </c>
    </row>
    <row r="7" spans="1:8">
      <c r="A7" t="s">
        <v>901</v>
      </c>
      <c r="E7" s="84">
        <f>MAX(SUMIFS(KAS_BANK!$L$5:$L$10,KAS_BANK!$A$5:$A$10,"Bank Dana Klien"),0)</f>
        <v>0</v>
      </c>
    </row>
    <row r="8" spans="1:8">
      <c r="A8" t="s">
        <v>902</v>
      </c>
      <c r="E8" s="84">
        <f>SUM(PEMASUKAN!$I$5:$I$204)</f>
        <v>0</v>
      </c>
    </row>
    <row r="9" spans="1:8">
      <c r="A9" t="s">
        <v>903</v>
      </c>
      <c r="E9" s="84">
        <f>SALDO_AWAL_2026!B26</f>
        <v>0</v>
      </c>
    </row>
    <row r="10" spans="1:8">
      <c r="A10" s="86" t="s">
        <v>904</v>
      </c>
      <c r="B10" s="86"/>
      <c r="C10" s="86"/>
      <c r="D10" s="86"/>
      <c r="E10" s="95">
        <f>SUM(E6:E9)</f>
        <v>2904092</v>
      </c>
      <c r="F10" s="86"/>
      <c r="G10" s="86"/>
      <c r="H10" s="86"/>
    </row>
    <row r="11" spans="1:8">
      <c r="E11" s="84"/>
    </row>
    <row r="12" spans="1:8">
      <c r="A12" s="238" t="s">
        <v>905</v>
      </c>
      <c r="B12" s="238"/>
      <c r="C12" s="238"/>
      <c r="D12" s="238"/>
      <c r="E12" s="398"/>
      <c r="F12" s="238"/>
      <c r="G12" s="238"/>
      <c r="H12" s="238"/>
    </row>
    <row r="13" spans="1:8">
      <c r="A13" t="s">
        <v>906</v>
      </c>
      <c r="E13" s="84">
        <f>TALANGAN_PARTNER!I9</f>
        <v>1000000</v>
      </c>
    </row>
    <row r="14" spans="1:8">
      <c r="A14" t="s">
        <v>907</v>
      </c>
      <c r="E14" s="84">
        <f>MAX(SUM(REIMBURSE!$K$5:$K$124)-SUM(TALANGAN_PARTNER!$F$6:$F$8),0)</f>
        <v>0</v>
      </c>
    </row>
    <row r="15" spans="1:8">
      <c r="A15" t="s">
        <v>908</v>
      </c>
      <c r="E15" s="84">
        <f>SUMIFS(GAJI!$P$5:$P$124,GAJI!$B$5:$B$124,"&lt;&gt;",GAJI!$R$5:$R$124,"&lt;&gt;Dibayar")</f>
        <v>3000000</v>
      </c>
    </row>
    <row r="16" spans="1:8">
      <c r="A16" t="s">
        <v>909</v>
      </c>
      <c r="E16" s="84">
        <f>SALDO_AWAL_2026!B28+SUM(KEWAJIBAN!$G$5:$G$124)</f>
        <v>3000000</v>
      </c>
    </row>
    <row r="17" spans="1:8">
      <c r="A17" t="s">
        <v>910</v>
      </c>
      <c r="E17" s="84">
        <f>SALDO_AWAL_2026!B27+SUM(DANA_KLIEN!$G$5:$G$154)-SUM(DANA_KLIEN!$H$5:$H$154)</f>
        <v>0</v>
      </c>
    </row>
    <row r="18" spans="1:8">
      <c r="A18" t="s">
        <v>911</v>
      </c>
      <c r="E18" s="84">
        <f>MAX(SUMIFS(PEMASUKAN!$J$5:$J$204,PEMASUKAN!$M$5:$M$204,"Pinjaman")-SUMIFS(KEWAJIBAN!$E$5:$E$124,KEWAJIBAN!$C$5:$C$124,"Utang Lainnya"),0)</f>
        <v>0</v>
      </c>
    </row>
    <row r="19" spans="1:8">
      <c r="A19" s="86" t="s">
        <v>912</v>
      </c>
      <c r="B19" s="86"/>
      <c r="C19" s="86"/>
      <c r="D19" s="86"/>
      <c r="E19" s="95">
        <f>SUM(E13:E18)</f>
        <v>7000000</v>
      </c>
      <c r="F19" s="86"/>
      <c r="G19" s="86"/>
      <c r="H19" s="86"/>
    </row>
    <row r="20" spans="1:8">
      <c r="E20" s="84"/>
    </row>
    <row r="21" spans="1:8">
      <c r="A21" s="238" t="s">
        <v>260</v>
      </c>
      <c r="B21" s="238"/>
      <c r="C21" s="238"/>
      <c r="D21" s="238"/>
      <c r="E21" s="398"/>
      <c r="F21" s="238"/>
      <c r="G21" s="238"/>
      <c r="H21" s="238"/>
    </row>
    <row r="22" spans="1:8">
      <c r="A22" t="s">
        <v>913</v>
      </c>
      <c r="E22" s="84">
        <f>EKUITAS!N8</f>
        <v>-9000000</v>
      </c>
    </row>
    <row r="23" spans="1:8">
      <c r="E23" s="84"/>
    </row>
    <row r="24" spans="1:8">
      <c r="A24" s="65" t="s">
        <v>914</v>
      </c>
      <c r="B24" s="65"/>
      <c r="C24" s="65"/>
      <c r="D24" s="65"/>
      <c r="E24" s="85">
        <f>E19+E22</f>
        <v>-2000000</v>
      </c>
      <c r="F24" s="65"/>
      <c r="G24" s="65"/>
      <c r="H24" s="65"/>
    </row>
    <row r="25" spans="1:8">
      <c r="E25" s="84"/>
    </row>
    <row r="26" spans="1:8">
      <c r="A26" s="94" t="s">
        <v>915</v>
      </c>
      <c r="B26" s="94"/>
      <c r="C26" s="94"/>
      <c r="D26" s="94"/>
      <c r="E26" s="96">
        <f>E10-E24</f>
        <v>4904092</v>
      </c>
      <c r="F26" s="94"/>
      <c r="G26" s="94" t="str">
        <f>IF(ABS(E26)&lt;1,"SEIMBANG","PERIKSA SELISIH")</f>
        <v>PERIKSA SELISIH</v>
      </c>
      <c r="H26" s="94"/>
    </row>
    <row r="27" spans="1:8">
      <c r="E27" s="84"/>
    </row>
    <row r="28" spans="1:8">
      <c r="E28" s="84"/>
    </row>
    <row r="29" spans="1:8">
      <c r="A29" s="238" t="s">
        <v>916</v>
      </c>
      <c r="B29" s="238"/>
      <c r="C29" s="238"/>
      <c r="D29" s="238"/>
      <c r="E29" s="398"/>
      <c r="F29" s="238"/>
      <c r="G29" s="238"/>
      <c r="H29" s="238"/>
    </row>
    <row r="30" spans="1:8">
      <c r="A30" t="s">
        <v>917</v>
      </c>
      <c r="E30" s="84">
        <f>SUM(INVOICE_PIUTANG!$L$5:$L$151)</f>
        <v>33500000</v>
      </c>
    </row>
    <row r="31" spans="1:8">
      <c r="A31" t="s">
        <v>918</v>
      </c>
      <c r="E31" s="84">
        <f>SUM(PERKARA!$J$5:$J$104)</f>
        <v>149000000</v>
      </c>
    </row>
    <row r="32" spans="1:8">
      <c r="A32" t="s">
        <v>919</v>
      </c>
      <c r="E32" s="84">
        <f>SUM(PERKARA!$Y$5:$Y$104)</f>
        <v>115500000</v>
      </c>
    </row>
  </sheetData>
  <mergeCells count="6">
    <mergeCell ref="A5:H5"/>
    <mergeCell ref="A12:H12"/>
    <mergeCell ref="A21:H21"/>
    <mergeCell ref="A29:H29"/>
    <mergeCell ref="A1:E2"/>
    <mergeCell ref="A3:E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6"/>
  <sheetViews>
    <sheetView showGridLines="0" workbookViewId="0">
      <selection sqref="A1:K2"/>
    </sheetView>
  </sheetViews>
  <sheetFormatPr defaultRowHeight="13.8"/>
  <cols>
    <col min="1" max="1" width="21" customWidth="1"/>
    <col min="2" max="2" width="23" customWidth="1"/>
    <col min="3" max="3" width="15" customWidth="1"/>
    <col min="4" max="5" width="17" customWidth="1"/>
    <col min="6" max="6" width="18" customWidth="1"/>
    <col min="7" max="7" width="16" customWidth="1"/>
    <col min="8" max="8" width="12" customWidth="1"/>
    <col min="9" max="9" width="21" customWidth="1"/>
    <col min="10" max="10" width="19" customWidth="1"/>
    <col min="11" max="11" width="61" customWidth="1"/>
  </cols>
  <sheetData>
    <row r="1" spans="1:11">
      <c r="A1" s="283" t="s">
        <v>920</v>
      </c>
      <c r="B1" s="283"/>
      <c r="C1" s="283"/>
      <c r="D1" s="283"/>
      <c r="E1" s="283"/>
      <c r="F1" s="283"/>
      <c r="G1" s="283"/>
      <c r="H1" s="283"/>
      <c r="I1" s="283"/>
      <c r="J1" s="283"/>
      <c r="K1" s="283"/>
    </row>
    <row r="2" spans="1:11">
      <c r="A2" s="283"/>
      <c r="B2" s="283"/>
      <c r="C2" s="283"/>
      <c r="D2" s="283"/>
      <c r="E2" s="283"/>
      <c r="F2" s="283"/>
      <c r="G2" s="283"/>
      <c r="H2" s="283"/>
      <c r="I2" s="283"/>
      <c r="J2" s="283"/>
      <c r="K2" s="283"/>
    </row>
    <row r="3" spans="1:11" ht="31.95" customHeight="1">
      <c r="A3" s="285" t="s">
        <v>921</v>
      </c>
      <c r="B3" s="285"/>
      <c r="C3" s="285"/>
      <c r="D3" s="285"/>
      <c r="E3" s="285"/>
      <c r="F3" s="285"/>
      <c r="G3" s="285"/>
      <c r="H3" s="285"/>
      <c r="I3" s="285"/>
      <c r="J3" s="285"/>
      <c r="K3" s="285"/>
    </row>
    <row r="5" spans="1:11" ht="34.950000000000003" customHeight="1">
      <c r="A5" s="239" t="s">
        <v>922</v>
      </c>
      <c r="B5" s="239"/>
      <c r="C5" s="239"/>
      <c r="D5" s="239" t="s">
        <v>923</v>
      </c>
      <c r="E5" s="239"/>
      <c r="F5" s="239"/>
      <c r="G5" s="239" t="s">
        <v>924</v>
      </c>
      <c r="H5" s="239"/>
      <c r="I5" s="239" t="s">
        <v>925</v>
      </c>
      <c r="J5" s="239"/>
      <c r="K5" s="239"/>
    </row>
    <row r="6" spans="1:11">
      <c r="A6" s="401">
        <f>SUM(C10:C18)</f>
        <v>23</v>
      </c>
      <c r="B6" s="401"/>
      <c r="C6" s="401"/>
      <c r="D6" s="401">
        <f>SUM(F10:F18)</f>
        <v>23</v>
      </c>
      <c r="E6" s="401"/>
      <c r="F6" s="401"/>
      <c r="G6" s="401">
        <f>SUM(G10:G18)</f>
        <v>0</v>
      </c>
      <c r="H6" s="401"/>
      <c r="I6" s="401">
        <f>SUM(I10:I18)</f>
        <v>0</v>
      </c>
      <c r="J6" s="401"/>
      <c r="K6" s="401"/>
    </row>
    <row r="7" spans="1:11">
      <c r="A7" s="401"/>
      <c r="B7" s="401"/>
      <c r="C7" s="401"/>
      <c r="D7" s="401"/>
      <c r="E7" s="401"/>
      <c r="F7" s="401"/>
      <c r="G7" s="401"/>
      <c r="H7" s="401"/>
      <c r="I7" s="401"/>
      <c r="J7" s="401"/>
      <c r="K7" s="401"/>
    </row>
    <row r="9" spans="1:11" ht="34.950000000000003" customHeight="1">
      <c r="A9" s="101" t="s">
        <v>203</v>
      </c>
      <c r="B9" s="101" t="s">
        <v>926</v>
      </c>
      <c r="C9" s="101" t="s">
        <v>927</v>
      </c>
      <c r="D9" s="101" t="s">
        <v>928</v>
      </c>
      <c r="E9" s="101" t="s">
        <v>929</v>
      </c>
      <c r="F9" s="101" t="s">
        <v>930</v>
      </c>
      <c r="G9" s="101" t="s">
        <v>931</v>
      </c>
      <c r="H9" s="101" t="s">
        <v>810</v>
      </c>
      <c r="I9" s="101" t="s">
        <v>932</v>
      </c>
      <c r="J9" s="101" t="s">
        <v>933</v>
      </c>
      <c r="K9" s="101" t="s">
        <v>856</v>
      </c>
    </row>
    <row r="10" spans="1:11" ht="34.950000000000003" customHeight="1">
      <c r="A10" s="115" t="s">
        <v>934</v>
      </c>
      <c r="B10" s="115" t="s">
        <v>480</v>
      </c>
      <c r="C10" s="116">
        <f>COUNT(PENGELUARAN!$B$5:$B$204)</f>
        <v>11</v>
      </c>
      <c r="D10" s="116">
        <f>COUNTIF(PENGELUARAN!$Q$5:$Q$204,"Disetujui")</f>
        <v>11</v>
      </c>
      <c r="E10" s="116">
        <f>COUNTA(PENGELUARAN!$Z$5:$Z$204)</f>
        <v>11</v>
      </c>
      <c r="F10" s="116">
        <f>COUNTIF(PENGELUARAN!$AC$5:$AC$204,"LENGKAP")</f>
        <v>11</v>
      </c>
      <c r="G10" s="116">
        <f t="shared" ref="G10:G18" si="0">MAX(C10-F10,0)</f>
        <v>0</v>
      </c>
      <c r="H10" s="116">
        <f>COUNTIF(PENGELUARAN!$Q$5:$Q$204,"Ditolak")</f>
        <v>0</v>
      </c>
      <c r="I10" s="116">
        <f>COUNTIFS(PENGELUARAN!$K$5:$K$204,"&gt;0",PENGELUARAN!$AC$5:$AC$204,"&lt;&gt;LENGKAP")</f>
        <v>0</v>
      </c>
      <c r="J10" s="115" t="s">
        <v>935</v>
      </c>
      <c r="K10" s="115" t="s">
        <v>936</v>
      </c>
    </row>
    <row r="11" spans="1:11" ht="34.950000000000003" customHeight="1">
      <c r="A11" s="115" t="s">
        <v>937</v>
      </c>
      <c r="B11" s="115" t="s">
        <v>482</v>
      </c>
      <c r="C11" s="116">
        <f>COUNT(REIMBURSE!$B$5:$B$124)</f>
        <v>0</v>
      </c>
      <c r="D11" s="116">
        <f>COUNTIF(REIMBURSE!$T$5:$T$124,"Disetujui")</f>
        <v>0</v>
      </c>
      <c r="E11" s="116">
        <f>COUNTA(REIMBURSE!$M$5:$M$124)</f>
        <v>0</v>
      </c>
      <c r="F11" s="116">
        <f>COUNTIF(REIMBURSE!$W$5:$W$124,"LENGKAP")</f>
        <v>0</v>
      </c>
      <c r="G11" s="116">
        <f t="shared" si="0"/>
        <v>0</v>
      </c>
      <c r="H11" s="116">
        <f>COUNTIF(REIMBURSE!$T$5:$T$124,"Ditolak")</f>
        <v>0</v>
      </c>
      <c r="I11" s="116">
        <f>COUNTIFS(REIMBURSE!$J$5:$J$124,"&gt;0",REIMBURSE!$W$5:$W$124,"&lt;&gt;LENGKAP")</f>
        <v>0</v>
      </c>
      <c r="J11" s="115" t="s">
        <v>332</v>
      </c>
      <c r="K11" s="115" t="s">
        <v>938</v>
      </c>
    </row>
    <row r="12" spans="1:11" ht="34.950000000000003" customHeight="1">
      <c r="A12" s="115" t="s">
        <v>939</v>
      </c>
      <c r="B12" s="115" t="s">
        <v>940</v>
      </c>
      <c r="C12" s="116">
        <f>COUNT(GAJI!$B$5:$B$124)</f>
        <v>4</v>
      </c>
      <c r="D12" s="116">
        <f>COUNTIF(GAJI!$AA$5:$AA$124,"Disetujui")</f>
        <v>4</v>
      </c>
      <c r="E12" s="116">
        <f>COUNTA(GAJI!$V$5:$V$124)</f>
        <v>4</v>
      </c>
      <c r="F12" s="116">
        <f>COUNTIF(GAJI!$AD$5:$AD$124,"LENGKAP")</f>
        <v>4</v>
      </c>
      <c r="G12" s="116">
        <f t="shared" si="0"/>
        <v>0</v>
      </c>
      <c r="H12" s="116">
        <f>COUNTIF(GAJI!$AA$5:$AA$124,"Ditolak")</f>
        <v>0</v>
      </c>
      <c r="I12" s="116">
        <f>COUNTIFS(GAJI!$R$5:$R$124,"Dibayar",GAJI!$AD$5:$AD$124,"&lt;&gt;LENGKAP")</f>
        <v>0</v>
      </c>
      <c r="J12" s="115" t="s">
        <v>332</v>
      </c>
      <c r="K12" s="115" t="s">
        <v>941</v>
      </c>
    </row>
    <row r="13" spans="1:11" ht="34.950000000000003" customHeight="1">
      <c r="A13" s="115" t="s">
        <v>942</v>
      </c>
      <c r="B13" s="115" t="s">
        <v>467</v>
      </c>
      <c r="C13" s="116">
        <f>COUNT(INVOICE_PIUTANG!$B$5:$B$151)</f>
        <v>2</v>
      </c>
      <c r="D13" s="116">
        <f>COUNTIF(INVOICE_PIUTANG!$Y$5:$Y$151,"Disetujui")</f>
        <v>2</v>
      </c>
      <c r="E13" s="116">
        <f>COUNTA(INVOICE_PIUTANG!$Z$5:$Z$151)</f>
        <v>2</v>
      </c>
      <c r="F13" s="116">
        <f>COUNTIF(INVOICE_PIUTANG!$AC$5:$AC$151,"LENGKAP")</f>
        <v>2</v>
      </c>
      <c r="G13" s="116">
        <f t="shared" si="0"/>
        <v>0</v>
      </c>
      <c r="H13" s="116">
        <f>COUNTIF(INVOICE_PIUTANG!$Y$5:$Y$151,"Ditolak")</f>
        <v>0</v>
      </c>
      <c r="I13" s="116">
        <f>COUNTIFS(INVOICE_PIUTANG!$J$5:$J$151,"&gt;0",INVOICE_PIUTANG!$AC$5:$AC$151,"&lt;&gt;LENGKAP")</f>
        <v>0</v>
      </c>
      <c r="J13" s="115" t="s">
        <v>935</v>
      </c>
      <c r="K13" s="115" t="s">
        <v>943</v>
      </c>
    </row>
    <row r="14" spans="1:11" ht="34.950000000000003" customHeight="1">
      <c r="A14" s="115" t="s">
        <v>944</v>
      </c>
      <c r="B14" s="115" t="s">
        <v>945</v>
      </c>
      <c r="C14" s="116">
        <f>COUNT(DANA_KLIEN!$B$5:$B$154)</f>
        <v>0</v>
      </c>
      <c r="D14" s="116">
        <f>COUNTIF(DANA_KLIEN!$L$5:$L$154,"Disetujui")</f>
        <v>0</v>
      </c>
      <c r="E14" s="116">
        <f>COUNTA(DANA_KLIEN!$M$5:$M$154)</f>
        <v>0</v>
      </c>
      <c r="F14" s="116">
        <f>COUNTIF(DANA_KLIEN!$S$5:$S$154,"LENGKAP")</f>
        <v>0</v>
      </c>
      <c r="G14" s="116">
        <f t="shared" si="0"/>
        <v>0</v>
      </c>
      <c r="H14" s="116">
        <f>COUNTIF(DANA_KLIEN!$L$5:$L$154,"Ditolak")</f>
        <v>0</v>
      </c>
      <c r="I14" s="116">
        <f>COUNTIFS(DANA_KLIEN!$H$5:$H$154,"&gt;0",DANA_KLIEN!$S$5:$S$154,"&lt;&gt;LENGKAP")</f>
        <v>0</v>
      </c>
      <c r="J14" s="115" t="s">
        <v>354</v>
      </c>
      <c r="K14" s="115" t="s">
        <v>946</v>
      </c>
    </row>
    <row r="15" spans="1:11" ht="34.950000000000003" customHeight="1">
      <c r="A15" s="115" t="s">
        <v>947</v>
      </c>
      <c r="B15" s="115" t="s">
        <v>948</v>
      </c>
      <c r="C15" s="116">
        <f>COUNT(PARTNER!$B$5:$B$124)</f>
        <v>3</v>
      </c>
      <c r="D15" s="116">
        <f>COUNTIF(PARTNER!$M$5:$M$124,"Disetujui")</f>
        <v>3</v>
      </c>
      <c r="E15" s="116">
        <f>COUNTA(PARTNER!$N$5:$N$124)</f>
        <v>3</v>
      </c>
      <c r="F15" s="116">
        <f>COUNTIF(PARTNER!$U$5:$U$124,"LENGKAP")</f>
        <v>3</v>
      </c>
      <c r="G15" s="116">
        <f t="shared" si="0"/>
        <v>0</v>
      </c>
      <c r="H15" s="116">
        <f>COUNTIF(PARTNER!$M$5:$M$124,"Ditolak")</f>
        <v>0</v>
      </c>
      <c r="I15" s="116">
        <f>COUNTIFS(PARTNER!$I$5:$I$124,"&gt;0",PARTNER!$U$5:$U$124,"&lt;&gt;LENGKAP")</f>
        <v>0</v>
      </c>
      <c r="J15" s="115" t="s">
        <v>332</v>
      </c>
      <c r="K15" s="115" t="s">
        <v>949</v>
      </c>
    </row>
    <row r="16" spans="1:11" ht="34.950000000000003" customHeight="1">
      <c r="A16" s="115" t="s">
        <v>950</v>
      </c>
      <c r="B16" s="115" t="s">
        <v>905</v>
      </c>
      <c r="C16" s="116">
        <f>COUNT(KEWAJIBAN!$B$5:$B$124)</f>
        <v>2</v>
      </c>
      <c r="D16" s="116">
        <f>COUNTIF(KEWAJIBAN!$S$5:$S$124,"Disetujui")</f>
        <v>2</v>
      </c>
      <c r="E16" s="116">
        <f>COUNTA(KEWAJIBAN!$T$5:$T$124)</f>
        <v>2</v>
      </c>
      <c r="F16" s="116">
        <f>COUNTIF(KEWAJIBAN!$W$5:$W$124,"LENGKAP")</f>
        <v>2</v>
      </c>
      <c r="G16" s="116">
        <f t="shared" si="0"/>
        <v>0</v>
      </c>
      <c r="H16" s="116">
        <f>COUNTIF(KEWAJIBAN!$S$5:$S$124,"Ditolak")</f>
        <v>0</v>
      </c>
      <c r="I16" s="116">
        <f>COUNTIFS(KEWAJIBAN!$F$5:$F$124,"&gt;0",KEWAJIBAN!$W$5:$W$124,"&lt;&gt;LENGKAP")</f>
        <v>0</v>
      </c>
      <c r="J16" s="115" t="s">
        <v>332</v>
      </c>
      <c r="K16" s="115" t="s">
        <v>951</v>
      </c>
    </row>
    <row r="17" spans="1:11" ht="34.950000000000003" customHeight="1">
      <c r="A17" s="115" t="s">
        <v>952</v>
      </c>
      <c r="B17" s="115" t="s">
        <v>473</v>
      </c>
      <c r="C17" s="116">
        <f>COUNT(TRANSFER_KAS!$B$5:$B$204)</f>
        <v>0</v>
      </c>
      <c r="D17" s="116">
        <f>COUNTIF(TRANSFER_KAS!$N$5:$N$204,"Disetujui")</f>
        <v>0</v>
      </c>
      <c r="E17" s="116">
        <f>COUNTA(TRANSFER_KAS!$O$5:$O$204)</f>
        <v>0</v>
      </c>
      <c r="F17" s="116">
        <f>COUNTIF(TRANSFER_KAS!$R$5:$R$204,"LENGKAP")</f>
        <v>0</v>
      </c>
      <c r="G17" s="116">
        <f t="shared" si="0"/>
        <v>0</v>
      </c>
      <c r="H17" s="116">
        <f>COUNTIF(TRANSFER_KAS!$N$5:$N$204,"Ditolak")</f>
        <v>0</v>
      </c>
      <c r="I17" s="116">
        <f>COUNTIFS(TRANSFER_KAS!$F$5:$F$204,"&gt;0",TRANSFER_KAS!$R$5:$R$204,"&lt;&gt;LENGKAP")</f>
        <v>0</v>
      </c>
      <c r="J17" s="115" t="s">
        <v>332</v>
      </c>
      <c r="K17" s="115" t="s">
        <v>953</v>
      </c>
    </row>
    <row r="18" spans="1:11" ht="34.950000000000003" customHeight="1">
      <c r="A18" s="115" t="s">
        <v>954</v>
      </c>
      <c r="B18" s="115" t="s">
        <v>469</v>
      </c>
      <c r="C18" s="116">
        <f>COUNT(PEMASUKAN!$B$5:$B$204)</f>
        <v>1</v>
      </c>
      <c r="D18" s="116">
        <f>COUNTIF(PEMASUKAN!$S$5:$S$204,"Dikonfirmasi")</f>
        <v>1</v>
      </c>
      <c r="E18" s="116">
        <f>COUNTA(PEMASUKAN!$P$5:$P$204)</f>
        <v>1</v>
      </c>
      <c r="F18" s="116">
        <f>COUNTIF(PEMASUKAN!$V$5:$V$204,"LENGKAP")</f>
        <v>1</v>
      </c>
      <c r="G18" s="116">
        <f t="shared" si="0"/>
        <v>0</v>
      </c>
      <c r="H18" s="116">
        <f>COUNTIF(PEMASUKAN!$S$5:$S$204,"Ditolak")</f>
        <v>0</v>
      </c>
      <c r="I18" s="116">
        <f>COUNTIFS(PEMASUKAN!$J$5:$J$204,"&gt;0",PEMASUKAN!$V$5:$V$204,"&lt;&gt;LENGKAP")</f>
        <v>0</v>
      </c>
      <c r="J18" s="115" t="s">
        <v>332</v>
      </c>
      <c r="K18" s="115" t="s">
        <v>955</v>
      </c>
    </row>
    <row r="20" spans="1:11" ht="34.950000000000003" customHeight="1">
      <c r="A20" s="239" t="s">
        <v>956</v>
      </c>
      <c r="B20" s="239"/>
      <c r="C20" s="239"/>
      <c r="D20" s="239"/>
      <c r="E20" s="239"/>
      <c r="F20" s="239"/>
      <c r="G20" s="239"/>
      <c r="H20" s="239"/>
      <c r="I20" s="239"/>
      <c r="J20" s="239"/>
      <c r="K20" s="239"/>
    </row>
    <row r="21" spans="1:11" ht="24" customHeight="1">
      <c r="A21" s="402" t="s">
        <v>957</v>
      </c>
      <c r="B21" s="402"/>
      <c r="C21" s="402"/>
      <c r="D21" s="402"/>
      <c r="E21" s="402"/>
      <c r="F21" s="402"/>
      <c r="G21" s="402"/>
      <c r="H21" s="402"/>
      <c r="I21" s="402"/>
      <c r="J21" s="402"/>
      <c r="K21" s="402"/>
    </row>
    <row r="22" spans="1:11" ht="24" customHeight="1">
      <c r="A22" s="403" t="s">
        <v>958</v>
      </c>
      <c r="B22" s="403"/>
      <c r="C22" s="403"/>
      <c r="D22" s="403"/>
      <c r="E22" s="403"/>
      <c r="F22" s="403"/>
      <c r="G22" s="403"/>
      <c r="H22" s="403"/>
      <c r="I22" s="403"/>
      <c r="J22" s="403"/>
      <c r="K22" s="403"/>
    </row>
    <row r="23" spans="1:11" ht="24" customHeight="1">
      <c r="A23" s="402" t="s">
        <v>959</v>
      </c>
      <c r="B23" s="402"/>
      <c r="C23" s="402"/>
      <c r="D23" s="402"/>
      <c r="E23" s="402"/>
      <c r="F23" s="402"/>
      <c r="G23" s="402"/>
      <c r="H23" s="402"/>
      <c r="I23" s="402"/>
      <c r="J23" s="402"/>
      <c r="K23" s="402"/>
    </row>
    <row r="24" spans="1:11" ht="24" customHeight="1">
      <c r="A24" s="403" t="s">
        <v>960</v>
      </c>
      <c r="B24" s="403"/>
      <c r="C24" s="403"/>
      <c r="D24" s="403"/>
      <c r="E24" s="403"/>
      <c r="F24" s="403"/>
      <c r="G24" s="403"/>
      <c r="H24" s="403"/>
      <c r="I24" s="403"/>
      <c r="J24" s="403"/>
      <c r="K24" s="403"/>
    </row>
    <row r="25" spans="1:11" ht="24" customHeight="1">
      <c r="A25" s="402" t="s">
        <v>961</v>
      </c>
      <c r="B25" s="402"/>
      <c r="C25" s="402"/>
      <c r="D25" s="402"/>
      <c r="E25" s="402"/>
      <c r="F25" s="402"/>
      <c r="G25" s="402"/>
      <c r="H25" s="402"/>
      <c r="I25" s="402"/>
      <c r="J25" s="402"/>
      <c r="K25" s="402"/>
    </row>
    <row r="26" spans="1:11" ht="24" customHeight="1">
      <c r="A26" s="403" t="s">
        <v>962</v>
      </c>
      <c r="B26" s="403"/>
      <c r="C26" s="403"/>
      <c r="D26" s="403"/>
      <c r="E26" s="403"/>
      <c r="F26" s="403"/>
      <c r="G26" s="403"/>
      <c r="H26" s="403"/>
      <c r="I26" s="403"/>
      <c r="J26" s="403"/>
      <c r="K26" s="403"/>
    </row>
  </sheetData>
  <mergeCells count="17">
    <mergeCell ref="A25:K25"/>
    <mergeCell ref="A26:K26"/>
    <mergeCell ref="A20:K20"/>
    <mergeCell ref="A21:K21"/>
    <mergeCell ref="A22:K22"/>
    <mergeCell ref="A23:K23"/>
    <mergeCell ref="A24:K24"/>
    <mergeCell ref="A1:K2"/>
    <mergeCell ref="A3:K3"/>
    <mergeCell ref="A5:C5"/>
    <mergeCell ref="A6:C7"/>
    <mergeCell ref="D5:F5"/>
    <mergeCell ref="D6:F7"/>
    <mergeCell ref="G5:H5"/>
    <mergeCell ref="G6:H7"/>
    <mergeCell ref="I5:K5"/>
    <mergeCell ref="I6:K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34"/>
  <sheetViews>
    <sheetView showGridLines="0" topLeftCell="A25" workbookViewId="0">
      <selection activeCell="A31" sqref="A31:H31"/>
    </sheetView>
  </sheetViews>
  <sheetFormatPr defaultRowHeight="13.8"/>
  <cols>
    <col min="1" max="1" width="34" customWidth="1"/>
    <col min="2" max="2" width="22" customWidth="1"/>
    <col min="3" max="3" width="28" customWidth="1"/>
    <col min="4" max="4" width="26" customWidth="1"/>
    <col min="5" max="5" width="38" customWidth="1"/>
    <col min="6" max="7" width="24" customWidth="1"/>
    <col min="8" max="8" width="31" customWidth="1"/>
  </cols>
  <sheetData>
    <row r="1" spans="1:8" ht="25.05" customHeight="1">
      <c r="A1" s="404" t="s">
        <v>994</v>
      </c>
      <c r="B1" s="404"/>
      <c r="C1" s="404"/>
      <c r="D1" s="404"/>
      <c r="E1" s="404"/>
      <c r="F1" s="404"/>
      <c r="G1" s="404"/>
      <c r="H1" s="119"/>
    </row>
    <row r="2" spans="1:8" ht="25.05" customHeight="1">
      <c r="A2" s="404"/>
      <c r="B2" s="404"/>
      <c r="C2" s="404"/>
      <c r="D2" s="404"/>
      <c r="E2" s="404"/>
      <c r="F2" s="404"/>
      <c r="G2" s="404"/>
      <c r="H2" s="119"/>
    </row>
    <row r="3" spans="1:8" ht="34.950000000000003" customHeight="1">
      <c r="A3" s="405" t="s">
        <v>963</v>
      </c>
      <c r="B3" s="405"/>
      <c r="C3" s="405"/>
      <c r="D3" s="405"/>
      <c r="E3" s="405"/>
      <c r="F3" s="405"/>
      <c r="G3" s="405"/>
      <c r="H3" s="120"/>
    </row>
    <row r="4" spans="1:8">
      <c r="A4" s="409" t="s">
        <v>964</v>
      </c>
      <c r="B4" s="409"/>
      <c r="C4" s="409"/>
      <c r="D4" s="409"/>
      <c r="E4" s="409"/>
      <c r="F4" s="409"/>
      <c r="G4" s="409"/>
      <c r="H4" s="409"/>
    </row>
    <row r="5" spans="1:8">
      <c r="A5" s="409"/>
      <c r="B5" s="409"/>
      <c r="C5" s="409"/>
      <c r="D5" s="409"/>
      <c r="E5" s="409"/>
      <c r="F5" s="409"/>
      <c r="G5" s="409"/>
      <c r="H5" s="409"/>
    </row>
    <row r="7" spans="1:8" ht="33" customHeight="1">
      <c r="A7" s="240" t="s">
        <v>965</v>
      </c>
      <c r="B7" s="240"/>
      <c r="C7" s="240"/>
      <c r="D7" s="240"/>
      <c r="E7" s="240"/>
      <c r="F7" s="240"/>
      <c r="G7" s="240"/>
      <c r="H7" s="240"/>
    </row>
    <row r="8" spans="1:8" ht="33" customHeight="1">
      <c r="A8" s="121" t="s">
        <v>966</v>
      </c>
      <c r="B8" s="121" t="s">
        <v>995</v>
      </c>
      <c r="C8" s="121" t="s">
        <v>967</v>
      </c>
      <c r="D8" s="121" t="s">
        <v>968</v>
      </c>
      <c r="E8" s="121" t="s">
        <v>969</v>
      </c>
      <c r="F8" s="121"/>
      <c r="G8" s="121"/>
      <c r="H8" s="121"/>
    </row>
    <row r="9" spans="1:8" ht="31.95" customHeight="1">
      <c r="A9" s="164" t="str">
        <f>MASTER!G5</f>
        <v>Kas Kantor</v>
      </c>
      <c r="B9" s="165"/>
      <c r="C9" s="49" t="s">
        <v>970</v>
      </c>
      <c r="D9" s="164" t="str">
        <f t="shared" ref="D9:D14" si="0">IF(B9&lt;0,"TALANGAN PARTNER",IF(B9=0,"BELUM ADA SALDO",IF(A9="Bank Dana Klien","TERBATAS","TERSEDIA")))</f>
        <v>BELUM ADA SALDO</v>
      </c>
      <c r="E9" s="406"/>
      <c r="F9" s="407"/>
      <c r="G9" s="407"/>
      <c r="H9" s="407"/>
    </row>
    <row r="10" spans="1:8" ht="31.95" customHeight="1">
      <c r="A10" s="164" t="str">
        <f>MASTER!G6</f>
        <v>Bank Operasional</v>
      </c>
      <c r="B10" s="165">
        <v>0</v>
      </c>
      <c r="C10" s="49" t="s">
        <v>970</v>
      </c>
      <c r="D10" s="164" t="str">
        <f t="shared" si="0"/>
        <v>BELUM ADA SALDO</v>
      </c>
      <c r="E10" s="406"/>
      <c r="F10" s="407"/>
      <c r="G10" s="407"/>
      <c r="H10" s="407"/>
    </row>
    <row r="11" spans="1:8" ht="31.95" customHeight="1">
      <c r="A11" s="164" t="str">
        <f>MASTER!G7</f>
        <v>Kas Fajar</v>
      </c>
      <c r="B11" s="165"/>
      <c r="C11" s="49" t="s">
        <v>971</v>
      </c>
      <c r="D11" s="164" t="str">
        <f t="shared" si="0"/>
        <v>BELUM ADA SALDO</v>
      </c>
      <c r="E11" s="406"/>
      <c r="F11" s="407"/>
      <c r="G11" s="407"/>
      <c r="H11" s="407"/>
    </row>
    <row r="12" spans="1:8" ht="31.95" customHeight="1">
      <c r="A12" s="164" t="str">
        <f>MASTER!G8</f>
        <v>Kas Reza</v>
      </c>
      <c r="B12" s="165">
        <v>0</v>
      </c>
      <c r="C12" s="49" t="s">
        <v>971</v>
      </c>
      <c r="D12" s="164" t="str">
        <f t="shared" si="0"/>
        <v>BELUM ADA SALDO</v>
      </c>
      <c r="E12" s="406"/>
      <c r="F12" s="407"/>
      <c r="G12" s="407"/>
      <c r="H12" s="407"/>
    </row>
    <row r="13" spans="1:8" ht="31.95" customHeight="1">
      <c r="A13" s="164" t="str">
        <f>MASTER!G9</f>
        <v>Kas Anggara</v>
      </c>
      <c r="B13" s="165">
        <v>0</v>
      </c>
      <c r="C13" s="49" t="s">
        <v>971</v>
      </c>
      <c r="D13" s="164" t="str">
        <f t="shared" si="0"/>
        <v>BELUM ADA SALDO</v>
      </c>
      <c r="E13" s="406"/>
      <c r="F13" s="407"/>
      <c r="G13" s="407"/>
      <c r="H13" s="407"/>
    </row>
    <row r="14" spans="1:8" ht="31.95" customHeight="1">
      <c r="A14" s="164" t="str">
        <f>MASTER!G10</f>
        <v>Bank Dana Klien</v>
      </c>
      <c r="B14" s="165">
        <v>0</v>
      </c>
      <c r="C14" s="49" t="s">
        <v>972</v>
      </c>
      <c r="D14" s="164" t="str">
        <f t="shared" si="0"/>
        <v>BELUM ADA SALDO</v>
      </c>
      <c r="E14" s="406"/>
      <c r="F14" s="407"/>
      <c r="G14" s="407"/>
      <c r="H14" s="407"/>
    </row>
    <row r="15" spans="1:8">
      <c r="B15" s="83"/>
    </row>
    <row r="16" spans="1:8" ht="19.95" customHeight="1">
      <c r="A16" s="124" t="s">
        <v>973</v>
      </c>
      <c r="B16" s="95">
        <f>SUM(MAX(B9,0),MAX(B10,0),MAX(B11,0),MAX(B12,0),MAX(B13,0))</f>
        <v>0</v>
      </c>
      <c r="C16" s="124"/>
      <c r="D16" s="124"/>
      <c r="E16" s="124"/>
      <c r="F16" s="124"/>
      <c r="G16" s="124"/>
      <c r="H16" s="124"/>
    </row>
    <row r="17" spans="1:8" ht="19.95" customHeight="1">
      <c r="A17" s="125" t="s">
        <v>974</v>
      </c>
      <c r="B17" s="167">
        <f>MAX(-B11,0)+MAX(-B12,0)+MAX(-B13,0)</f>
        <v>0</v>
      </c>
      <c r="C17" s="125"/>
      <c r="D17" s="125"/>
      <c r="E17" s="125"/>
      <c r="F17" s="125"/>
      <c r="G17" s="125"/>
      <c r="H17" s="125"/>
    </row>
    <row r="18" spans="1:8" ht="19.95" customHeight="1">
      <c r="A18" s="125" t="s">
        <v>975</v>
      </c>
      <c r="B18" s="167">
        <f>MAX(B14,0)</f>
        <v>0</v>
      </c>
      <c r="C18" s="125"/>
      <c r="D18" s="125"/>
      <c r="E18" s="125"/>
      <c r="F18" s="125"/>
      <c r="G18" s="125"/>
      <c r="H18" s="125"/>
    </row>
    <row r="19" spans="1:8">
      <c r="B19" s="83"/>
    </row>
    <row r="20" spans="1:8" ht="33" customHeight="1">
      <c r="A20" s="240" t="s">
        <v>976</v>
      </c>
      <c r="B20" s="408"/>
      <c r="C20" s="240"/>
      <c r="D20" s="240"/>
      <c r="E20" s="240"/>
      <c r="F20" s="240"/>
      <c r="G20" s="240"/>
      <c r="H20" s="240"/>
    </row>
    <row r="21" spans="1:8" ht="19.95" customHeight="1">
      <c r="A21" t="s">
        <v>977</v>
      </c>
      <c r="B21" s="78"/>
      <c r="C21" t="s">
        <v>978</v>
      </c>
    </row>
    <row r="22" spans="1:8" ht="19.95" customHeight="1">
      <c r="A22" t="str">
        <f>"Modal awal - "&amp;MASTER!A5</f>
        <v>Modal awal - Fajar Roni</v>
      </c>
      <c r="B22" s="78">
        <v>0</v>
      </c>
      <c r="C22" t="s">
        <v>979</v>
      </c>
    </row>
    <row r="23" spans="1:8" ht="19.95" customHeight="1">
      <c r="A23" t="str">
        <f>"Modal awal - "&amp;MASTER!A6</f>
        <v>Modal awal - Reza Evaldo Kusumah</v>
      </c>
      <c r="B23" s="78">
        <v>0</v>
      </c>
      <c r="C23" t="s">
        <v>979</v>
      </c>
    </row>
    <row r="24" spans="1:8" ht="19.95" customHeight="1">
      <c r="A24" t="str">
        <f>"Modal awal - "&amp;MASTER!A7</f>
        <v>Modal awal - Anggara Putra</v>
      </c>
      <c r="B24" s="78">
        <v>0</v>
      </c>
      <c r="C24" t="s">
        <v>979</v>
      </c>
    </row>
    <row r="25" spans="1:8" ht="19.95" customHeight="1">
      <c r="A25" s="124" t="s">
        <v>980</v>
      </c>
      <c r="B25" s="168">
        <f>SUM(B21:B24)</f>
        <v>0</v>
      </c>
      <c r="C25" s="124"/>
      <c r="D25" s="124"/>
      <c r="E25" s="124"/>
      <c r="F25" s="124"/>
      <c r="G25" s="124"/>
      <c r="H25" s="124"/>
    </row>
    <row r="26" spans="1:8" ht="19.95" customHeight="1">
      <c r="A26" t="s">
        <v>981</v>
      </c>
      <c r="B26" s="78">
        <v>0</v>
      </c>
    </row>
    <row r="27" spans="1:8" ht="19.95" customHeight="1">
      <c r="A27" t="s">
        <v>982</v>
      </c>
      <c r="B27" s="78">
        <v>0</v>
      </c>
    </row>
    <row r="28" spans="1:8" ht="19.95" customHeight="1">
      <c r="A28" t="s">
        <v>983</v>
      </c>
      <c r="B28" s="78">
        <v>0</v>
      </c>
    </row>
    <row r="29" spans="1:8" ht="19.95" customHeight="1">
      <c r="A29" s="127" t="s">
        <v>984</v>
      </c>
      <c r="B29" s="169">
        <f>B16+B18+B26-B17-B27-B28-SUMIFS(KEWAJIBAN!$E$5:$E$124,KEWAJIBAN!$B$5:$B$124,"&lt;"&amp;DATE(MASTER!$AF$7,1,1))-B25</f>
        <v>0</v>
      </c>
      <c r="C29" s="128" t="str">
        <f>IF(ABS(B29)&lt;1,"SEIMBANG","PERIKSA SALDO AWAL")</f>
        <v>SEIMBANG</v>
      </c>
      <c r="D29" s="127"/>
      <c r="E29" s="127"/>
      <c r="F29" s="127"/>
      <c r="G29" s="127"/>
      <c r="H29" s="127"/>
    </row>
    <row r="30" spans="1:8" ht="36" customHeight="1">
      <c r="A30" s="400" t="s">
        <v>985</v>
      </c>
      <c r="B30" s="400"/>
      <c r="C30" s="400"/>
      <c r="D30" s="400"/>
      <c r="E30" s="400"/>
      <c r="F30" s="400"/>
      <c r="G30" s="400"/>
    </row>
    <row r="31" spans="1:8" ht="33" customHeight="1">
      <c r="A31" s="240" t="s">
        <v>986</v>
      </c>
      <c r="B31" s="240"/>
      <c r="C31" s="240"/>
      <c r="D31" s="240"/>
      <c r="E31" s="240"/>
      <c r="F31" s="240"/>
      <c r="G31" s="240"/>
      <c r="H31" s="240"/>
    </row>
    <row r="32" spans="1:8" ht="42" customHeight="1">
      <c r="A32" s="166" t="s">
        <v>987</v>
      </c>
      <c r="B32" s="166" t="s">
        <v>63</v>
      </c>
      <c r="C32" s="166" t="s">
        <v>868</v>
      </c>
      <c r="D32" s="166" t="s">
        <v>988</v>
      </c>
      <c r="E32" s="166" t="s">
        <v>989</v>
      </c>
      <c r="F32" s="166" t="s">
        <v>990</v>
      </c>
      <c r="G32" s="166" t="s">
        <v>991</v>
      </c>
      <c r="H32" s="121" t="s">
        <v>992</v>
      </c>
    </row>
    <row r="33" spans="1:8" ht="19.95" customHeight="1">
      <c r="A33" s="122" t="str">
        <f>IF(PERKARA!A5=E33,"",PERKARA!A5)</f>
        <v>001/2026</v>
      </c>
      <c r="B33" s="122" t="str">
        <f>IF(A33="","",PERKARA!B5)</f>
        <v>PT KKG</v>
      </c>
      <c r="C33" s="126">
        <f>IF(A33="","",PERKARA!G5)</f>
        <v>165000000</v>
      </c>
      <c r="D33" s="123">
        <v>16000000</v>
      </c>
      <c r="E33" s="123">
        <v>16000000</v>
      </c>
      <c r="F33" s="123">
        <v>4095908</v>
      </c>
      <c r="G33" s="123">
        <v>0</v>
      </c>
      <c r="H33" s="122" t="str">
        <f>IF(A33="","",IF(E33&gt;C33,"PERIKSA: PENERIMAAN MELEBIHI KONTRAK",IF(PERKARA!F5="Aktif","PERKARA AKTIF","TINJAU STATUS PERKARA")))</f>
        <v>PERKARA AKTIF</v>
      </c>
    </row>
    <row r="34" spans="1:8" ht="19.95" customHeight="1">
      <c r="A34" s="122" t="str">
        <f>IF(PERKARA!A6="","",PERKARA!A6)</f>
        <v/>
      </c>
      <c r="B34" s="122" t="str">
        <f>IF(A34="","",PERKARA!B6)</f>
        <v/>
      </c>
      <c r="C34" s="126" t="str">
        <f>IF(A34="","",PERKARA!G6)</f>
        <v/>
      </c>
      <c r="D34" s="123"/>
      <c r="E34" s="123"/>
      <c r="F34" s="123"/>
      <c r="G34" s="123"/>
      <c r="H34" s="122" t="str">
        <f>IF(A34="","",IF(E34&gt;C34,"PERIKSA: PENERIMAAN MELEBIHI KONTRAK",IF(PERKARA!F6="Aktif","PERKARA AKTIF","TINJAU STATUS PERKARA")))</f>
        <v/>
      </c>
    </row>
    <row r="35" spans="1:8" ht="19.95" customHeight="1">
      <c r="A35" s="122" t="str">
        <f>IF(PERKARA!A7="","",PERKARA!A7)</f>
        <v/>
      </c>
      <c r="B35" s="122" t="str">
        <f>IF(A35="","",PERKARA!B7)</f>
        <v/>
      </c>
      <c r="C35" s="126" t="str">
        <f>IF(A35="","",PERKARA!G7)</f>
        <v/>
      </c>
      <c r="D35" s="123"/>
      <c r="E35" s="123"/>
      <c r="F35" s="123"/>
      <c r="G35" s="123"/>
      <c r="H35" s="122" t="str">
        <f>IF(A35="","",IF(E35&gt;C35,"PERIKSA: PENERIMAAN MELEBIHI KONTRAK",IF(PERKARA!F7="Aktif","PERKARA AKTIF","TINJAU STATUS PERKARA")))</f>
        <v/>
      </c>
    </row>
    <row r="36" spans="1:8" ht="19.95" customHeight="1">
      <c r="A36" s="122" t="str">
        <f>IF(PERKARA!A8="","",PERKARA!A8)</f>
        <v/>
      </c>
      <c r="B36" s="122" t="str">
        <f>IF(A36="","",PERKARA!B8)</f>
        <v/>
      </c>
      <c r="C36" s="126" t="str">
        <f>IF(A36="","",PERKARA!G8)</f>
        <v/>
      </c>
      <c r="D36" s="123"/>
      <c r="E36" s="123"/>
      <c r="F36" s="123"/>
      <c r="G36" s="123"/>
      <c r="H36" s="122" t="str">
        <f>IF(A36="","",IF(E36&gt;C36,"PERIKSA: PENERIMAAN MELEBIHI KONTRAK",IF(PERKARA!F8="Aktif","PERKARA AKTIF","TINJAU STATUS PERKARA")))</f>
        <v/>
      </c>
    </row>
    <row r="37" spans="1:8" ht="19.95" customHeight="1">
      <c r="A37" s="122" t="str">
        <f>IF(PERKARA!A9="","",PERKARA!A9)</f>
        <v/>
      </c>
      <c r="B37" s="122" t="str">
        <f>IF(A37="","",PERKARA!B9)</f>
        <v/>
      </c>
      <c r="C37" s="126" t="str">
        <f>IF(A37="","",PERKARA!G9)</f>
        <v/>
      </c>
      <c r="D37" s="123"/>
      <c r="E37" s="123"/>
      <c r="F37" s="123"/>
      <c r="G37" s="123"/>
      <c r="H37" s="122" t="str">
        <f>IF(A37="","",IF(E37&gt;C37,"PERIKSA: PENERIMAAN MELEBIHI KONTRAK",IF(PERKARA!F9="Aktif","PERKARA AKTIF","TINJAU STATUS PERKARA")))</f>
        <v/>
      </c>
    </row>
    <row r="38" spans="1:8" ht="19.95" customHeight="1">
      <c r="A38" s="122" t="str">
        <f>IF(PERKARA!A10="","",PERKARA!A10)</f>
        <v/>
      </c>
      <c r="B38" s="122" t="str">
        <f>IF(A38="","",PERKARA!B10)</f>
        <v/>
      </c>
      <c r="C38" s="126" t="str">
        <f>IF(A38="","",PERKARA!G10)</f>
        <v/>
      </c>
      <c r="D38" s="123"/>
      <c r="E38" s="123"/>
      <c r="F38" s="123"/>
      <c r="G38" s="123"/>
      <c r="H38" s="122" t="str">
        <f>IF(A38="","",IF(E38&gt;C38,"PERIKSA: PENERIMAAN MELEBIHI KONTRAK",IF(PERKARA!F10="Aktif","PERKARA AKTIF","TINJAU STATUS PERKARA")))</f>
        <v/>
      </c>
    </row>
    <row r="39" spans="1:8" ht="19.95" customHeight="1">
      <c r="A39" s="122" t="str">
        <f>IF(PERKARA!A11="","",PERKARA!A11)</f>
        <v/>
      </c>
      <c r="B39" s="122" t="str">
        <f>IF(A39="","",PERKARA!B11)</f>
        <v/>
      </c>
      <c r="C39" s="126" t="str">
        <f>IF(A39="","",PERKARA!G11)</f>
        <v/>
      </c>
      <c r="D39" s="123"/>
      <c r="E39" s="123"/>
      <c r="F39" s="123"/>
      <c r="G39" s="123"/>
      <c r="H39" s="122" t="str">
        <f>IF(A39="","",IF(E39&gt;C39,"PERIKSA: PENERIMAAN MELEBIHI KONTRAK",IF(PERKARA!F11="Aktif","PERKARA AKTIF","TINJAU STATUS PERKARA")))</f>
        <v/>
      </c>
    </row>
    <row r="40" spans="1:8" ht="19.95" customHeight="1">
      <c r="A40" s="122" t="str">
        <f>IF(PERKARA!A12="","",PERKARA!A12)</f>
        <v/>
      </c>
      <c r="B40" s="122" t="str">
        <f>IF(A40="","",PERKARA!B12)</f>
        <v/>
      </c>
      <c r="C40" s="126" t="str">
        <f>IF(A40="","",PERKARA!G12)</f>
        <v/>
      </c>
      <c r="D40" s="123"/>
      <c r="E40" s="123"/>
      <c r="F40" s="123"/>
      <c r="G40" s="123"/>
      <c r="H40" s="122" t="str">
        <f>IF(A40="","",IF(E40&gt;C40,"PERIKSA: PENERIMAAN MELEBIHI KONTRAK",IF(PERKARA!F12="Aktif","PERKARA AKTIF","TINJAU STATUS PERKARA")))</f>
        <v/>
      </c>
    </row>
    <row r="41" spans="1:8">
      <c r="A41" s="122" t="str">
        <f>IF(PERKARA!A13="","",PERKARA!A13)</f>
        <v/>
      </c>
      <c r="B41" s="122" t="str">
        <f>IF(A41="","",PERKARA!B13)</f>
        <v/>
      </c>
      <c r="C41" s="126" t="str">
        <f>IF(A41="","",PERKARA!G13)</f>
        <v/>
      </c>
      <c r="D41" s="123"/>
      <c r="E41" s="123"/>
      <c r="F41" s="123"/>
      <c r="G41" s="123"/>
      <c r="H41" s="122" t="str">
        <f>IF(A41="","",IF(E41&gt;C41,"PERIKSA: PENERIMAAN MELEBIHI KONTRAK",IF(PERKARA!F13="Aktif","PERKARA AKTIF","TINJAU STATUS PERKARA")))</f>
        <v/>
      </c>
    </row>
    <row r="42" spans="1:8">
      <c r="A42" s="122" t="str">
        <f>IF(PERKARA!A14="","",PERKARA!A14)</f>
        <v/>
      </c>
      <c r="B42" s="122" t="str">
        <f>IF(A42="","",PERKARA!B14)</f>
        <v/>
      </c>
      <c r="C42" s="126" t="str">
        <f>IF(A42="","",PERKARA!G14)</f>
        <v/>
      </c>
      <c r="D42" s="123"/>
      <c r="E42" s="123"/>
      <c r="F42" s="123"/>
      <c r="G42" s="123"/>
      <c r="H42" s="122" t="str">
        <f>IF(A42="","",IF(E42&gt;C42,"PERIKSA: PENERIMAAN MELEBIHI KONTRAK",IF(PERKARA!F14="Aktif","PERKARA AKTIF","TINJAU STATUS PERKARA")))</f>
        <v/>
      </c>
    </row>
    <row r="43" spans="1:8">
      <c r="A43" s="122" t="str">
        <f>IF(PERKARA!A15="","",PERKARA!A15)</f>
        <v/>
      </c>
      <c r="B43" s="122" t="str">
        <f>IF(A43="","",PERKARA!B15)</f>
        <v/>
      </c>
      <c r="C43" s="126" t="str">
        <f>IF(A43="","",PERKARA!G15)</f>
        <v/>
      </c>
      <c r="D43" s="123"/>
      <c r="E43" s="123"/>
      <c r="F43" s="123"/>
      <c r="G43" s="123"/>
      <c r="H43" s="122" t="str">
        <f>IF(A43="","",IF(E43&gt;C43,"PERIKSA: PENERIMAAN MELEBIHI KONTRAK",IF(PERKARA!F15="Aktif","PERKARA AKTIF","TINJAU STATUS PERKARA")))</f>
        <v/>
      </c>
    </row>
    <row r="44" spans="1:8">
      <c r="A44" s="122" t="str">
        <f>IF(PERKARA!A16="","",PERKARA!A16)</f>
        <v/>
      </c>
      <c r="B44" s="122" t="str">
        <f>IF(A44="","",PERKARA!B16)</f>
        <v/>
      </c>
      <c r="C44" s="126" t="str">
        <f>IF(A44="","",PERKARA!G16)</f>
        <v/>
      </c>
      <c r="D44" s="123"/>
      <c r="E44" s="123"/>
      <c r="F44" s="123"/>
      <c r="G44" s="123"/>
      <c r="H44" s="122" t="str">
        <f>IF(A44="","",IF(E44&gt;C44,"PERIKSA: PENERIMAAN MELEBIHI KONTRAK",IF(PERKARA!F16="Aktif","PERKARA AKTIF","TINJAU STATUS PERKARA")))</f>
        <v/>
      </c>
    </row>
    <row r="45" spans="1:8">
      <c r="A45" s="122" t="str">
        <f>IF(PERKARA!A17="","",PERKARA!A17)</f>
        <v/>
      </c>
      <c r="B45" s="122" t="str">
        <f>IF(A45="","",PERKARA!B17)</f>
        <v/>
      </c>
      <c r="C45" s="126" t="str">
        <f>IF(A45="","",PERKARA!G17)</f>
        <v/>
      </c>
      <c r="D45" s="123"/>
      <c r="E45" s="123"/>
      <c r="F45" s="123"/>
      <c r="G45" s="123"/>
      <c r="H45" s="122" t="str">
        <f>IF(A45="","",IF(E45&gt;C45,"PERIKSA: PENERIMAAN MELEBIHI KONTRAK",IF(PERKARA!F17="Aktif","PERKARA AKTIF","TINJAU STATUS PERKARA")))</f>
        <v/>
      </c>
    </row>
    <row r="46" spans="1:8">
      <c r="A46" s="122" t="str">
        <f>IF(PERKARA!A18="","",PERKARA!A18)</f>
        <v/>
      </c>
      <c r="B46" s="122" t="str">
        <f>IF(A46="","",PERKARA!B18)</f>
        <v/>
      </c>
      <c r="C46" s="126" t="str">
        <f>IF(A46="","",PERKARA!G18)</f>
        <v/>
      </c>
      <c r="D46" s="123"/>
      <c r="E46" s="123"/>
      <c r="F46" s="123"/>
      <c r="G46" s="123"/>
      <c r="H46" s="122" t="str">
        <f>IF(A46="","",IF(E46&gt;C46,"PERIKSA: PENERIMAAN MELEBIHI KONTRAK",IF(PERKARA!F18="Aktif","PERKARA AKTIF","TINJAU STATUS PERKARA")))</f>
        <v/>
      </c>
    </row>
    <row r="47" spans="1:8">
      <c r="A47" s="122" t="str">
        <f>IF(PERKARA!A19="","",PERKARA!A19)</f>
        <v/>
      </c>
      <c r="B47" s="122" t="str">
        <f>IF(A47="","",PERKARA!B19)</f>
        <v/>
      </c>
      <c r="C47" s="126" t="str">
        <f>IF(A47="","",PERKARA!G19)</f>
        <v/>
      </c>
      <c r="D47" s="123"/>
      <c r="E47" s="123"/>
      <c r="F47" s="123"/>
      <c r="G47" s="123"/>
      <c r="H47" s="122" t="str">
        <f>IF(A47="","",IF(E47&gt;C47,"PERIKSA: PENERIMAAN MELEBIHI KONTRAK",IF(PERKARA!F19="Aktif","PERKARA AKTIF","TINJAU STATUS PERKARA")))</f>
        <v/>
      </c>
    </row>
    <row r="48" spans="1:8">
      <c r="A48" s="122" t="str">
        <f>IF(PERKARA!A20="","",PERKARA!A20)</f>
        <v/>
      </c>
      <c r="B48" s="122" t="str">
        <f>IF(A48="","",PERKARA!B20)</f>
        <v/>
      </c>
      <c r="C48" s="126" t="str">
        <f>IF(A48="","",PERKARA!G20)</f>
        <v/>
      </c>
      <c r="D48" s="123"/>
      <c r="E48" s="123"/>
      <c r="F48" s="123"/>
      <c r="G48" s="123"/>
      <c r="H48" s="122" t="str">
        <f>IF(A48="","",IF(E48&gt;C48,"PERIKSA: PENERIMAAN MELEBIHI KONTRAK",IF(PERKARA!F20="Aktif","PERKARA AKTIF","TINJAU STATUS PERKARA")))</f>
        <v/>
      </c>
    </row>
    <row r="49" spans="1:8">
      <c r="A49" s="122" t="str">
        <f>IF(PERKARA!A21="","",PERKARA!A21)</f>
        <v/>
      </c>
      <c r="B49" s="122" t="str">
        <f>IF(A49="","",PERKARA!B21)</f>
        <v/>
      </c>
      <c r="C49" s="126" t="str">
        <f>IF(A49="","",PERKARA!G21)</f>
        <v/>
      </c>
      <c r="D49" s="123"/>
      <c r="E49" s="123"/>
      <c r="F49" s="123"/>
      <c r="G49" s="123"/>
      <c r="H49" s="122" t="str">
        <f>IF(A49="","",IF(E49&gt;C49,"PERIKSA: PENERIMAAN MELEBIHI KONTRAK",IF(PERKARA!F21="Aktif","PERKARA AKTIF","TINJAU STATUS PERKARA")))</f>
        <v/>
      </c>
    </row>
    <row r="50" spans="1:8">
      <c r="A50" s="122" t="str">
        <f>IF(PERKARA!A22="","",PERKARA!A22)</f>
        <v/>
      </c>
      <c r="B50" s="122" t="str">
        <f>IF(A50="","",PERKARA!B22)</f>
        <v/>
      </c>
      <c r="C50" s="126" t="str">
        <f>IF(A50="","",PERKARA!G22)</f>
        <v/>
      </c>
      <c r="D50" s="123"/>
      <c r="E50" s="123"/>
      <c r="F50" s="123"/>
      <c r="G50" s="123"/>
      <c r="H50" s="122" t="str">
        <f>IF(A50="","",IF(E50&gt;C50,"PERIKSA: PENERIMAAN MELEBIHI KONTRAK",IF(PERKARA!F22="Aktif","PERKARA AKTIF","TINJAU STATUS PERKARA")))</f>
        <v/>
      </c>
    </row>
    <row r="51" spans="1:8">
      <c r="A51" s="122" t="str">
        <f>IF(PERKARA!A23="","",PERKARA!A23)</f>
        <v/>
      </c>
      <c r="B51" s="122" t="str">
        <f>IF(A51="","",PERKARA!B23)</f>
        <v/>
      </c>
      <c r="C51" s="126" t="str">
        <f>IF(A51="","",PERKARA!G23)</f>
        <v/>
      </c>
      <c r="D51" s="123"/>
      <c r="E51" s="123"/>
      <c r="F51" s="123"/>
      <c r="G51" s="123"/>
      <c r="H51" s="122" t="str">
        <f>IF(A51="","",IF(E51&gt;C51,"PERIKSA: PENERIMAAN MELEBIHI KONTRAK",IF(PERKARA!F23="Aktif","PERKARA AKTIF","TINJAU STATUS PERKARA")))</f>
        <v/>
      </c>
    </row>
    <row r="52" spans="1:8">
      <c r="A52" s="122" t="str">
        <f>IF(PERKARA!A24="","",PERKARA!A24)</f>
        <v/>
      </c>
      <c r="B52" s="122" t="str">
        <f>IF(A52="","",PERKARA!B24)</f>
        <v/>
      </c>
      <c r="C52" s="126" t="str">
        <f>IF(A52="","",PERKARA!G24)</f>
        <v/>
      </c>
      <c r="D52" s="123"/>
      <c r="E52" s="123"/>
      <c r="F52" s="123"/>
      <c r="G52" s="123"/>
      <c r="H52" s="122" t="str">
        <f>IF(A52="","",IF(E52&gt;C52,"PERIKSA: PENERIMAAN MELEBIHI KONTRAK",IF(PERKARA!F24="Aktif","PERKARA AKTIF","TINJAU STATUS PERKARA")))</f>
        <v/>
      </c>
    </row>
    <row r="53" spans="1:8">
      <c r="A53" s="122" t="str">
        <f>IF(PERKARA!A25="","",PERKARA!A25)</f>
        <v/>
      </c>
      <c r="B53" s="122" t="str">
        <f>IF(A53="","",PERKARA!B25)</f>
        <v/>
      </c>
      <c r="C53" s="126" t="str">
        <f>IF(A53="","",PERKARA!G25)</f>
        <v/>
      </c>
      <c r="D53" s="123"/>
      <c r="E53" s="123"/>
      <c r="F53" s="123"/>
      <c r="G53" s="123"/>
      <c r="H53" s="122" t="str">
        <f>IF(A53="","",IF(E53&gt;C53,"PERIKSA: PENERIMAAN MELEBIHI KONTRAK",IF(PERKARA!F25="Aktif","PERKARA AKTIF","TINJAU STATUS PERKARA")))</f>
        <v/>
      </c>
    </row>
    <row r="54" spans="1:8">
      <c r="A54" s="122" t="str">
        <f>IF(PERKARA!A26="","",PERKARA!A26)</f>
        <v/>
      </c>
      <c r="B54" s="122" t="str">
        <f>IF(A54="","",PERKARA!B26)</f>
        <v/>
      </c>
      <c r="C54" s="126" t="str">
        <f>IF(A54="","",PERKARA!G26)</f>
        <v/>
      </c>
      <c r="D54" s="123"/>
      <c r="E54" s="123"/>
      <c r="F54" s="123"/>
      <c r="G54" s="123"/>
      <c r="H54" s="122" t="str">
        <f>IF(A54="","",IF(E54&gt;C54,"PERIKSA: PENERIMAAN MELEBIHI KONTRAK",IF(PERKARA!F26="Aktif","PERKARA AKTIF","TINJAU STATUS PERKARA")))</f>
        <v/>
      </c>
    </row>
    <row r="55" spans="1:8">
      <c r="A55" s="122" t="str">
        <f>IF(PERKARA!A27="","",PERKARA!A27)</f>
        <v/>
      </c>
      <c r="B55" s="122" t="str">
        <f>IF(A55="","",PERKARA!B27)</f>
        <v/>
      </c>
      <c r="C55" s="126" t="str">
        <f>IF(A55="","",PERKARA!G27)</f>
        <v/>
      </c>
      <c r="D55" s="123"/>
      <c r="E55" s="123"/>
      <c r="F55" s="123"/>
      <c r="G55" s="123"/>
      <c r="H55" s="122" t="str">
        <f>IF(A55="","",IF(E55&gt;C55,"PERIKSA: PENERIMAAN MELEBIHI KONTRAK",IF(PERKARA!F27="Aktif","PERKARA AKTIF","TINJAU STATUS PERKARA")))</f>
        <v/>
      </c>
    </row>
    <row r="56" spans="1:8">
      <c r="A56" s="122" t="str">
        <f>IF(PERKARA!A28="","",PERKARA!A28)</f>
        <v/>
      </c>
      <c r="B56" s="122" t="str">
        <f>IF(A56="","",PERKARA!B28)</f>
        <v/>
      </c>
      <c r="C56" s="126" t="str">
        <f>IF(A56="","",PERKARA!G28)</f>
        <v/>
      </c>
      <c r="D56" s="123"/>
      <c r="E56" s="123"/>
      <c r="F56" s="123"/>
      <c r="G56" s="123"/>
      <c r="H56" s="122" t="str">
        <f>IF(A56="","",IF(E56&gt;C56,"PERIKSA: PENERIMAAN MELEBIHI KONTRAK",IF(PERKARA!F28="Aktif","PERKARA AKTIF","TINJAU STATUS PERKARA")))</f>
        <v/>
      </c>
    </row>
    <row r="57" spans="1:8">
      <c r="A57" s="122" t="str">
        <f>IF(PERKARA!A29="","",PERKARA!A29)</f>
        <v/>
      </c>
      <c r="B57" s="122" t="str">
        <f>IF(A57="","",PERKARA!B29)</f>
        <v/>
      </c>
      <c r="C57" s="126" t="str">
        <f>IF(A57="","",PERKARA!G29)</f>
        <v/>
      </c>
      <c r="D57" s="123"/>
      <c r="E57" s="123"/>
      <c r="F57" s="123"/>
      <c r="G57" s="123"/>
      <c r="H57" s="122" t="str">
        <f>IF(A57="","",IF(E57&gt;C57,"PERIKSA: PENERIMAAN MELEBIHI KONTRAK",IF(PERKARA!F29="Aktif","PERKARA AKTIF","TINJAU STATUS PERKARA")))</f>
        <v/>
      </c>
    </row>
    <row r="58" spans="1:8">
      <c r="A58" s="122" t="str">
        <f>IF(PERKARA!A30="","",PERKARA!A30)</f>
        <v/>
      </c>
      <c r="B58" s="122" t="str">
        <f>IF(A58="","",PERKARA!B30)</f>
        <v/>
      </c>
      <c r="C58" s="126" t="str">
        <f>IF(A58="","",PERKARA!G30)</f>
        <v/>
      </c>
      <c r="D58" s="123"/>
      <c r="E58" s="123"/>
      <c r="F58" s="123"/>
      <c r="G58" s="123"/>
      <c r="H58" s="122" t="str">
        <f>IF(A58="","",IF(E58&gt;C58,"PERIKSA: PENERIMAAN MELEBIHI KONTRAK",IF(PERKARA!F30="Aktif","PERKARA AKTIF","TINJAU STATUS PERKARA")))</f>
        <v/>
      </c>
    </row>
    <row r="59" spans="1:8">
      <c r="A59" s="122" t="str">
        <f>IF(PERKARA!A31="","",PERKARA!A31)</f>
        <v/>
      </c>
      <c r="B59" s="122" t="str">
        <f>IF(A59="","",PERKARA!B31)</f>
        <v/>
      </c>
      <c r="C59" s="126" t="str">
        <f>IF(A59="","",PERKARA!G31)</f>
        <v/>
      </c>
      <c r="D59" s="123"/>
      <c r="E59" s="123"/>
      <c r="F59" s="123"/>
      <c r="G59" s="123"/>
      <c r="H59" s="122" t="str">
        <f>IF(A59="","",IF(E59&gt;C59,"PERIKSA: PENERIMAAN MELEBIHI KONTRAK",IF(PERKARA!F31="Aktif","PERKARA AKTIF","TINJAU STATUS PERKARA")))</f>
        <v/>
      </c>
    </row>
    <row r="60" spans="1:8">
      <c r="A60" s="122" t="str">
        <f>IF(PERKARA!A32="","",PERKARA!A32)</f>
        <v/>
      </c>
      <c r="B60" s="122" t="str">
        <f>IF(A60="","",PERKARA!B32)</f>
        <v/>
      </c>
      <c r="C60" s="126" t="str">
        <f>IF(A60="","",PERKARA!G32)</f>
        <v/>
      </c>
      <c r="D60" s="123"/>
      <c r="E60" s="123"/>
      <c r="F60" s="123"/>
      <c r="G60" s="123"/>
      <c r="H60" s="122" t="str">
        <f>IF(A60="","",IF(E60&gt;C60,"PERIKSA: PENERIMAAN MELEBIHI KONTRAK",IF(PERKARA!F32="Aktif","PERKARA AKTIF","TINJAU STATUS PERKARA")))</f>
        <v/>
      </c>
    </row>
    <row r="61" spans="1:8">
      <c r="A61" s="122" t="str">
        <f>IF(PERKARA!A33="","",PERKARA!A33)</f>
        <v/>
      </c>
      <c r="B61" s="122" t="str">
        <f>IF(A61="","",PERKARA!B33)</f>
        <v/>
      </c>
      <c r="C61" s="126" t="str">
        <f>IF(A61="","",PERKARA!G33)</f>
        <v/>
      </c>
      <c r="D61" s="123"/>
      <c r="E61" s="123"/>
      <c r="F61" s="123"/>
      <c r="G61" s="123"/>
      <c r="H61" s="122" t="str">
        <f>IF(A61="","",IF(E61&gt;C61,"PERIKSA: PENERIMAAN MELEBIHI KONTRAK",IF(PERKARA!F33="Aktif","PERKARA AKTIF","TINJAU STATUS PERKARA")))</f>
        <v/>
      </c>
    </row>
    <row r="62" spans="1:8">
      <c r="A62" s="122" t="str">
        <f>IF(PERKARA!A34="","",PERKARA!A34)</f>
        <v/>
      </c>
      <c r="B62" s="122" t="str">
        <f>IF(A62="","",PERKARA!B34)</f>
        <v/>
      </c>
      <c r="C62" s="126" t="str">
        <f>IF(A62="","",PERKARA!G34)</f>
        <v/>
      </c>
      <c r="D62" s="123"/>
      <c r="E62" s="123"/>
      <c r="F62" s="123"/>
      <c r="G62" s="123"/>
      <c r="H62" s="122" t="str">
        <f>IF(A62="","",IF(E62&gt;C62,"PERIKSA: PENERIMAAN MELEBIHI KONTRAK",IF(PERKARA!F34="Aktif","PERKARA AKTIF","TINJAU STATUS PERKARA")))</f>
        <v/>
      </c>
    </row>
    <row r="63" spans="1:8">
      <c r="A63" s="122" t="str">
        <f>IF(PERKARA!A35="","",PERKARA!A35)</f>
        <v/>
      </c>
      <c r="B63" s="122" t="str">
        <f>IF(A63="","",PERKARA!B35)</f>
        <v/>
      </c>
      <c r="C63" s="126" t="str">
        <f>IF(A63="","",PERKARA!G35)</f>
        <v/>
      </c>
      <c r="D63" s="123"/>
      <c r="E63" s="123"/>
      <c r="F63" s="123"/>
      <c r="G63" s="123"/>
      <c r="H63" s="122" t="str">
        <f>IF(A63="","",IF(E63&gt;C63,"PERIKSA: PENERIMAAN MELEBIHI KONTRAK",IF(PERKARA!F35="Aktif","PERKARA AKTIF","TINJAU STATUS PERKARA")))</f>
        <v/>
      </c>
    </row>
    <row r="64" spans="1:8">
      <c r="A64" s="122" t="str">
        <f>IF(PERKARA!A36="","",PERKARA!A36)</f>
        <v/>
      </c>
      <c r="B64" s="122" t="str">
        <f>IF(A64="","",PERKARA!B36)</f>
        <v/>
      </c>
      <c r="C64" s="126" t="str">
        <f>IF(A64="","",PERKARA!G36)</f>
        <v/>
      </c>
      <c r="D64" s="123"/>
      <c r="E64" s="123"/>
      <c r="F64" s="123"/>
      <c r="G64" s="123"/>
      <c r="H64" s="122" t="str">
        <f>IF(A64="","",IF(E64&gt;C64,"PERIKSA: PENERIMAAN MELEBIHI KONTRAK",IF(PERKARA!F36="Aktif","PERKARA AKTIF","TINJAU STATUS PERKARA")))</f>
        <v/>
      </c>
    </row>
    <row r="65" spans="1:8">
      <c r="A65" s="122" t="str">
        <f>IF(PERKARA!A37="","",PERKARA!A37)</f>
        <v/>
      </c>
      <c r="B65" s="122" t="str">
        <f>IF(A65="","",PERKARA!B37)</f>
        <v/>
      </c>
      <c r="C65" s="126" t="str">
        <f>IF(A65="","",PERKARA!G37)</f>
        <v/>
      </c>
      <c r="D65" s="123"/>
      <c r="E65" s="123"/>
      <c r="F65" s="123"/>
      <c r="G65" s="123"/>
      <c r="H65" s="122" t="str">
        <f>IF(A65="","",IF(E65&gt;C65,"PERIKSA: PENERIMAAN MELEBIHI KONTRAK",IF(PERKARA!F37="Aktif","PERKARA AKTIF","TINJAU STATUS PERKARA")))</f>
        <v/>
      </c>
    </row>
    <row r="66" spans="1:8">
      <c r="A66" s="122" t="str">
        <f>IF(PERKARA!A38="","",PERKARA!A38)</f>
        <v/>
      </c>
      <c r="B66" s="122" t="str">
        <f>IF(A66="","",PERKARA!B38)</f>
        <v/>
      </c>
      <c r="C66" s="126" t="str">
        <f>IF(A66="","",PERKARA!G38)</f>
        <v/>
      </c>
      <c r="D66" s="123"/>
      <c r="E66" s="123"/>
      <c r="F66" s="123"/>
      <c r="G66" s="123"/>
      <c r="H66" s="122" t="str">
        <f>IF(A66="","",IF(E66&gt;C66,"PERIKSA: PENERIMAAN MELEBIHI KONTRAK",IF(PERKARA!F38="Aktif","PERKARA AKTIF","TINJAU STATUS PERKARA")))</f>
        <v/>
      </c>
    </row>
    <row r="67" spans="1:8">
      <c r="A67" s="122" t="str">
        <f>IF(PERKARA!A39="","",PERKARA!A39)</f>
        <v/>
      </c>
      <c r="B67" s="122" t="str">
        <f>IF(A67="","",PERKARA!B39)</f>
        <v/>
      </c>
      <c r="C67" s="126" t="str">
        <f>IF(A67="","",PERKARA!G39)</f>
        <v/>
      </c>
      <c r="D67" s="123"/>
      <c r="E67" s="123"/>
      <c r="F67" s="123"/>
      <c r="G67" s="123"/>
      <c r="H67" s="122" t="str">
        <f>IF(A67="","",IF(E67&gt;C67,"PERIKSA: PENERIMAAN MELEBIHI KONTRAK",IF(PERKARA!F39="Aktif","PERKARA AKTIF","TINJAU STATUS PERKARA")))</f>
        <v/>
      </c>
    </row>
    <row r="68" spans="1:8">
      <c r="A68" s="122" t="str">
        <f>IF(PERKARA!A40="","",PERKARA!A40)</f>
        <v/>
      </c>
      <c r="B68" s="122" t="str">
        <f>IF(A68="","",PERKARA!B40)</f>
        <v/>
      </c>
      <c r="C68" s="126" t="str">
        <f>IF(A68="","",PERKARA!G40)</f>
        <v/>
      </c>
      <c r="D68" s="123"/>
      <c r="E68" s="123"/>
      <c r="F68" s="123"/>
      <c r="G68" s="123"/>
      <c r="H68" s="122" t="str">
        <f>IF(A68="","",IF(E68&gt;C68,"PERIKSA: PENERIMAAN MELEBIHI KONTRAK",IF(PERKARA!F40="Aktif","PERKARA AKTIF","TINJAU STATUS PERKARA")))</f>
        <v/>
      </c>
    </row>
    <row r="69" spans="1:8">
      <c r="A69" s="122" t="str">
        <f>IF(PERKARA!A41="","",PERKARA!A41)</f>
        <v/>
      </c>
      <c r="B69" s="122" t="str">
        <f>IF(A69="","",PERKARA!B41)</f>
        <v/>
      </c>
      <c r="C69" s="126" t="str">
        <f>IF(A69="","",PERKARA!G41)</f>
        <v/>
      </c>
      <c r="D69" s="123"/>
      <c r="E69" s="123"/>
      <c r="F69" s="123"/>
      <c r="G69" s="123"/>
      <c r="H69" s="122" t="str">
        <f>IF(A69="","",IF(E69&gt;C69,"PERIKSA: PENERIMAAN MELEBIHI KONTRAK",IF(PERKARA!F41="Aktif","PERKARA AKTIF","TINJAU STATUS PERKARA")))</f>
        <v/>
      </c>
    </row>
    <row r="70" spans="1:8">
      <c r="A70" s="122" t="str">
        <f>IF(PERKARA!A42="","",PERKARA!A42)</f>
        <v/>
      </c>
      <c r="B70" s="122" t="str">
        <f>IF(A70="","",PERKARA!B42)</f>
        <v/>
      </c>
      <c r="C70" s="126" t="str">
        <f>IF(A70="","",PERKARA!G42)</f>
        <v/>
      </c>
      <c r="D70" s="123"/>
      <c r="E70" s="123"/>
      <c r="F70" s="123"/>
      <c r="G70" s="123"/>
      <c r="H70" s="122" t="str">
        <f>IF(A70="","",IF(E70&gt;C70,"PERIKSA: PENERIMAAN MELEBIHI KONTRAK",IF(PERKARA!F42="Aktif","PERKARA AKTIF","TINJAU STATUS PERKARA")))</f>
        <v/>
      </c>
    </row>
    <row r="71" spans="1:8">
      <c r="A71" s="122" t="str">
        <f>IF(PERKARA!A43="","",PERKARA!A43)</f>
        <v/>
      </c>
      <c r="B71" s="122" t="str">
        <f>IF(A71="","",PERKARA!B43)</f>
        <v/>
      </c>
      <c r="C71" s="126" t="str">
        <f>IF(A71="","",PERKARA!G43)</f>
        <v/>
      </c>
      <c r="D71" s="123"/>
      <c r="E71" s="123"/>
      <c r="F71" s="123"/>
      <c r="G71" s="123"/>
      <c r="H71" s="122" t="str">
        <f>IF(A71="","",IF(E71&gt;C71,"PERIKSA: PENERIMAAN MELEBIHI KONTRAK",IF(PERKARA!F43="Aktif","PERKARA AKTIF","TINJAU STATUS PERKARA")))</f>
        <v/>
      </c>
    </row>
    <row r="72" spans="1:8">
      <c r="A72" s="122" t="str">
        <f>IF(PERKARA!A44="","",PERKARA!A44)</f>
        <v/>
      </c>
      <c r="B72" s="122" t="str">
        <f>IF(A72="","",PERKARA!B44)</f>
        <v/>
      </c>
      <c r="C72" s="126" t="str">
        <f>IF(A72="","",PERKARA!G44)</f>
        <v/>
      </c>
      <c r="D72" s="123"/>
      <c r="E72" s="123"/>
      <c r="F72" s="123"/>
      <c r="G72" s="123"/>
      <c r="H72" s="122" t="str">
        <f>IF(A72="","",IF(E72&gt;C72,"PERIKSA: PENERIMAAN MELEBIHI KONTRAK",IF(PERKARA!F44="Aktif","PERKARA AKTIF","TINJAU STATUS PERKARA")))</f>
        <v/>
      </c>
    </row>
    <row r="73" spans="1:8">
      <c r="A73" s="122" t="str">
        <f>IF(PERKARA!A45="","",PERKARA!A45)</f>
        <v/>
      </c>
      <c r="B73" s="122" t="str">
        <f>IF(A73="","",PERKARA!B45)</f>
        <v/>
      </c>
      <c r="C73" s="126" t="str">
        <f>IF(A73="","",PERKARA!G45)</f>
        <v/>
      </c>
      <c r="D73" s="123"/>
      <c r="E73" s="123"/>
      <c r="F73" s="123"/>
      <c r="G73" s="123"/>
      <c r="H73" s="122" t="str">
        <f>IF(A73="","",IF(E73&gt;C73,"PERIKSA: PENERIMAAN MELEBIHI KONTRAK",IF(PERKARA!F45="Aktif","PERKARA AKTIF","TINJAU STATUS PERKARA")))</f>
        <v/>
      </c>
    </row>
    <row r="74" spans="1:8">
      <c r="A74" s="122" t="str">
        <f>IF(PERKARA!A46="","",PERKARA!A46)</f>
        <v/>
      </c>
      <c r="B74" s="122" t="str">
        <f>IF(A74="","",PERKARA!B46)</f>
        <v/>
      </c>
      <c r="C74" s="126" t="str">
        <f>IF(A74="","",PERKARA!G46)</f>
        <v/>
      </c>
      <c r="D74" s="123"/>
      <c r="E74" s="123"/>
      <c r="F74" s="123"/>
      <c r="G74" s="123"/>
      <c r="H74" s="122" t="str">
        <f>IF(A74="","",IF(E74&gt;C74,"PERIKSA: PENERIMAAN MELEBIHI KONTRAK",IF(PERKARA!F46="Aktif","PERKARA AKTIF","TINJAU STATUS PERKARA")))</f>
        <v/>
      </c>
    </row>
    <row r="75" spans="1:8">
      <c r="A75" s="122" t="str">
        <f>IF(PERKARA!A47="","",PERKARA!A47)</f>
        <v/>
      </c>
      <c r="B75" s="122" t="str">
        <f>IF(A75="","",PERKARA!B47)</f>
        <v/>
      </c>
      <c r="C75" s="126" t="str">
        <f>IF(A75="","",PERKARA!G47)</f>
        <v/>
      </c>
      <c r="D75" s="123"/>
      <c r="E75" s="123"/>
      <c r="F75" s="123"/>
      <c r="G75" s="123"/>
      <c r="H75" s="122" t="str">
        <f>IF(A75="","",IF(E75&gt;C75,"PERIKSA: PENERIMAAN MELEBIHI KONTRAK",IF(PERKARA!F47="Aktif","PERKARA AKTIF","TINJAU STATUS PERKARA")))</f>
        <v/>
      </c>
    </row>
    <row r="76" spans="1:8">
      <c r="A76" s="122" t="str">
        <f>IF(PERKARA!A48="","",PERKARA!A48)</f>
        <v/>
      </c>
      <c r="B76" s="122" t="str">
        <f>IF(A76="","",PERKARA!B48)</f>
        <v/>
      </c>
      <c r="C76" s="126" t="str">
        <f>IF(A76="","",PERKARA!G48)</f>
        <v/>
      </c>
      <c r="D76" s="123"/>
      <c r="E76" s="123"/>
      <c r="F76" s="123"/>
      <c r="G76" s="123"/>
      <c r="H76" s="122" t="str">
        <f>IF(A76="","",IF(E76&gt;C76,"PERIKSA: PENERIMAAN MELEBIHI KONTRAK",IF(PERKARA!F48="Aktif","PERKARA AKTIF","TINJAU STATUS PERKARA")))</f>
        <v/>
      </c>
    </row>
    <row r="77" spans="1:8">
      <c r="A77" s="122" t="str">
        <f>IF(PERKARA!A49="","",PERKARA!A49)</f>
        <v/>
      </c>
      <c r="B77" s="122" t="str">
        <f>IF(A77="","",PERKARA!B49)</f>
        <v/>
      </c>
      <c r="C77" s="126" t="str">
        <f>IF(A77="","",PERKARA!G49)</f>
        <v/>
      </c>
      <c r="D77" s="123"/>
      <c r="E77" s="123"/>
      <c r="F77" s="123"/>
      <c r="G77" s="123"/>
      <c r="H77" s="122" t="str">
        <f>IF(A77="","",IF(E77&gt;C77,"PERIKSA: PENERIMAAN MELEBIHI KONTRAK",IF(PERKARA!F49="Aktif","PERKARA AKTIF","TINJAU STATUS PERKARA")))</f>
        <v/>
      </c>
    </row>
    <row r="78" spans="1:8">
      <c r="A78" s="122" t="str">
        <f>IF(PERKARA!A50="","",PERKARA!A50)</f>
        <v/>
      </c>
      <c r="B78" s="122" t="str">
        <f>IF(A78="","",PERKARA!B50)</f>
        <v/>
      </c>
      <c r="C78" s="126" t="str">
        <f>IF(A78="","",PERKARA!G50)</f>
        <v/>
      </c>
      <c r="D78" s="123"/>
      <c r="E78" s="123"/>
      <c r="F78" s="123"/>
      <c r="G78" s="123"/>
      <c r="H78" s="122" t="str">
        <f>IF(A78="","",IF(E78&gt;C78,"PERIKSA: PENERIMAAN MELEBIHI KONTRAK",IF(PERKARA!F50="Aktif","PERKARA AKTIF","TINJAU STATUS PERKARA")))</f>
        <v/>
      </c>
    </row>
    <row r="79" spans="1:8">
      <c r="A79" s="122" t="str">
        <f>IF(PERKARA!A51="","",PERKARA!A51)</f>
        <v/>
      </c>
      <c r="B79" s="122" t="str">
        <f>IF(A79="","",PERKARA!B51)</f>
        <v/>
      </c>
      <c r="C79" s="126" t="str">
        <f>IF(A79="","",PERKARA!G51)</f>
        <v/>
      </c>
      <c r="D79" s="123"/>
      <c r="E79" s="123"/>
      <c r="F79" s="123"/>
      <c r="G79" s="123"/>
      <c r="H79" s="122" t="str">
        <f>IF(A79="","",IF(E79&gt;C79,"PERIKSA: PENERIMAAN MELEBIHI KONTRAK",IF(PERKARA!F51="Aktif","PERKARA AKTIF","TINJAU STATUS PERKARA")))</f>
        <v/>
      </c>
    </row>
    <row r="80" spans="1:8">
      <c r="A80" s="122" t="str">
        <f>IF(PERKARA!A52="","",PERKARA!A52)</f>
        <v/>
      </c>
      <c r="B80" s="122" t="str">
        <f>IF(A80="","",PERKARA!B52)</f>
        <v/>
      </c>
      <c r="C80" s="126" t="str">
        <f>IF(A80="","",PERKARA!G52)</f>
        <v/>
      </c>
      <c r="D80" s="123"/>
      <c r="E80" s="123"/>
      <c r="F80" s="123"/>
      <c r="G80" s="123"/>
      <c r="H80" s="122" t="str">
        <f>IF(A80="","",IF(E80&gt;C80,"PERIKSA: PENERIMAAN MELEBIHI KONTRAK",IF(PERKARA!F52="Aktif","PERKARA AKTIF","TINJAU STATUS PERKARA")))</f>
        <v/>
      </c>
    </row>
    <row r="81" spans="1:8">
      <c r="A81" s="122" t="str">
        <f>IF(PERKARA!A53="","",PERKARA!A53)</f>
        <v/>
      </c>
      <c r="B81" s="122" t="str">
        <f>IF(A81="","",PERKARA!B53)</f>
        <v/>
      </c>
      <c r="C81" s="126" t="str">
        <f>IF(A81="","",PERKARA!G53)</f>
        <v/>
      </c>
      <c r="D81" s="123"/>
      <c r="E81" s="123"/>
      <c r="F81" s="123"/>
      <c r="G81" s="123"/>
      <c r="H81" s="122" t="str">
        <f>IF(A81="","",IF(E81&gt;C81,"PERIKSA: PENERIMAAN MELEBIHI KONTRAK",IF(PERKARA!F53="Aktif","PERKARA AKTIF","TINJAU STATUS PERKARA")))</f>
        <v/>
      </c>
    </row>
    <row r="82" spans="1:8">
      <c r="A82" s="122" t="str">
        <f>IF(PERKARA!A54="","",PERKARA!A54)</f>
        <v/>
      </c>
      <c r="B82" s="122" t="str">
        <f>IF(A82="","",PERKARA!B54)</f>
        <v/>
      </c>
      <c r="C82" s="126" t="str">
        <f>IF(A82="","",PERKARA!G54)</f>
        <v/>
      </c>
      <c r="D82" s="123"/>
      <c r="E82" s="123"/>
      <c r="F82" s="123"/>
      <c r="G82" s="123"/>
      <c r="H82" s="122" t="str">
        <f>IF(A82="","",IF(E82&gt;C82,"PERIKSA: PENERIMAAN MELEBIHI KONTRAK",IF(PERKARA!F54="Aktif","PERKARA AKTIF","TINJAU STATUS PERKARA")))</f>
        <v/>
      </c>
    </row>
    <row r="83" spans="1:8">
      <c r="A83" s="122" t="str">
        <f>IF(PERKARA!A55="","",PERKARA!A55)</f>
        <v/>
      </c>
      <c r="B83" s="122" t="str">
        <f>IF(A83="","",PERKARA!B55)</f>
        <v/>
      </c>
      <c r="C83" s="126" t="str">
        <f>IF(A83="","",PERKARA!G55)</f>
        <v/>
      </c>
      <c r="D83" s="123"/>
      <c r="E83" s="123"/>
      <c r="F83" s="123"/>
      <c r="G83" s="123"/>
      <c r="H83" s="122" t="str">
        <f>IF(A83="","",IF(E83&gt;C83,"PERIKSA: PENERIMAAN MELEBIHI KONTRAK",IF(PERKARA!F55="Aktif","PERKARA AKTIF","TINJAU STATUS PERKARA")))</f>
        <v/>
      </c>
    </row>
    <row r="84" spans="1:8">
      <c r="A84" s="122" t="str">
        <f>IF(PERKARA!A56="","",PERKARA!A56)</f>
        <v/>
      </c>
      <c r="B84" s="122" t="str">
        <f>IF(A84="","",PERKARA!B56)</f>
        <v/>
      </c>
      <c r="C84" s="126" t="str">
        <f>IF(A84="","",PERKARA!G56)</f>
        <v/>
      </c>
      <c r="D84" s="123"/>
      <c r="E84" s="123"/>
      <c r="F84" s="123"/>
      <c r="G84" s="123"/>
      <c r="H84" s="122" t="str">
        <f>IF(A84="","",IF(E84&gt;C84,"PERIKSA: PENERIMAAN MELEBIHI KONTRAK",IF(PERKARA!F56="Aktif","PERKARA AKTIF","TINJAU STATUS PERKARA")))</f>
        <v/>
      </c>
    </row>
    <row r="85" spans="1:8">
      <c r="A85" s="122" t="str">
        <f>IF(PERKARA!A57="","",PERKARA!A57)</f>
        <v/>
      </c>
      <c r="B85" s="122" t="str">
        <f>IF(A85="","",PERKARA!B57)</f>
        <v/>
      </c>
      <c r="C85" s="126" t="str">
        <f>IF(A85="","",PERKARA!G57)</f>
        <v/>
      </c>
      <c r="D85" s="123"/>
      <c r="E85" s="123"/>
      <c r="F85" s="123"/>
      <c r="G85" s="123"/>
      <c r="H85" s="122" t="str">
        <f>IF(A85="","",IF(E85&gt;C85,"PERIKSA: PENERIMAAN MELEBIHI KONTRAK",IF(PERKARA!F57="Aktif","PERKARA AKTIF","TINJAU STATUS PERKARA")))</f>
        <v/>
      </c>
    </row>
    <row r="86" spans="1:8">
      <c r="A86" s="122" t="str">
        <f>IF(PERKARA!A58="","",PERKARA!A58)</f>
        <v/>
      </c>
      <c r="B86" s="122" t="str">
        <f>IF(A86="","",PERKARA!B58)</f>
        <v/>
      </c>
      <c r="C86" s="126" t="str">
        <f>IF(A86="","",PERKARA!G58)</f>
        <v/>
      </c>
      <c r="D86" s="123"/>
      <c r="E86" s="123"/>
      <c r="F86" s="123"/>
      <c r="G86" s="123"/>
      <c r="H86" s="122" t="str">
        <f>IF(A86="","",IF(E86&gt;C86,"PERIKSA: PENERIMAAN MELEBIHI KONTRAK",IF(PERKARA!F58="Aktif","PERKARA AKTIF","TINJAU STATUS PERKARA")))</f>
        <v/>
      </c>
    </row>
    <row r="87" spans="1:8">
      <c r="A87" s="122" t="str">
        <f>IF(PERKARA!A59="","",PERKARA!A59)</f>
        <v/>
      </c>
      <c r="B87" s="122" t="str">
        <f>IF(A87="","",PERKARA!B59)</f>
        <v/>
      </c>
      <c r="C87" s="126" t="str">
        <f>IF(A87="","",PERKARA!G59)</f>
        <v/>
      </c>
      <c r="D87" s="123"/>
      <c r="E87" s="123"/>
      <c r="F87" s="123"/>
      <c r="G87" s="123"/>
      <c r="H87" s="122" t="str">
        <f>IF(A87="","",IF(E87&gt;C87,"PERIKSA: PENERIMAAN MELEBIHI KONTRAK",IF(PERKARA!F59="Aktif","PERKARA AKTIF","TINJAU STATUS PERKARA")))</f>
        <v/>
      </c>
    </row>
    <row r="88" spans="1:8">
      <c r="A88" s="122" t="str">
        <f>IF(PERKARA!A60="","",PERKARA!A60)</f>
        <v/>
      </c>
      <c r="B88" s="122" t="str">
        <f>IF(A88="","",PERKARA!B60)</f>
        <v/>
      </c>
      <c r="C88" s="126" t="str">
        <f>IF(A88="","",PERKARA!G60)</f>
        <v/>
      </c>
      <c r="D88" s="123"/>
      <c r="E88" s="123"/>
      <c r="F88" s="123"/>
      <c r="G88" s="123"/>
      <c r="H88" s="122" t="str">
        <f>IF(A88="","",IF(E88&gt;C88,"PERIKSA: PENERIMAAN MELEBIHI KONTRAK",IF(PERKARA!F60="Aktif","PERKARA AKTIF","TINJAU STATUS PERKARA")))</f>
        <v/>
      </c>
    </row>
    <row r="89" spans="1:8">
      <c r="A89" s="122" t="str">
        <f>IF(PERKARA!A61="","",PERKARA!A61)</f>
        <v/>
      </c>
      <c r="B89" s="122" t="str">
        <f>IF(A89="","",PERKARA!B61)</f>
        <v/>
      </c>
      <c r="C89" s="126" t="str">
        <f>IF(A89="","",PERKARA!G61)</f>
        <v/>
      </c>
      <c r="D89" s="123"/>
      <c r="E89" s="123"/>
      <c r="F89" s="123"/>
      <c r="G89" s="123"/>
      <c r="H89" s="122" t="str">
        <f>IF(A89="","",IF(E89&gt;C89,"PERIKSA: PENERIMAAN MELEBIHI KONTRAK",IF(PERKARA!F61="Aktif","PERKARA AKTIF","TINJAU STATUS PERKARA")))</f>
        <v/>
      </c>
    </row>
    <row r="90" spans="1:8">
      <c r="A90" s="122" t="str">
        <f>IF(PERKARA!A62="","",PERKARA!A62)</f>
        <v/>
      </c>
      <c r="B90" s="122" t="str">
        <f>IF(A90="","",PERKARA!B62)</f>
        <v/>
      </c>
      <c r="C90" s="126" t="str">
        <f>IF(A90="","",PERKARA!G62)</f>
        <v/>
      </c>
      <c r="D90" s="123"/>
      <c r="E90" s="123"/>
      <c r="F90" s="123"/>
      <c r="G90" s="123"/>
      <c r="H90" s="122" t="str">
        <f>IF(A90="","",IF(E90&gt;C90,"PERIKSA: PENERIMAAN MELEBIHI KONTRAK",IF(PERKARA!F62="Aktif","PERKARA AKTIF","TINJAU STATUS PERKARA")))</f>
        <v/>
      </c>
    </row>
    <row r="91" spans="1:8">
      <c r="A91" s="122" t="str">
        <f>IF(PERKARA!A63="","",PERKARA!A63)</f>
        <v/>
      </c>
      <c r="B91" s="122" t="str">
        <f>IF(A91="","",PERKARA!B63)</f>
        <v/>
      </c>
      <c r="C91" s="126" t="str">
        <f>IF(A91="","",PERKARA!G63)</f>
        <v/>
      </c>
      <c r="D91" s="123"/>
      <c r="E91" s="123"/>
      <c r="F91" s="123"/>
      <c r="G91" s="123"/>
      <c r="H91" s="122" t="str">
        <f>IF(A91="","",IF(E91&gt;C91,"PERIKSA: PENERIMAAN MELEBIHI KONTRAK",IF(PERKARA!F63="Aktif","PERKARA AKTIF","TINJAU STATUS PERKARA")))</f>
        <v/>
      </c>
    </row>
    <row r="92" spans="1:8">
      <c r="A92" s="122" t="str">
        <f>IF(PERKARA!A64="","",PERKARA!A64)</f>
        <v/>
      </c>
      <c r="B92" s="122" t="str">
        <f>IF(A92="","",PERKARA!B64)</f>
        <v/>
      </c>
      <c r="C92" s="126" t="str">
        <f>IF(A92="","",PERKARA!G64)</f>
        <v/>
      </c>
      <c r="D92" s="123"/>
      <c r="E92" s="123"/>
      <c r="F92" s="123"/>
      <c r="G92" s="123"/>
      <c r="H92" s="122" t="str">
        <f>IF(A92="","",IF(E92&gt;C92,"PERIKSA: PENERIMAAN MELEBIHI KONTRAK",IF(PERKARA!F64="Aktif","PERKARA AKTIF","TINJAU STATUS PERKARA")))</f>
        <v/>
      </c>
    </row>
    <row r="93" spans="1:8">
      <c r="A93" s="122" t="str">
        <f>IF(PERKARA!A65="","",PERKARA!A65)</f>
        <v/>
      </c>
      <c r="B93" s="122" t="str">
        <f>IF(A93="","",PERKARA!B65)</f>
        <v/>
      </c>
      <c r="C93" s="126" t="str">
        <f>IF(A93="","",PERKARA!G65)</f>
        <v/>
      </c>
      <c r="D93" s="123"/>
      <c r="E93" s="123"/>
      <c r="F93" s="123"/>
      <c r="G93" s="123"/>
      <c r="H93" s="122" t="str">
        <f>IF(A93="","",IF(E93&gt;C93,"PERIKSA: PENERIMAAN MELEBIHI KONTRAK",IF(PERKARA!F65="Aktif","PERKARA AKTIF","TINJAU STATUS PERKARA")))</f>
        <v/>
      </c>
    </row>
    <row r="94" spans="1:8">
      <c r="A94" s="122" t="str">
        <f>IF(PERKARA!A66="","",PERKARA!A66)</f>
        <v/>
      </c>
      <c r="B94" s="122" t="str">
        <f>IF(A94="","",PERKARA!B66)</f>
        <v/>
      </c>
      <c r="C94" s="126" t="str">
        <f>IF(A94="","",PERKARA!G66)</f>
        <v/>
      </c>
      <c r="D94" s="123"/>
      <c r="E94" s="123"/>
      <c r="F94" s="123"/>
      <c r="G94" s="123"/>
      <c r="H94" s="122" t="str">
        <f>IF(A94="","",IF(E94&gt;C94,"PERIKSA: PENERIMAAN MELEBIHI KONTRAK",IF(PERKARA!F66="Aktif","PERKARA AKTIF","TINJAU STATUS PERKARA")))</f>
        <v/>
      </c>
    </row>
    <row r="95" spans="1:8">
      <c r="A95" s="122" t="str">
        <f>IF(PERKARA!A67="","",PERKARA!A67)</f>
        <v/>
      </c>
      <c r="B95" s="122" t="str">
        <f>IF(A95="","",PERKARA!B67)</f>
        <v/>
      </c>
      <c r="C95" s="126" t="str">
        <f>IF(A95="","",PERKARA!G67)</f>
        <v/>
      </c>
      <c r="D95" s="123"/>
      <c r="E95" s="123"/>
      <c r="F95" s="123"/>
      <c r="G95" s="123"/>
      <c r="H95" s="122" t="str">
        <f>IF(A95="","",IF(E95&gt;C95,"PERIKSA: PENERIMAAN MELEBIHI KONTRAK",IF(PERKARA!F67="Aktif","PERKARA AKTIF","TINJAU STATUS PERKARA")))</f>
        <v/>
      </c>
    </row>
    <row r="96" spans="1:8">
      <c r="A96" s="122" t="str">
        <f>IF(PERKARA!A68="","",PERKARA!A68)</f>
        <v/>
      </c>
      <c r="B96" s="122" t="str">
        <f>IF(A96="","",PERKARA!B68)</f>
        <v/>
      </c>
      <c r="C96" s="126" t="str">
        <f>IF(A96="","",PERKARA!G68)</f>
        <v/>
      </c>
      <c r="D96" s="123"/>
      <c r="E96" s="123"/>
      <c r="F96" s="123"/>
      <c r="G96" s="123"/>
      <c r="H96" s="122" t="str">
        <f>IF(A96="","",IF(E96&gt;C96,"PERIKSA: PENERIMAAN MELEBIHI KONTRAK",IF(PERKARA!F68="Aktif","PERKARA AKTIF","TINJAU STATUS PERKARA")))</f>
        <v/>
      </c>
    </row>
    <row r="97" spans="1:8">
      <c r="A97" s="122" t="str">
        <f>IF(PERKARA!A69="","",PERKARA!A69)</f>
        <v/>
      </c>
      <c r="B97" s="122" t="str">
        <f>IF(A97="","",PERKARA!B69)</f>
        <v/>
      </c>
      <c r="C97" s="126" t="str">
        <f>IF(A97="","",PERKARA!G69)</f>
        <v/>
      </c>
      <c r="D97" s="123"/>
      <c r="E97" s="123"/>
      <c r="F97" s="123"/>
      <c r="G97" s="123"/>
      <c r="H97" s="122" t="str">
        <f>IF(A97="","",IF(E97&gt;C97,"PERIKSA: PENERIMAAN MELEBIHI KONTRAK",IF(PERKARA!F69="Aktif","PERKARA AKTIF","TINJAU STATUS PERKARA")))</f>
        <v/>
      </c>
    </row>
    <row r="98" spans="1:8">
      <c r="A98" s="122" t="str">
        <f>IF(PERKARA!A70="","",PERKARA!A70)</f>
        <v/>
      </c>
      <c r="B98" s="122" t="str">
        <f>IF(A98="","",PERKARA!B70)</f>
        <v/>
      </c>
      <c r="C98" s="126" t="str">
        <f>IF(A98="","",PERKARA!G70)</f>
        <v/>
      </c>
      <c r="D98" s="123"/>
      <c r="E98" s="123"/>
      <c r="F98" s="123"/>
      <c r="G98" s="123"/>
      <c r="H98" s="122" t="str">
        <f>IF(A98="","",IF(E98&gt;C98,"PERIKSA: PENERIMAAN MELEBIHI KONTRAK",IF(PERKARA!F70="Aktif","PERKARA AKTIF","TINJAU STATUS PERKARA")))</f>
        <v/>
      </c>
    </row>
    <row r="99" spans="1:8">
      <c r="A99" s="122" t="str">
        <f>IF(PERKARA!A71="","",PERKARA!A71)</f>
        <v/>
      </c>
      <c r="B99" s="122" t="str">
        <f>IF(A99="","",PERKARA!B71)</f>
        <v/>
      </c>
      <c r="C99" s="126" t="str">
        <f>IF(A99="","",PERKARA!G71)</f>
        <v/>
      </c>
      <c r="D99" s="123"/>
      <c r="E99" s="123"/>
      <c r="F99" s="123"/>
      <c r="G99" s="123"/>
      <c r="H99" s="122" t="str">
        <f>IF(A99="","",IF(E99&gt;C99,"PERIKSA: PENERIMAAN MELEBIHI KONTRAK",IF(PERKARA!F71="Aktif","PERKARA AKTIF","TINJAU STATUS PERKARA")))</f>
        <v/>
      </c>
    </row>
    <row r="100" spans="1:8">
      <c r="A100" s="122" t="str">
        <f>IF(PERKARA!A72="","",PERKARA!A72)</f>
        <v/>
      </c>
      <c r="B100" s="122" t="str">
        <f>IF(A100="","",PERKARA!B72)</f>
        <v/>
      </c>
      <c r="C100" s="126" t="str">
        <f>IF(A100="","",PERKARA!G72)</f>
        <v/>
      </c>
      <c r="D100" s="123"/>
      <c r="E100" s="123"/>
      <c r="F100" s="123"/>
      <c r="G100" s="123"/>
      <c r="H100" s="122" t="str">
        <f>IF(A100="","",IF(E100&gt;C100,"PERIKSA: PENERIMAAN MELEBIHI KONTRAK",IF(PERKARA!F72="Aktif","PERKARA AKTIF","TINJAU STATUS PERKARA")))</f>
        <v/>
      </c>
    </row>
    <row r="101" spans="1:8">
      <c r="A101" s="122" t="str">
        <f>IF(PERKARA!A73="","",PERKARA!A73)</f>
        <v/>
      </c>
      <c r="B101" s="122" t="str">
        <f>IF(A101="","",PERKARA!B73)</f>
        <v/>
      </c>
      <c r="C101" s="126" t="str">
        <f>IF(A101="","",PERKARA!G73)</f>
        <v/>
      </c>
      <c r="D101" s="123"/>
      <c r="E101" s="123"/>
      <c r="F101" s="123"/>
      <c r="G101" s="123"/>
      <c r="H101" s="122" t="str">
        <f>IF(A101="","",IF(E101&gt;C101,"PERIKSA: PENERIMAAN MELEBIHI KONTRAK",IF(PERKARA!F73="Aktif","PERKARA AKTIF","TINJAU STATUS PERKARA")))</f>
        <v/>
      </c>
    </row>
    <row r="102" spans="1:8">
      <c r="A102" s="122" t="str">
        <f>IF(PERKARA!A74="","",PERKARA!A74)</f>
        <v/>
      </c>
      <c r="B102" s="122" t="str">
        <f>IF(A102="","",PERKARA!B74)</f>
        <v/>
      </c>
      <c r="C102" s="126" t="str">
        <f>IF(A102="","",PERKARA!G74)</f>
        <v/>
      </c>
      <c r="D102" s="123"/>
      <c r="E102" s="123"/>
      <c r="F102" s="123"/>
      <c r="G102" s="123"/>
      <c r="H102" s="122" t="str">
        <f>IF(A102="","",IF(E102&gt;C102,"PERIKSA: PENERIMAAN MELEBIHI KONTRAK",IF(PERKARA!F74="Aktif","PERKARA AKTIF","TINJAU STATUS PERKARA")))</f>
        <v/>
      </c>
    </row>
    <row r="103" spans="1:8">
      <c r="A103" s="122" t="str">
        <f>IF(PERKARA!A75="","",PERKARA!A75)</f>
        <v/>
      </c>
      <c r="B103" s="122" t="str">
        <f>IF(A103="","",PERKARA!B75)</f>
        <v/>
      </c>
      <c r="C103" s="126" t="str">
        <f>IF(A103="","",PERKARA!G75)</f>
        <v/>
      </c>
      <c r="D103" s="123"/>
      <c r="E103" s="123"/>
      <c r="F103" s="123"/>
      <c r="G103" s="123"/>
      <c r="H103" s="122" t="str">
        <f>IF(A103="","",IF(E103&gt;C103,"PERIKSA: PENERIMAAN MELEBIHI KONTRAK",IF(PERKARA!F75="Aktif","PERKARA AKTIF","TINJAU STATUS PERKARA")))</f>
        <v/>
      </c>
    </row>
    <row r="104" spans="1:8">
      <c r="A104" s="122" t="str">
        <f>IF(PERKARA!A76="","",PERKARA!A76)</f>
        <v/>
      </c>
      <c r="B104" s="122" t="str">
        <f>IF(A104="","",PERKARA!B76)</f>
        <v/>
      </c>
      <c r="C104" s="126" t="str">
        <f>IF(A104="","",PERKARA!G76)</f>
        <v/>
      </c>
      <c r="D104" s="123"/>
      <c r="E104" s="123"/>
      <c r="F104" s="123"/>
      <c r="G104" s="123"/>
      <c r="H104" s="122" t="str">
        <f>IF(A104="","",IF(E104&gt;C104,"PERIKSA: PENERIMAAN MELEBIHI KONTRAK",IF(PERKARA!F76="Aktif","PERKARA AKTIF","TINJAU STATUS PERKARA")))</f>
        <v/>
      </c>
    </row>
    <row r="105" spans="1:8">
      <c r="A105" s="122" t="str">
        <f>IF(PERKARA!A77="","",PERKARA!A77)</f>
        <v/>
      </c>
      <c r="B105" s="122" t="str">
        <f>IF(A105="","",PERKARA!B77)</f>
        <v/>
      </c>
      <c r="C105" s="126" t="str">
        <f>IF(A105="","",PERKARA!G77)</f>
        <v/>
      </c>
      <c r="D105" s="123"/>
      <c r="E105" s="123"/>
      <c r="F105" s="123"/>
      <c r="G105" s="123"/>
      <c r="H105" s="122" t="str">
        <f>IF(A105="","",IF(E105&gt;C105,"PERIKSA: PENERIMAAN MELEBIHI KONTRAK",IF(PERKARA!F77="Aktif","PERKARA AKTIF","TINJAU STATUS PERKARA")))</f>
        <v/>
      </c>
    </row>
    <row r="106" spans="1:8">
      <c r="A106" s="122" t="str">
        <f>IF(PERKARA!A78="","",PERKARA!A78)</f>
        <v/>
      </c>
      <c r="B106" s="122" t="str">
        <f>IF(A106="","",PERKARA!B78)</f>
        <v/>
      </c>
      <c r="C106" s="126" t="str">
        <f>IF(A106="","",PERKARA!G78)</f>
        <v/>
      </c>
      <c r="D106" s="123"/>
      <c r="E106" s="123"/>
      <c r="F106" s="123"/>
      <c r="G106" s="123"/>
      <c r="H106" s="122" t="str">
        <f>IF(A106="","",IF(E106&gt;C106,"PERIKSA: PENERIMAAN MELEBIHI KONTRAK",IF(PERKARA!F78="Aktif","PERKARA AKTIF","TINJAU STATUS PERKARA")))</f>
        <v/>
      </c>
    </row>
    <row r="107" spans="1:8">
      <c r="A107" s="122" t="str">
        <f>IF(PERKARA!A79="","",PERKARA!A79)</f>
        <v/>
      </c>
      <c r="B107" s="122" t="str">
        <f>IF(A107="","",PERKARA!B79)</f>
        <v/>
      </c>
      <c r="C107" s="126" t="str">
        <f>IF(A107="","",PERKARA!G79)</f>
        <v/>
      </c>
      <c r="D107" s="123"/>
      <c r="E107" s="123"/>
      <c r="F107" s="123"/>
      <c r="G107" s="123"/>
      <c r="H107" s="122" t="str">
        <f>IF(A107="","",IF(E107&gt;C107,"PERIKSA: PENERIMAAN MELEBIHI KONTRAK",IF(PERKARA!F79="Aktif","PERKARA AKTIF","TINJAU STATUS PERKARA")))</f>
        <v/>
      </c>
    </row>
    <row r="108" spans="1:8">
      <c r="A108" s="122" t="str">
        <f>IF(PERKARA!A80="","",PERKARA!A80)</f>
        <v/>
      </c>
      <c r="B108" s="122" t="str">
        <f>IF(A108="","",PERKARA!B80)</f>
        <v/>
      </c>
      <c r="C108" s="126" t="str">
        <f>IF(A108="","",PERKARA!G80)</f>
        <v/>
      </c>
      <c r="D108" s="123"/>
      <c r="E108" s="123"/>
      <c r="F108" s="123"/>
      <c r="G108" s="123"/>
      <c r="H108" s="122" t="str">
        <f>IF(A108="","",IF(E108&gt;C108,"PERIKSA: PENERIMAAN MELEBIHI KONTRAK",IF(PERKARA!F80="Aktif","PERKARA AKTIF","TINJAU STATUS PERKARA")))</f>
        <v/>
      </c>
    </row>
    <row r="109" spans="1:8">
      <c r="A109" s="122" t="str">
        <f>IF(PERKARA!A81="","",PERKARA!A81)</f>
        <v/>
      </c>
      <c r="B109" s="122" t="str">
        <f>IF(A109="","",PERKARA!B81)</f>
        <v/>
      </c>
      <c r="C109" s="126" t="str">
        <f>IF(A109="","",PERKARA!G81)</f>
        <v/>
      </c>
      <c r="D109" s="123"/>
      <c r="E109" s="123"/>
      <c r="F109" s="123"/>
      <c r="G109" s="123"/>
      <c r="H109" s="122" t="str">
        <f>IF(A109="","",IF(E109&gt;C109,"PERIKSA: PENERIMAAN MELEBIHI KONTRAK",IF(PERKARA!F81="Aktif","PERKARA AKTIF","TINJAU STATUS PERKARA")))</f>
        <v/>
      </c>
    </row>
    <row r="110" spans="1:8">
      <c r="A110" s="122" t="str">
        <f>IF(PERKARA!A82="","",PERKARA!A82)</f>
        <v/>
      </c>
      <c r="B110" s="122" t="str">
        <f>IF(A110="","",PERKARA!B82)</f>
        <v/>
      </c>
      <c r="C110" s="126" t="str">
        <f>IF(A110="","",PERKARA!G82)</f>
        <v/>
      </c>
      <c r="D110" s="123"/>
      <c r="E110" s="123"/>
      <c r="F110" s="123"/>
      <c r="G110" s="123"/>
      <c r="H110" s="122" t="str">
        <f>IF(A110="","",IF(E110&gt;C110,"PERIKSA: PENERIMAAN MELEBIHI KONTRAK",IF(PERKARA!F82="Aktif","PERKARA AKTIF","TINJAU STATUS PERKARA")))</f>
        <v/>
      </c>
    </row>
    <row r="111" spans="1:8">
      <c r="A111" s="122" t="str">
        <f>IF(PERKARA!A83="","",PERKARA!A83)</f>
        <v/>
      </c>
      <c r="B111" s="122" t="str">
        <f>IF(A111="","",PERKARA!B83)</f>
        <v/>
      </c>
      <c r="C111" s="126" t="str">
        <f>IF(A111="","",PERKARA!G83)</f>
        <v/>
      </c>
      <c r="D111" s="123"/>
      <c r="E111" s="123"/>
      <c r="F111" s="123"/>
      <c r="G111" s="123"/>
      <c r="H111" s="122" t="str">
        <f>IF(A111="","",IF(E111&gt;C111,"PERIKSA: PENERIMAAN MELEBIHI KONTRAK",IF(PERKARA!F83="Aktif","PERKARA AKTIF","TINJAU STATUS PERKARA")))</f>
        <v/>
      </c>
    </row>
    <row r="112" spans="1:8">
      <c r="A112" s="122" t="str">
        <f>IF(PERKARA!A84="","",PERKARA!A84)</f>
        <v/>
      </c>
      <c r="B112" s="122" t="str">
        <f>IF(A112="","",PERKARA!B84)</f>
        <v/>
      </c>
      <c r="C112" s="126" t="str">
        <f>IF(A112="","",PERKARA!G84)</f>
        <v/>
      </c>
      <c r="D112" s="123"/>
      <c r="E112" s="123"/>
      <c r="F112" s="123"/>
      <c r="G112" s="123"/>
      <c r="H112" s="122" t="str">
        <f>IF(A112="","",IF(E112&gt;C112,"PERIKSA: PENERIMAAN MELEBIHI KONTRAK",IF(PERKARA!F84="Aktif","PERKARA AKTIF","TINJAU STATUS PERKARA")))</f>
        <v/>
      </c>
    </row>
    <row r="113" spans="1:8">
      <c r="A113" s="122" t="str">
        <f>IF(PERKARA!A85="","",PERKARA!A85)</f>
        <v/>
      </c>
      <c r="B113" s="122" t="str">
        <f>IF(A113="","",PERKARA!B85)</f>
        <v/>
      </c>
      <c r="C113" s="126" t="str">
        <f>IF(A113="","",PERKARA!G85)</f>
        <v/>
      </c>
      <c r="D113" s="123"/>
      <c r="E113" s="123"/>
      <c r="F113" s="123"/>
      <c r="G113" s="123"/>
      <c r="H113" s="122" t="str">
        <f>IF(A113="","",IF(E113&gt;C113,"PERIKSA: PENERIMAAN MELEBIHI KONTRAK",IF(PERKARA!F85="Aktif","PERKARA AKTIF","TINJAU STATUS PERKARA")))</f>
        <v/>
      </c>
    </row>
    <row r="114" spans="1:8">
      <c r="A114" s="122" t="str">
        <f>IF(PERKARA!A86="","",PERKARA!A86)</f>
        <v/>
      </c>
      <c r="B114" s="122" t="str">
        <f>IF(A114="","",PERKARA!B86)</f>
        <v/>
      </c>
      <c r="C114" s="126" t="str">
        <f>IF(A114="","",PERKARA!G86)</f>
        <v/>
      </c>
      <c r="D114" s="123"/>
      <c r="E114" s="123"/>
      <c r="F114" s="123"/>
      <c r="G114" s="123"/>
      <c r="H114" s="122" t="str">
        <f>IF(A114="","",IF(E114&gt;C114,"PERIKSA: PENERIMAAN MELEBIHI KONTRAK",IF(PERKARA!F86="Aktif","PERKARA AKTIF","TINJAU STATUS PERKARA")))</f>
        <v/>
      </c>
    </row>
    <row r="115" spans="1:8">
      <c r="A115" s="122" t="str">
        <f>IF(PERKARA!A87="","",PERKARA!A87)</f>
        <v/>
      </c>
      <c r="B115" s="122" t="str">
        <f>IF(A115="","",PERKARA!B87)</f>
        <v/>
      </c>
      <c r="C115" s="126" t="str">
        <f>IF(A115="","",PERKARA!G87)</f>
        <v/>
      </c>
      <c r="D115" s="123"/>
      <c r="E115" s="123"/>
      <c r="F115" s="123"/>
      <c r="G115" s="123"/>
      <c r="H115" s="122" t="str">
        <f>IF(A115="","",IF(E115&gt;C115,"PERIKSA: PENERIMAAN MELEBIHI KONTRAK",IF(PERKARA!F87="Aktif","PERKARA AKTIF","TINJAU STATUS PERKARA")))</f>
        <v/>
      </c>
    </row>
    <row r="116" spans="1:8">
      <c r="A116" s="122" t="str">
        <f>IF(PERKARA!A88="","",PERKARA!A88)</f>
        <v/>
      </c>
      <c r="B116" s="122" t="str">
        <f>IF(A116="","",PERKARA!B88)</f>
        <v/>
      </c>
      <c r="C116" s="126" t="str">
        <f>IF(A116="","",PERKARA!G88)</f>
        <v/>
      </c>
      <c r="D116" s="123"/>
      <c r="E116" s="123"/>
      <c r="F116" s="123"/>
      <c r="G116" s="123"/>
      <c r="H116" s="122" t="str">
        <f>IF(A116="","",IF(E116&gt;C116,"PERIKSA: PENERIMAAN MELEBIHI KONTRAK",IF(PERKARA!F88="Aktif","PERKARA AKTIF","TINJAU STATUS PERKARA")))</f>
        <v/>
      </c>
    </row>
    <row r="117" spans="1:8">
      <c r="A117" s="122" t="str">
        <f>IF(PERKARA!A89="","",PERKARA!A89)</f>
        <v/>
      </c>
      <c r="B117" s="122" t="str">
        <f>IF(A117="","",PERKARA!B89)</f>
        <v/>
      </c>
      <c r="C117" s="126" t="str">
        <f>IF(A117="","",PERKARA!G89)</f>
        <v/>
      </c>
      <c r="D117" s="123"/>
      <c r="E117" s="123"/>
      <c r="F117" s="123"/>
      <c r="G117" s="123"/>
      <c r="H117" s="122" t="str">
        <f>IF(A117="","",IF(E117&gt;C117,"PERIKSA: PENERIMAAN MELEBIHI KONTRAK",IF(PERKARA!F89="Aktif","PERKARA AKTIF","TINJAU STATUS PERKARA")))</f>
        <v/>
      </c>
    </row>
    <row r="118" spans="1:8">
      <c r="A118" s="122" t="str">
        <f>IF(PERKARA!A90="","",PERKARA!A90)</f>
        <v/>
      </c>
      <c r="B118" s="122" t="str">
        <f>IF(A118="","",PERKARA!B90)</f>
        <v/>
      </c>
      <c r="C118" s="126" t="str">
        <f>IF(A118="","",PERKARA!G90)</f>
        <v/>
      </c>
      <c r="D118" s="123"/>
      <c r="E118" s="123"/>
      <c r="F118" s="123"/>
      <c r="G118" s="123"/>
      <c r="H118" s="122" t="str">
        <f>IF(A118="","",IF(E118&gt;C118,"PERIKSA: PENERIMAAN MELEBIHI KONTRAK",IF(PERKARA!F90="Aktif","PERKARA AKTIF","TINJAU STATUS PERKARA")))</f>
        <v/>
      </c>
    </row>
    <row r="119" spans="1:8">
      <c r="A119" s="122" t="str">
        <f>IF(PERKARA!A91="","",PERKARA!A91)</f>
        <v/>
      </c>
      <c r="B119" s="122" t="str">
        <f>IF(A119="","",PERKARA!B91)</f>
        <v/>
      </c>
      <c r="C119" s="126" t="str">
        <f>IF(A119="","",PERKARA!G91)</f>
        <v/>
      </c>
      <c r="D119" s="123"/>
      <c r="E119" s="123"/>
      <c r="F119" s="123"/>
      <c r="G119" s="123"/>
      <c r="H119" s="122" t="str">
        <f>IF(A119="","",IF(E119&gt;C119,"PERIKSA: PENERIMAAN MELEBIHI KONTRAK",IF(PERKARA!F91="Aktif","PERKARA AKTIF","TINJAU STATUS PERKARA")))</f>
        <v/>
      </c>
    </row>
    <row r="120" spans="1:8">
      <c r="A120" s="122" t="str">
        <f>IF(PERKARA!A92="","",PERKARA!A92)</f>
        <v/>
      </c>
      <c r="B120" s="122" t="str">
        <f>IF(A120="","",PERKARA!B92)</f>
        <v/>
      </c>
      <c r="C120" s="126" t="str">
        <f>IF(A120="","",PERKARA!G92)</f>
        <v/>
      </c>
      <c r="D120" s="123"/>
      <c r="E120" s="123"/>
      <c r="F120" s="123"/>
      <c r="G120" s="123"/>
      <c r="H120" s="122" t="str">
        <f>IF(A120="","",IF(E120&gt;C120,"PERIKSA: PENERIMAAN MELEBIHI KONTRAK",IF(PERKARA!F92="Aktif","PERKARA AKTIF","TINJAU STATUS PERKARA")))</f>
        <v/>
      </c>
    </row>
    <row r="121" spans="1:8">
      <c r="A121" s="122" t="str">
        <f>IF(PERKARA!A93="","",PERKARA!A93)</f>
        <v/>
      </c>
      <c r="B121" s="122" t="str">
        <f>IF(A121="","",PERKARA!B93)</f>
        <v/>
      </c>
      <c r="C121" s="126" t="str">
        <f>IF(A121="","",PERKARA!G93)</f>
        <v/>
      </c>
      <c r="D121" s="123"/>
      <c r="E121" s="123"/>
      <c r="F121" s="123"/>
      <c r="G121" s="123"/>
      <c r="H121" s="122" t="str">
        <f>IF(A121="","",IF(E121&gt;C121,"PERIKSA: PENERIMAAN MELEBIHI KONTRAK",IF(PERKARA!F93="Aktif","PERKARA AKTIF","TINJAU STATUS PERKARA")))</f>
        <v/>
      </c>
    </row>
    <row r="122" spans="1:8">
      <c r="A122" s="122" t="str">
        <f>IF(PERKARA!A94="","",PERKARA!A94)</f>
        <v/>
      </c>
      <c r="B122" s="122" t="str">
        <f>IF(A122="","",PERKARA!B94)</f>
        <v/>
      </c>
      <c r="C122" s="126" t="str">
        <f>IF(A122="","",PERKARA!G94)</f>
        <v/>
      </c>
      <c r="D122" s="123"/>
      <c r="E122" s="123"/>
      <c r="F122" s="123"/>
      <c r="G122" s="123"/>
      <c r="H122" s="122" t="str">
        <f>IF(A122="","",IF(E122&gt;C122,"PERIKSA: PENERIMAAN MELEBIHI KONTRAK",IF(PERKARA!F94="Aktif","PERKARA AKTIF","TINJAU STATUS PERKARA")))</f>
        <v/>
      </c>
    </row>
    <row r="123" spans="1:8">
      <c r="A123" s="122" t="str">
        <f>IF(PERKARA!A95="","",PERKARA!A95)</f>
        <v/>
      </c>
      <c r="B123" s="122" t="str">
        <f>IF(A123="","",PERKARA!B95)</f>
        <v/>
      </c>
      <c r="C123" s="126" t="str">
        <f>IF(A123="","",PERKARA!G95)</f>
        <v/>
      </c>
      <c r="D123" s="123"/>
      <c r="E123" s="123"/>
      <c r="F123" s="123"/>
      <c r="G123" s="123"/>
      <c r="H123" s="122" t="str">
        <f>IF(A123="","",IF(E123&gt;C123,"PERIKSA: PENERIMAAN MELEBIHI KONTRAK",IF(PERKARA!F95="Aktif","PERKARA AKTIF","TINJAU STATUS PERKARA")))</f>
        <v/>
      </c>
    </row>
    <row r="124" spans="1:8">
      <c r="A124" s="122" t="str">
        <f>IF(PERKARA!A96="","",PERKARA!A96)</f>
        <v/>
      </c>
      <c r="B124" s="122" t="str">
        <f>IF(A124="","",PERKARA!B96)</f>
        <v/>
      </c>
      <c r="C124" s="126" t="str">
        <f>IF(A124="","",PERKARA!G96)</f>
        <v/>
      </c>
      <c r="D124" s="123"/>
      <c r="E124" s="123"/>
      <c r="F124" s="123"/>
      <c r="G124" s="123"/>
      <c r="H124" s="122" t="str">
        <f>IF(A124="","",IF(E124&gt;C124,"PERIKSA: PENERIMAAN MELEBIHI KONTRAK",IF(PERKARA!F96="Aktif","PERKARA AKTIF","TINJAU STATUS PERKARA")))</f>
        <v/>
      </c>
    </row>
    <row r="125" spans="1:8">
      <c r="A125" s="122" t="str">
        <f>IF(PERKARA!A97="","",PERKARA!A97)</f>
        <v/>
      </c>
      <c r="B125" s="122" t="str">
        <f>IF(A125="","",PERKARA!B97)</f>
        <v/>
      </c>
      <c r="C125" s="126" t="str">
        <f>IF(A125="","",PERKARA!G97)</f>
        <v/>
      </c>
      <c r="D125" s="123"/>
      <c r="E125" s="123"/>
      <c r="F125" s="123"/>
      <c r="G125" s="123"/>
      <c r="H125" s="122" t="str">
        <f>IF(A125="","",IF(E125&gt;C125,"PERIKSA: PENERIMAAN MELEBIHI KONTRAK",IF(PERKARA!F97="Aktif","PERKARA AKTIF","TINJAU STATUS PERKARA")))</f>
        <v/>
      </c>
    </row>
    <row r="126" spans="1:8">
      <c r="A126" s="122" t="str">
        <f>IF(PERKARA!A98="","",PERKARA!A98)</f>
        <v/>
      </c>
      <c r="B126" s="122" t="str">
        <f>IF(A126="","",PERKARA!B98)</f>
        <v/>
      </c>
      <c r="C126" s="126" t="str">
        <f>IF(A126="","",PERKARA!G98)</f>
        <v/>
      </c>
      <c r="D126" s="123"/>
      <c r="E126" s="123"/>
      <c r="F126" s="123"/>
      <c r="G126" s="123"/>
      <c r="H126" s="122" t="str">
        <f>IF(A126="","",IF(E126&gt;C126,"PERIKSA: PENERIMAAN MELEBIHI KONTRAK",IF(PERKARA!F98="Aktif","PERKARA AKTIF","TINJAU STATUS PERKARA")))</f>
        <v/>
      </c>
    </row>
    <row r="127" spans="1:8">
      <c r="A127" s="122" t="str">
        <f>IF(PERKARA!A99="","",PERKARA!A99)</f>
        <v/>
      </c>
      <c r="B127" s="122" t="str">
        <f>IF(A127="","",PERKARA!B99)</f>
        <v/>
      </c>
      <c r="C127" s="126" t="str">
        <f>IF(A127="","",PERKARA!G99)</f>
        <v/>
      </c>
      <c r="D127" s="123"/>
      <c r="E127" s="123"/>
      <c r="F127" s="123"/>
      <c r="G127" s="123"/>
      <c r="H127" s="122" t="str">
        <f>IF(A127="","",IF(E127&gt;C127,"PERIKSA: PENERIMAAN MELEBIHI KONTRAK",IF(PERKARA!F99="Aktif","PERKARA AKTIF","TINJAU STATUS PERKARA")))</f>
        <v/>
      </c>
    </row>
    <row r="128" spans="1:8">
      <c r="A128" s="122" t="str">
        <f>IF(PERKARA!A100="","",PERKARA!A100)</f>
        <v/>
      </c>
      <c r="B128" s="122" t="str">
        <f>IF(A128="","",PERKARA!B100)</f>
        <v/>
      </c>
      <c r="C128" s="126" t="str">
        <f>IF(A128="","",PERKARA!G100)</f>
        <v/>
      </c>
      <c r="D128" s="123"/>
      <c r="E128" s="123"/>
      <c r="F128" s="123"/>
      <c r="G128" s="123"/>
      <c r="H128" s="122" t="str">
        <f>IF(A128="","",IF(E128&gt;C128,"PERIKSA: PENERIMAAN MELEBIHI KONTRAK",IF(PERKARA!F100="Aktif","PERKARA AKTIF","TINJAU STATUS PERKARA")))</f>
        <v/>
      </c>
    </row>
    <row r="129" spans="1:8">
      <c r="A129" s="122" t="str">
        <f>IF(PERKARA!A101="","",PERKARA!A101)</f>
        <v/>
      </c>
      <c r="B129" s="122" t="str">
        <f>IF(A129="","",PERKARA!B101)</f>
        <v/>
      </c>
      <c r="C129" s="126" t="str">
        <f>IF(A129="","",PERKARA!G101)</f>
        <v/>
      </c>
      <c r="D129" s="123"/>
      <c r="E129" s="123"/>
      <c r="F129" s="123"/>
      <c r="G129" s="123"/>
      <c r="H129" s="122" t="str">
        <f>IF(A129="","",IF(E129&gt;C129,"PERIKSA: PENERIMAAN MELEBIHI KONTRAK",IF(PERKARA!F101="Aktif","PERKARA AKTIF","TINJAU STATUS PERKARA")))</f>
        <v/>
      </c>
    </row>
    <row r="130" spans="1:8">
      <c r="A130" s="122" t="str">
        <f>IF(PERKARA!A102="","",PERKARA!A102)</f>
        <v/>
      </c>
      <c r="B130" s="122" t="str">
        <f>IF(A130="","",PERKARA!B102)</f>
        <v/>
      </c>
      <c r="C130" s="126" t="str">
        <f>IF(A130="","",PERKARA!G102)</f>
        <v/>
      </c>
      <c r="D130" s="123"/>
      <c r="E130" s="123"/>
      <c r="F130" s="123"/>
      <c r="G130" s="123"/>
      <c r="H130" s="122" t="str">
        <f>IF(A130="","",IF(E130&gt;C130,"PERIKSA: PENERIMAAN MELEBIHI KONTRAK",IF(PERKARA!F102="Aktif","PERKARA AKTIF","TINJAU STATUS PERKARA")))</f>
        <v/>
      </c>
    </row>
    <row r="131" spans="1:8">
      <c r="A131" s="122" t="str">
        <f>IF(PERKARA!A103="","",PERKARA!A103)</f>
        <v/>
      </c>
      <c r="B131" s="122" t="str">
        <f>IF(A131="","",PERKARA!B103)</f>
        <v/>
      </c>
      <c r="C131" s="126" t="str">
        <f>IF(A131="","",PERKARA!G103)</f>
        <v/>
      </c>
      <c r="D131" s="123"/>
      <c r="E131" s="123"/>
      <c r="F131" s="123"/>
      <c r="G131" s="123"/>
      <c r="H131" s="122" t="str">
        <f>IF(A131="","",IF(E131&gt;C131,"PERIKSA: PENERIMAAN MELEBIHI KONTRAK",IF(PERKARA!F103="Aktif","PERKARA AKTIF","TINJAU STATUS PERKARA")))</f>
        <v/>
      </c>
    </row>
    <row r="132" spans="1:8">
      <c r="A132" s="122" t="str">
        <f>IF(PERKARA!A104="","",PERKARA!A104)</f>
        <v/>
      </c>
      <c r="B132" s="122" t="str">
        <f>IF(A132="","",PERKARA!B104)</f>
        <v/>
      </c>
      <c r="C132" s="126" t="str">
        <f>IF(A132="","",PERKARA!G104)</f>
        <v/>
      </c>
      <c r="D132" s="123"/>
      <c r="E132" s="123"/>
      <c r="F132" s="123"/>
      <c r="G132" s="123"/>
      <c r="H132" s="122" t="str">
        <f>IF(A132="","",IF(E132&gt;C132,"PERIKSA: PENERIMAAN MELEBIHI KONTRAK",IF(PERKARA!F104="Aktif","PERKARA AKTIF","TINJAU STATUS PERKARA")))</f>
        <v/>
      </c>
    </row>
    <row r="134" spans="1:8" ht="37.950000000000003" customHeight="1">
      <c r="A134" s="296" t="s">
        <v>993</v>
      </c>
      <c r="B134" s="296"/>
      <c r="C134" s="296"/>
      <c r="D134" s="296"/>
      <c r="E134" s="296"/>
      <c r="F134" s="296"/>
      <c r="G134" s="296"/>
      <c r="H134" s="296"/>
    </row>
  </sheetData>
  <mergeCells count="14">
    <mergeCell ref="A134:H134"/>
    <mergeCell ref="A1:G2"/>
    <mergeCell ref="A3:G3"/>
    <mergeCell ref="A30:G30"/>
    <mergeCell ref="E12:H12"/>
    <mergeCell ref="E13:H13"/>
    <mergeCell ref="E14:H14"/>
    <mergeCell ref="A20:H20"/>
    <mergeCell ref="A31:H31"/>
    <mergeCell ref="A4:H5"/>
    <mergeCell ref="A7:H7"/>
    <mergeCell ref="E9:H9"/>
    <mergeCell ref="E10:H10"/>
    <mergeCell ref="E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PANDUAN</vt:lpstr>
      <vt:lpstr>DASHBOARD</vt:lpstr>
      <vt:lpstr>PERKARA</vt:lpstr>
      <vt:lpstr>PEMASUKAN</vt:lpstr>
      <vt:lpstr>PENGELUARAN</vt:lpstr>
      <vt:lpstr>KAS_BANK</vt:lpstr>
      <vt:lpstr>GAJI</vt:lpstr>
      <vt:lpstr>REIMBURSE</vt:lpstr>
      <vt:lpstr>INVOICE_PIUTANG</vt:lpstr>
      <vt:lpstr>INVOICE_CETAK</vt:lpstr>
      <vt:lpstr>DANA_KLIEN</vt:lpstr>
      <vt:lpstr>PARTNER</vt:lpstr>
      <vt:lpstr>EKUITAS</vt:lpstr>
      <vt:lpstr>ARUS_KAS</vt:lpstr>
      <vt:lpstr>ANGGARAN</vt:lpstr>
      <vt:lpstr>LABA_RUGI</vt:lpstr>
      <vt:lpstr>KEWAJIBAN</vt:lpstr>
      <vt:lpstr>KONTROL</vt:lpstr>
      <vt:lpstr>MASTER</vt:lpstr>
      <vt:lpstr>SLIP_GAJI</vt:lpstr>
      <vt:lpstr>UMUR_PIUTANG</vt:lpstr>
      <vt:lpstr>TALANGAN_PARTNER</vt:lpstr>
      <vt:lpstr>TRANSFER_KAS</vt:lpstr>
      <vt:lpstr>NERACA</vt:lpstr>
      <vt:lpstr>OTORISASI</vt:lpstr>
      <vt:lpstr>SALDO_AWAL_2026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Fajar Roni</dc:creator>
  <cp:lastModifiedBy>Muhamad Fajar Roni</cp:lastModifiedBy>
  <cp:lastPrinted>2026-08-24T09:35:38Z</cp:lastPrinted>
  <dcterms:created xsi:type="dcterms:W3CDTF">2026-08-23T15:23:09Z</dcterms:created>
  <dcterms:modified xsi:type="dcterms:W3CDTF">2026-08-26T02:08:33Z</dcterms:modified>
</cp:coreProperties>
</file>