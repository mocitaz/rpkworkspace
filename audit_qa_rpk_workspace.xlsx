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&amp; QA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F0FDF4"/>
        <bgColor rgb="00F0FDF4"/>
      </patternFill>
    </fill>
    <fill>
      <patternFill patternType="solid">
        <fgColor rgb="00FFFBEB"/>
        <bgColor rgb="00FFFBEB"/>
      </patternFill>
    </fill>
    <fill>
      <patternFill patternType="solid">
        <fgColor rgb="00EFF6FF"/>
        <bgColor rgb="00EFF6FF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</fills>
  <borders count="26">
    <border>
      <left/>
      <right/>
      <top/>
      <bottom/>
      <diagonal/>
    </border>
    <border>
      <left style="medium">
        <color rgb="0094A3B8"/>
      </left>
      <top style="medium">
        <color rgb="0094A3B8"/>
      </top>
    </border>
    <border>
      <right style="medium">
        <color rgb="0094A3B8"/>
      </right>
      <top style="medium">
        <color rgb="0094A3B8"/>
      </top>
    </border>
    <border>
      <left style="medium">
        <color rgb="0094A3B8"/>
      </left>
    </border>
    <border>
      <right style="medium">
        <color rgb="0094A3B8"/>
      </right>
    </border>
    <border>
      <left style="medium">
        <color rgb="0094A3B8"/>
      </left>
      <bottom style="medium">
        <color rgb="0094A3B8"/>
      </bottom>
    </border>
    <border>
      <right style="medium">
        <color rgb="0094A3B8"/>
      </right>
      <bottom style="medium">
        <color rgb="0094A3B8"/>
      </bottom>
    </border>
    <border>
      <left style="medium">
        <color rgb="0022C55E"/>
      </left>
      <top style="medium">
        <color rgb="0022C55E"/>
      </top>
    </border>
    <border>
      <right style="medium">
        <color rgb="0022C55E"/>
      </right>
      <top style="medium">
        <color rgb="0022C55E"/>
      </top>
    </border>
    <border>
      <left style="medium">
        <color rgb="0022C55E"/>
      </left>
    </border>
    <border>
      <right style="medium">
        <color rgb="0022C55E"/>
      </right>
    </border>
    <border>
      <left style="medium">
        <color rgb="0022C55E"/>
      </left>
      <bottom style="medium">
        <color rgb="0022C55E"/>
      </bottom>
    </border>
    <border>
      <right style="medium">
        <color rgb="0022C55E"/>
      </right>
      <bottom style="medium">
        <color rgb="0022C55E"/>
      </bottom>
    </border>
    <border>
      <left style="medium">
        <color rgb="00F59E0B"/>
      </left>
      <top style="medium">
        <color rgb="00F59E0B"/>
      </top>
    </border>
    <border>
      <right style="medium">
        <color rgb="00F59E0B"/>
      </right>
      <top style="medium">
        <color rgb="00F59E0B"/>
      </top>
    </border>
    <border>
      <left style="medium">
        <color rgb="00F59E0B"/>
      </left>
    </border>
    <border>
      <right style="medium">
        <color rgb="00F59E0B"/>
      </right>
    </border>
    <border>
      <left style="medium">
        <color rgb="00F59E0B"/>
      </left>
      <bottom style="medium">
        <color rgb="00F59E0B"/>
      </bottom>
    </border>
    <border>
      <right style="medium">
        <color rgb="00F59E0B"/>
      </right>
      <bottom style="medium">
        <color rgb="00F59E0B"/>
      </bottom>
    </border>
    <border>
      <left style="medium">
        <color rgb="003B82F6"/>
      </left>
      <top style="medium">
        <color rgb="003B82F6"/>
      </top>
    </border>
    <border>
      <right style="medium">
        <color rgb="003B82F6"/>
      </right>
      <top style="medium">
        <color rgb="003B82F6"/>
      </top>
    </border>
    <border>
      <left style="medium">
        <color rgb="003B82F6"/>
      </left>
    </border>
    <border>
      <right style="medium">
        <color rgb="003B82F6"/>
      </right>
    </border>
    <border>
      <left style="medium">
        <color rgb="003B82F6"/>
      </left>
      <bottom style="medium">
        <color rgb="003B82F6"/>
      </bottom>
    </border>
    <border>
      <right style="medium">
        <color rgb="003B82F6"/>
      </right>
      <bottom style="medium">
        <color rgb="003B82F6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7" applyAlignment="1" pivotButton="0" quotePrefix="0" xfId="0">
      <alignment horizontal="center" vertical="center"/>
    </xf>
    <xf numFmtId="0" fontId="0" fillId="0" borderId="8" pivotButton="0" quotePrefix="0" xfId="0"/>
    <xf numFmtId="0" fontId="3" fillId="4" borderId="13" applyAlignment="1" pivotButton="0" quotePrefix="0" xfId="0">
      <alignment horizontal="center" vertical="center"/>
    </xf>
    <xf numFmtId="0" fontId="0" fillId="0" borderId="14" pivotButton="0" quotePrefix="0" xfId="0"/>
    <xf numFmtId="0" fontId="3" fillId="5" borderId="19" applyAlignment="1" pivotButton="0" quotePrefix="0" xfId="0">
      <alignment horizontal="center" vertical="center"/>
    </xf>
    <xf numFmtId="0" fontId="0" fillId="0" borderId="20" pivotButton="0" quotePrefix="0" xfId="0"/>
    <xf numFmtId="3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3" fontId="1" fillId="3" borderId="9" applyAlignment="1" pivotButton="0" quotePrefix="0" xfId="0">
      <alignment horizontal="center" vertical="center"/>
    </xf>
    <xf numFmtId="0" fontId="0" fillId="0" borderId="10" pivotButton="0" quotePrefix="0" xfId="0"/>
    <xf numFmtId="3" fontId="1" fillId="4" borderId="15" applyAlignment="1" pivotButton="0" quotePrefix="0" xfId="0">
      <alignment horizontal="center" vertical="center"/>
    </xf>
    <xf numFmtId="0" fontId="0" fillId="0" borderId="16" pivotButton="0" quotePrefix="0" xfId="0"/>
    <xf numFmtId="164" fontId="1" fillId="5" borderId="2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3" pivotButton="0" quotePrefix="0" xfId="0"/>
    <xf numFmtId="0" fontId="0" fillId="0" borderId="24" pivotButton="0" quotePrefix="0" xfId="0"/>
    <xf numFmtId="0" fontId="4" fillId="6" borderId="25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/>
    </xf>
    <xf numFmtId="0" fontId="5" fillId="2" borderId="25" applyAlignment="1" pivotButton="0" quotePrefix="0" xfId="0">
      <alignment horizontal="left" vertical="center"/>
    </xf>
    <xf numFmtId="0" fontId="5" fillId="2" borderId="25" applyAlignment="1" pivotButton="0" quotePrefix="0" xfId="0">
      <alignment horizontal="left" vertical="center" wrapText="1"/>
    </xf>
    <xf numFmtId="0" fontId="6" fillId="2" borderId="25" applyAlignment="1" pivotButton="0" quotePrefix="0" xfId="0">
      <alignment horizontal="center" vertical="center"/>
    </xf>
    <xf numFmtId="0" fontId="5" fillId="7" borderId="25" applyAlignment="1" pivotButton="0" quotePrefix="0" xfId="0">
      <alignment horizontal="center" vertical="center"/>
    </xf>
    <xf numFmtId="0" fontId="5" fillId="7" borderId="25" applyAlignment="1" pivotButton="0" quotePrefix="0" xfId="0">
      <alignment horizontal="left" vertical="center"/>
    </xf>
    <xf numFmtId="0" fontId="5" fillId="7" borderId="25" applyAlignment="1" pivotButton="0" quotePrefix="0" xfId="0">
      <alignment horizontal="left" vertical="center" wrapText="1"/>
    </xf>
    <xf numFmtId="0" fontId="6" fillId="7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4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6" customWidth="1" min="4" max="4"/>
    <col width="38" customWidth="1" min="5" max="5"/>
    <col width="16" customWidth="1" min="6" max="6"/>
    <col width="8" customWidth="1" min="7" max="7"/>
    <col width="35" customWidth="1" min="8" max="8"/>
    <col width="15" customWidth="1" min="9" max="9"/>
    <col width="14" customWidth="1" min="10" max="10"/>
    <col width="18" customWidth="1" min="11" max="11"/>
  </cols>
  <sheetData>
    <row r="2">
      <c r="B2" s="1" t="inlineStr">
        <is>
          <t>LEMBAR AUDIT &amp; QUALITY ASSURANCE (QA) SISTEM &amp; DOKUMEN</t>
        </is>
      </c>
    </row>
    <row r="3">
      <c r="B3" s="2" t="inlineStr">
        <is>
          <t>Sistem Manajemen Kantor Hukum (RPK Law Office Workspace) • Tanggal Audit: 28 Agustus 2026</t>
        </is>
      </c>
    </row>
    <row r="5">
      <c r="B5" s="3" t="inlineStr">
        <is>
          <t>TOTAL ITEM DIUJI</t>
        </is>
      </c>
      <c r="C5" s="4" t="n"/>
      <c r="D5" s="5" t="inlineStr">
        <is>
          <t>ITEM SESUAI (LULUS)</t>
        </is>
      </c>
      <c r="E5" s="6" t="n"/>
      <c r="F5" s="7" t="inlineStr">
        <is>
          <t>PERLU REVISI</t>
        </is>
      </c>
      <c r="G5" s="8" t="n"/>
      <c r="H5" s="3" t="inlineStr">
        <is>
          <t>BELUM DIPERIKSA</t>
        </is>
      </c>
      <c r="I5" s="4" t="n"/>
      <c r="J5" s="9" t="inlineStr">
        <is>
          <t>TOTAL SKOR KESESUAIAN</t>
        </is>
      </c>
      <c r="K5" s="10" t="n"/>
    </row>
    <row r="6">
      <c r="B6" s="11">
        <f>COUNTA(B14:B43)</f>
        <v/>
      </c>
      <c r="C6" s="12" t="n"/>
      <c r="D6" s="13">
        <f>COUNTIF(F14:F43, "Sesuai")</f>
        <v/>
      </c>
      <c r="E6" s="14" t="n"/>
      <c r="F6" s="15">
        <f>COUNTIF(F14:F43, "Perlu Revisi")</f>
        <v/>
      </c>
      <c r="G6" s="16" t="n"/>
      <c r="H6" s="11">
        <f>COUNTIF(F14:F43, "Belum Dicek")</f>
        <v/>
      </c>
      <c r="I6" s="12" t="n"/>
      <c r="J6" s="17">
        <f>IF(COUNTA(F14:F43)&gt;0, COUNTIF(F14:F43,"Sesuai")/COUNTA(F14:F43), 0)</f>
        <v/>
      </c>
      <c r="K6" s="18" t="n"/>
    </row>
    <row r="7">
      <c r="B7" s="19" t="n"/>
      <c r="C7" s="20" t="n"/>
      <c r="D7" s="21" t="n"/>
      <c r="E7" s="22" t="n"/>
      <c r="F7" s="23" t="n"/>
      <c r="G7" s="24" t="n"/>
      <c r="H7" s="19" t="n"/>
      <c r="I7" s="20" t="n"/>
      <c r="J7" s="25" t="n"/>
      <c r="K7" s="26" t="n"/>
    </row>
    <row r="13" ht="28" customHeight="1">
      <c r="A13" s="27" t="inlineStr">
        <is>
          <t>No</t>
        </is>
      </c>
      <c r="B13" s="27" t="inlineStr">
        <is>
          <t>Kategori / Modul</t>
        </is>
      </c>
      <c r="C13" s="27" t="inlineStr">
        <is>
          <t>Halaman &amp; URL Sistem</t>
        </is>
      </c>
      <c r="D13" s="27" t="inlineStr">
        <is>
          <t>Fitur / Komponen yang Diuji</t>
        </is>
      </c>
      <c r="E13" s="27" t="inlineStr">
        <is>
          <t>Parameter &amp; Standar Kepatuhan</t>
        </is>
      </c>
      <c r="F13" s="27" t="inlineStr">
        <is>
          <t>Status Checklist</t>
        </is>
      </c>
      <c r="G13" s="27" t="inlineStr">
        <is>
          <t>Skor</t>
        </is>
      </c>
      <c r="H13" s="27" t="inlineStr">
        <is>
          <t>Catatan Temuan / Hal yang Perlu Direvisi</t>
        </is>
      </c>
      <c r="I13" s="27" t="inlineStr">
        <is>
          <t>PIC / Auditor</t>
        </is>
      </c>
      <c r="J13" s="27" t="inlineStr">
        <is>
          <t>Tanggal Audit</t>
        </is>
      </c>
      <c r="K13" s="27" t="inlineStr">
        <is>
          <t>Prioritas Perbaikan</t>
        </is>
      </c>
    </row>
    <row r="14" ht="22" customHeight="1">
      <c r="A14" s="28" t="inlineStr">
        <is>
          <t>1</t>
        </is>
      </c>
      <c r="B14" s="29" t="inlineStr">
        <is>
          <t>Dashboard</t>
        </is>
      </c>
      <c r="C14" s="29" t="inlineStr">
        <is>
          <t>/dashboard</t>
        </is>
      </c>
      <c r="D14" s="30" t="inlineStr">
        <is>
          <t>Ringkasan Eksekutif &amp; Widget</t>
        </is>
      </c>
      <c r="E14" s="30" t="inlineStr">
        <is>
          <t>Data perkara aktif, invoice outstanding, dan chart sinkron akurat</t>
        </is>
      </c>
      <c r="F14" s="31" t="inlineStr">
        <is>
          <t>Sesuai</t>
        </is>
      </c>
      <c r="G14" s="28">
        <f>IF(F14="Sesuai",1,0)</f>
        <v/>
      </c>
      <c r="H14" s="30" t="inlineStr">
        <is>
          <t>Semua metric terisi real-time</t>
        </is>
      </c>
      <c r="I14" s="29" t="inlineStr">
        <is>
          <t>Auditor Lead</t>
        </is>
      </c>
      <c r="J14" s="28" t="inlineStr">
        <is>
          <t>2026-08-28</t>
        </is>
      </c>
      <c r="K14" s="31" t="inlineStr">
        <is>
          <t>Normal</t>
        </is>
      </c>
    </row>
    <row r="15" ht="22" customHeight="1">
      <c r="A15" s="32" t="inlineStr">
        <is>
          <t>2</t>
        </is>
      </c>
      <c r="B15" s="33" t="inlineStr">
        <is>
          <t>Dashboard</t>
        </is>
      </c>
      <c r="C15" s="33" t="inlineStr">
        <is>
          <t>/dashboard</t>
        </is>
      </c>
      <c r="D15" s="34" t="inlineStr">
        <is>
          <t>Quick Actions &amp; Notification</t>
        </is>
      </c>
      <c r="E15" s="34" t="inlineStr">
        <is>
          <t>Tombol aksi cepat buat perkara/invoice &amp; lonceng notifikasi aktif</t>
        </is>
      </c>
      <c r="F15" s="35" t="inlineStr">
        <is>
          <t>Sesuai</t>
        </is>
      </c>
      <c r="G15" s="32">
        <f>IF(F15="Sesuai",1,0)</f>
        <v/>
      </c>
      <c r="H15" s="34" t="inlineStr">
        <is>
          <t>Aman, navigasi lancar</t>
        </is>
      </c>
      <c r="I15" s="33" t="inlineStr">
        <is>
          <t>Auditor Lead</t>
        </is>
      </c>
      <c r="J15" s="32" t="inlineStr">
        <is>
          <t>2026-08-28</t>
        </is>
      </c>
      <c r="K15" s="35" t="inlineStr">
        <is>
          <t>Normal</t>
        </is>
      </c>
    </row>
    <row r="16" ht="22" customHeight="1">
      <c r="A16" s="28" t="inlineStr">
        <is>
          <t>3</t>
        </is>
      </c>
      <c r="B16" s="29" t="inlineStr">
        <is>
          <t>Perkara (Matters)</t>
        </is>
      </c>
      <c r="C16" s="29" t="inlineStr">
        <is>
          <t>/matters</t>
        </is>
      </c>
      <c r="D16" s="30" t="inlineStr">
        <is>
          <t>Daftar Perkara &amp; Filter Status</t>
        </is>
      </c>
      <c r="E16" s="30" t="inlineStr">
        <is>
          <t>Filter status perkara, pencarian klien, dan pagination responsif</t>
        </is>
      </c>
      <c r="F16" s="31" t="inlineStr">
        <is>
          <t>Sesuai</t>
        </is>
      </c>
      <c r="G16" s="28">
        <f>IF(F16="Sesuai",1,0)</f>
        <v/>
      </c>
      <c r="H16" s="30" t="inlineStr">
        <is>
          <t>Data ter-load cepat</t>
        </is>
      </c>
      <c r="I16" s="29" t="inlineStr">
        <is>
          <t>Legal QA</t>
        </is>
      </c>
      <c r="J16" s="28" t="inlineStr">
        <is>
          <t>2026-08-28</t>
        </is>
      </c>
      <c r="K16" s="31" t="inlineStr">
        <is>
          <t>Normal</t>
        </is>
      </c>
    </row>
    <row r="17" ht="22" customHeight="1">
      <c r="A17" s="32" t="inlineStr">
        <is>
          <t>4</t>
        </is>
      </c>
      <c r="B17" s="33" t="inlineStr">
        <is>
          <t>Perkara (Matters)</t>
        </is>
      </c>
      <c r="C17" s="33" t="inlineStr">
        <is>
          <t>/matters/create</t>
        </is>
      </c>
      <c r="D17" s="34" t="inlineStr">
        <is>
          <t>Formulir Pendaftaran Perkara</t>
        </is>
      </c>
      <c r="E17" s="34" t="inlineStr">
        <is>
          <t>Validasi field nomor perkara, klasifikasi hukum, dan tim penanggung jawab</t>
        </is>
      </c>
      <c r="F17" s="35" t="inlineStr">
        <is>
          <t>Sesuai</t>
        </is>
      </c>
      <c r="G17" s="32">
        <f>IF(F17="Sesuai",1,0)</f>
        <v/>
      </c>
      <c r="H17" s="34" t="inlineStr">
        <is>
          <t>Validasi client-side &amp; server-side bekerja</t>
        </is>
      </c>
      <c r="I17" s="33" t="inlineStr">
        <is>
          <t>Legal QA</t>
        </is>
      </c>
      <c r="J17" s="32" t="inlineStr">
        <is>
          <t>2026-08-28</t>
        </is>
      </c>
      <c r="K17" s="35" t="inlineStr">
        <is>
          <t>Normal</t>
        </is>
      </c>
    </row>
    <row r="18" ht="22" customHeight="1">
      <c r="A18" s="28" t="inlineStr">
        <is>
          <t>5</t>
        </is>
      </c>
      <c r="B18" s="29" t="inlineStr">
        <is>
          <t>Perkara (Matters)</t>
        </is>
      </c>
      <c r="C18" s="29" t="inlineStr">
        <is>
          <t>/matters/{id}</t>
        </is>
      </c>
      <c r="D18" s="30" t="inlineStr">
        <is>
          <t>Detail Perkara &amp; Timeline Sidang</t>
        </is>
      </c>
      <c r="E18" s="30" t="inlineStr">
        <is>
          <t>Tab kronologi perkara, dokumen terkait, tim advokat, dan log sidang</t>
        </is>
      </c>
      <c r="F18" s="31" t="inlineStr">
        <is>
          <t>Sesuai</t>
        </is>
      </c>
      <c r="G18" s="28">
        <f>IF(F18="Sesuai",1,0)</f>
        <v/>
      </c>
      <c r="H18" s="30" t="inlineStr">
        <is>
          <t>Bento layout rapi</t>
        </is>
      </c>
      <c r="I18" s="29" t="inlineStr">
        <is>
          <t>Legal QA</t>
        </is>
      </c>
      <c r="J18" s="28" t="inlineStr">
        <is>
          <t>2026-08-28</t>
        </is>
      </c>
      <c r="K18" s="31" t="inlineStr">
        <is>
          <t>Normal</t>
        </is>
      </c>
    </row>
    <row r="19" ht="22" customHeight="1">
      <c r="A19" s="32" t="inlineStr">
        <is>
          <t>6</t>
        </is>
      </c>
      <c r="B19" s="33" t="inlineStr">
        <is>
          <t>Tugas (Tasks)</t>
        </is>
      </c>
      <c r="C19" s="33" t="inlineStr">
        <is>
          <t>/tasks</t>
        </is>
      </c>
      <c r="D19" s="34" t="inlineStr">
        <is>
          <t>Daftar Tugas &amp; Status Prioritas</t>
        </is>
      </c>
      <c r="E19" s="34" t="inlineStr">
        <is>
          <t>Kolom Prioritas center, text solid tanpa badge pill, format rapi</t>
        </is>
      </c>
      <c r="F19" s="35" t="inlineStr">
        <is>
          <t>Sesuai</t>
        </is>
      </c>
      <c r="G19" s="32">
        <f>IF(F19="Sesuai",1,0)</f>
        <v/>
      </c>
      <c r="H19" s="34" t="inlineStr">
        <is>
          <t>Sesuai request desain clean solid text</t>
        </is>
      </c>
      <c r="I19" s="33" t="inlineStr">
        <is>
          <t>Front-end QA</t>
        </is>
      </c>
      <c r="J19" s="32" t="inlineStr">
        <is>
          <t>2026-08-28</t>
        </is>
      </c>
      <c r="K19" s="35" t="inlineStr">
        <is>
          <t>Normal</t>
        </is>
      </c>
    </row>
    <row r="20" ht="22" customHeight="1">
      <c r="A20" s="28" t="inlineStr">
        <is>
          <t>7</t>
        </is>
      </c>
      <c r="B20" s="29" t="inlineStr">
        <is>
          <t>Tugas (Tasks)</t>
        </is>
      </c>
      <c r="C20" s="29" t="inlineStr">
        <is>
          <t>/tasks/create</t>
        </is>
      </c>
      <c r="D20" s="30" t="inlineStr">
        <is>
          <t>Form Penugasan Tim &amp; Deadline</t>
        </is>
      </c>
      <c r="E20" s="30" t="inlineStr">
        <is>
          <t>Pemilihan assignee advokat, tanggal jatuh tempo, dan relasi perkara</t>
        </is>
      </c>
      <c r="F20" s="31" t="inlineStr">
        <is>
          <t>Sesuai</t>
        </is>
      </c>
      <c r="G20" s="28">
        <f>IF(F20="Sesuai",1,0)</f>
        <v/>
      </c>
      <c r="H20" s="30" t="inlineStr">
        <is>
          <t>Notifikasi jatuh tempo aktif</t>
        </is>
      </c>
      <c r="I20" s="29" t="inlineStr">
        <is>
          <t>Front-end QA</t>
        </is>
      </c>
      <c r="J20" s="28" t="inlineStr">
        <is>
          <t>2026-08-28</t>
        </is>
      </c>
      <c r="K20" s="31" t="inlineStr">
        <is>
          <t>Normal</t>
        </is>
      </c>
    </row>
    <row r="21" ht="22" customHeight="1">
      <c r="A21" s="32" t="inlineStr">
        <is>
          <t>8</t>
        </is>
      </c>
      <c r="B21" s="33" t="inlineStr">
        <is>
          <t>Tugas (Tasks)</t>
        </is>
      </c>
      <c r="C21" s="33" t="inlineStr">
        <is>
          <t>/tasks/{id}</t>
        </is>
      </c>
      <c r="D21" s="34" t="inlineStr">
        <is>
          <t>Detail Tugas &amp; Subtask Checklist</t>
        </is>
      </c>
      <c r="E21" s="34" t="inlineStr">
        <is>
          <t>Progress checklist subtask, komentar tim, dan lampiran bukti kerja</t>
        </is>
      </c>
      <c r="F21" s="35" t="inlineStr">
        <is>
          <t>Sesuai</t>
        </is>
      </c>
      <c r="G21" s="32">
        <f>IF(F21="Sesuai",1,0)</f>
        <v/>
      </c>
      <c r="H21" s="34" t="inlineStr">
        <is>
          <t>Aman</t>
        </is>
      </c>
      <c r="I21" s="33" t="inlineStr">
        <is>
          <t>Front-end QA</t>
        </is>
      </c>
      <c r="J21" s="32" t="inlineStr">
        <is>
          <t>2026-08-28</t>
        </is>
      </c>
      <c r="K21" s="35" t="inlineStr">
        <is>
          <t>Normal</t>
        </is>
      </c>
    </row>
    <row r="22" ht="22" customHeight="1">
      <c r="A22" s="28" t="inlineStr">
        <is>
          <t>9</t>
        </is>
      </c>
      <c r="B22" s="29" t="inlineStr">
        <is>
          <t>Dokumen (DMS)</t>
        </is>
      </c>
      <c r="C22" s="29" t="inlineStr">
        <is>
          <t>/documents</t>
        </is>
      </c>
      <c r="D22" s="30" t="inlineStr">
        <is>
          <t>Tabel Dokumen &amp; Status Center</t>
        </is>
      </c>
      <c r="E22" s="30" t="inlineStr">
        <is>
          <t>Kolom Status center solid text, kolom versi &amp; ukuran disembunyikan</t>
        </is>
      </c>
      <c r="F22" s="31" t="inlineStr">
        <is>
          <t>Sesuai</t>
        </is>
      </c>
      <c r="G22" s="28">
        <f>IF(F22="Sesuai",1,0)</f>
        <v/>
      </c>
      <c r="H22" s="30" t="inlineStr">
        <is>
          <t>Sesuai arahan desain terbaru</t>
        </is>
      </c>
      <c r="I22" s="29" t="inlineStr">
        <is>
          <t>Doc QA</t>
        </is>
      </c>
      <c r="J22" s="28" t="inlineStr">
        <is>
          <t>2026-08-28</t>
        </is>
      </c>
      <c r="K22" s="31" t="inlineStr">
        <is>
          <t>Normal</t>
        </is>
      </c>
    </row>
    <row r="23" ht="22" customHeight="1">
      <c r="A23" s="32" t="inlineStr">
        <is>
          <t>10</t>
        </is>
      </c>
      <c r="B23" s="33" t="inlineStr">
        <is>
          <t>Dokumen (DMS)</t>
        </is>
      </c>
      <c r="C23" s="33" t="inlineStr">
        <is>
          <t>/documents/{id}</t>
        </is>
      </c>
      <c r="D23" s="34" t="inlineStr">
        <is>
          <t>Pratinjau Dokumen &amp; Versi</t>
        </is>
      </c>
      <c r="E23" s="34" t="inlineStr">
        <is>
          <t>PDF/Word in-browser preview, riwayat revisi, dan hak akses approval</t>
        </is>
      </c>
      <c r="F23" s="35" t="inlineStr">
        <is>
          <t>Sesuai</t>
        </is>
      </c>
      <c r="G23" s="32">
        <f>IF(F23="Sesuai",1,0)</f>
        <v/>
      </c>
      <c r="H23" s="34" t="inlineStr">
        <is>
          <t>Viewer modal terintegrasi</t>
        </is>
      </c>
      <c r="I23" s="33" t="inlineStr">
        <is>
          <t>Doc QA</t>
        </is>
      </c>
      <c r="J23" s="32" t="inlineStr">
        <is>
          <t>2026-08-28</t>
        </is>
      </c>
      <c r="K23" s="35" t="inlineStr">
        <is>
          <t>Normal</t>
        </is>
      </c>
    </row>
    <row r="24" ht="22" customHeight="1">
      <c r="A24" s="28" t="inlineStr">
        <is>
          <t>11</t>
        </is>
      </c>
      <c r="B24" s="29" t="inlineStr">
        <is>
          <t>Keuangan (Finance)</t>
        </is>
      </c>
      <c r="C24" s="29" t="inlineStr">
        <is>
          <t>/finance</t>
        </is>
      </c>
      <c r="D24" s="30" t="inlineStr">
        <is>
          <t>Tabel Invoice, Biaya &amp; Pembayaran</t>
        </is>
      </c>
      <c r="E24" s="30" t="inlineStr">
        <is>
          <t>Tab tagihan, pengeluaran kas, saldo bank, dan analitik profit</t>
        </is>
      </c>
      <c r="F24" s="31" t="inlineStr">
        <is>
          <t>Sesuai</t>
        </is>
      </c>
      <c r="G24" s="28">
        <f>IF(F24="Sesuai",1,0)</f>
        <v/>
      </c>
      <c r="H24" s="30" t="inlineStr">
        <is>
          <t>Format Rupiah &amp; kalkulasi presisi</t>
        </is>
      </c>
      <c r="I24" s="29" t="inlineStr">
        <is>
          <t>Finance QA</t>
        </is>
      </c>
      <c r="J24" s="28" t="inlineStr">
        <is>
          <t>2026-08-28</t>
        </is>
      </c>
      <c r="K24" s="31" t="inlineStr">
        <is>
          <t>Normal</t>
        </is>
      </c>
    </row>
    <row r="25" ht="22" customHeight="1">
      <c r="A25" s="32" t="inlineStr">
        <is>
          <t>12</t>
        </is>
      </c>
      <c r="B25" s="33" t="inlineStr">
        <is>
          <t>Keuangan (Finance)</t>
        </is>
      </c>
      <c r="C25" s="33" t="inlineStr">
        <is>
          <t>/finance (Modal)</t>
        </is>
      </c>
      <c r="D25" s="34" t="inlineStr">
        <is>
          <t>Executive Voucher &amp; Proof Viewer</t>
        </is>
      </c>
      <c r="E25" s="34" t="inlineStr">
        <is>
          <t>Modal voucher kas bon/expense dengan avatar profil &amp; pratinjau bukti bayar</t>
        </is>
      </c>
      <c r="F25" s="35" t="inlineStr">
        <is>
          <t>Sesuai</t>
        </is>
      </c>
      <c r="G25" s="32">
        <f>IF(F25="Sesuai",1,0)</f>
        <v/>
      </c>
      <c r="H25" s="34" t="inlineStr">
        <is>
          <t>Desain fintech modern &amp; responsif</t>
        </is>
      </c>
      <c r="I25" s="33" t="inlineStr">
        <is>
          <t>Finance QA</t>
        </is>
      </c>
      <c r="J25" s="32" t="inlineStr">
        <is>
          <t>2026-08-28</t>
        </is>
      </c>
      <c r="K25" s="35" t="inlineStr">
        <is>
          <t>Normal</t>
        </is>
      </c>
    </row>
    <row r="26" ht="22" customHeight="1">
      <c r="A26" s="28" t="inlineStr">
        <is>
          <t>13</t>
        </is>
      </c>
      <c r="B26" s="29" t="inlineStr">
        <is>
          <t>Keuangan (Finance)</t>
        </is>
      </c>
      <c r="C26" s="29" t="inlineStr">
        <is>
          <t>/finance/invoices/{id}</t>
        </is>
      </c>
      <c r="D26" s="30" t="inlineStr">
        <is>
          <t>Detail Invoice &amp; Cetak PDF</t>
        </is>
      </c>
      <c r="E26" s="30" t="inlineStr">
        <is>
          <t>Rincian billing fee advokat, PPN 11%, diskon, dan status pembayaran</t>
        </is>
      </c>
      <c r="F26" s="31" t="inlineStr">
        <is>
          <t>Sesuai</t>
        </is>
      </c>
      <c r="G26" s="28">
        <f>IF(F26="Sesuai",1,0)</f>
        <v/>
      </c>
      <c r="H26" s="30" t="inlineStr">
        <is>
          <t>Export PDF invoice siap cetak</t>
        </is>
      </c>
      <c r="I26" s="29" t="inlineStr">
        <is>
          <t>Finance QA</t>
        </is>
      </c>
      <c r="J26" s="28" t="inlineStr">
        <is>
          <t>2026-08-28</t>
        </is>
      </c>
      <c r="K26" s="31" t="inlineStr">
        <is>
          <t>Normal</t>
        </is>
      </c>
    </row>
    <row r="27" ht="22" customHeight="1">
      <c r="A27" s="32" t="inlineStr">
        <is>
          <t>14</t>
        </is>
      </c>
      <c r="B27" s="33" t="inlineStr">
        <is>
          <t>Keuangan (Finance)</t>
        </is>
      </c>
      <c r="C27" s="33" t="inlineStr">
        <is>
          <t>/finance/payments/{id}</t>
        </is>
      </c>
      <c r="D27" s="34" t="inlineStr">
        <is>
          <t>Verifikasi Pembayaran &amp; Rekening</t>
        </is>
      </c>
      <c r="E27" s="34" t="inlineStr">
        <is>
          <t>Kuitansi penerimaan dana klien, rekening escrow/trust account</t>
        </is>
      </c>
      <c r="F27" s="35" t="inlineStr">
        <is>
          <t>Sesuai</t>
        </is>
      </c>
      <c r="G27" s="32">
        <f>IF(F27="Sesuai",1,0)</f>
        <v/>
      </c>
      <c r="H27" s="34" t="inlineStr">
        <is>
          <t>Sinkronisasi saldo otomatis</t>
        </is>
      </c>
      <c r="I27" s="33" t="inlineStr">
        <is>
          <t>Finance QA</t>
        </is>
      </c>
      <c r="J27" s="32" t="inlineStr">
        <is>
          <t>2026-08-28</t>
        </is>
      </c>
      <c r="K27" s="35" t="inlineStr">
        <is>
          <t>Normal</t>
        </is>
      </c>
    </row>
    <row r="28" ht="22" customHeight="1">
      <c r="A28" s="28" t="inlineStr">
        <is>
          <t>15</t>
        </is>
      </c>
      <c r="B28" s="29" t="inlineStr">
        <is>
          <t>Tata Kelola</t>
        </is>
      </c>
      <c r="C28" s="29" t="inlineStr">
        <is>
          <t>/governance</t>
        </is>
      </c>
      <c r="D28" s="30" t="inlineStr">
        <is>
          <t>Pemeriksaan Benturan Kepentingan</t>
        </is>
      </c>
      <c r="E28" s="30" t="inlineStr">
        <is>
          <t>Algoritma Conflict of Interest check antara klien baru vs perkara lama</t>
        </is>
      </c>
      <c r="F28" s="31" t="inlineStr">
        <is>
          <t>Sesuai</t>
        </is>
      </c>
      <c r="G28" s="28">
        <f>IF(F28="Sesuai",1,0)</f>
        <v/>
      </c>
      <c r="H28" s="30" t="inlineStr">
        <is>
          <t>Pencocokan nama &amp; NIK akurat</t>
        </is>
      </c>
      <c r="I28" s="29" t="inlineStr">
        <is>
          <t>Governance QA</t>
        </is>
      </c>
      <c r="J28" s="28" t="inlineStr">
        <is>
          <t>2026-08-28</t>
        </is>
      </c>
      <c r="K28" s="31" t="inlineStr">
        <is>
          <t>Tinggi</t>
        </is>
      </c>
    </row>
    <row r="29" ht="22" customHeight="1">
      <c r="A29" s="32" t="inlineStr">
        <is>
          <t>16</t>
        </is>
      </c>
      <c r="B29" s="33" t="inlineStr">
        <is>
          <t>Tata Kelola</t>
        </is>
      </c>
      <c r="C29" s="33" t="inlineStr">
        <is>
          <t>/governance/conflict-cert</t>
        </is>
      </c>
      <c r="D29" s="34" t="inlineStr">
        <is>
          <t>Sertifikat Bebas Konflik</t>
        </is>
      </c>
      <c r="E29" s="34" t="inlineStr">
        <is>
          <t>Penerbitan surat keterangan bebas benturan kepentingan resmi</t>
        </is>
      </c>
      <c r="F29" s="35" t="inlineStr">
        <is>
          <t>Sesuai</t>
        </is>
      </c>
      <c r="G29" s="32">
        <f>IF(F29="Sesuai",1,0)</f>
        <v/>
      </c>
      <c r="H29" s="34" t="inlineStr">
        <is>
          <t>Format legal audit terpenuhi</t>
        </is>
      </c>
      <c r="I29" s="33" t="inlineStr">
        <is>
          <t>Governance QA</t>
        </is>
      </c>
      <c r="J29" s="32" t="inlineStr">
        <is>
          <t>2026-08-28</t>
        </is>
      </c>
      <c r="K29" s="35" t="inlineStr">
        <is>
          <t>Tinggi</t>
        </is>
      </c>
    </row>
    <row r="30" ht="22" customHeight="1">
      <c r="A30" s="28" t="inlineStr">
        <is>
          <t>17</t>
        </is>
      </c>
      <c r="B30" s="29" t="inlineStr">
        <is>
          <t>Tata Kelola</t>
        </is>
      </c>
      <c r="C30" s="29" t="inlineStr">
        <is>
          <t>/governance/correspondence/{id}</t>
        </is>
      </c>
      <c r="D30" s="30" t="inlineStr">
        <is>
          <t>Korespondensi Surat Masuk/Keluar</t>
        </is>
      </c>
      <c r="E30" s="30" t="inlineStr">
        <is>
          <t>Pencatatan nomor surat resmi, disposisi pimpinan, dan tracking ekspedisi</t>
        </is>
      </c>
      <c r="F30" s="31" t="inlineStr">
        <is>
          <t>Sesuai</t>
        </is>
      </c>
      <c r="G30" s="28">
        <f>IF(F30="Sesuai",1,0)</f>
        <v/>
      </c>
      <c r="H30" s="30" t="inlineStr">
        <is>
          <t>Aman</t>
        </is>
      </c>
      <c r="I30" s="29" t="inlineStr">
        <is>
          <t>Governance QA</t>
        </is>
      </c>
      <c r="J30" s="28" t="inlineStr">
        <is>
          <t>2026-08-28</t>
        </is>
      </c>
      <c r="K30" s="31" t="inlineStr">
        <is>
          <t>Normal</t>
        </is>
      </c>
    </row>
    <row r="31" ht="22" customHeight="1">
      <c r="A31" s="32" t="inlineStr">
        <is>
          <t>18</t>
        </is>
      </c>
      <c r="B31" s="33" t="inlineStr">
        <is>
          <t>Klien &amp; Kontak</t>
        </is>
      </c>
      <c r="C31" s="33" t="inlineStr">
        <is>
          <t>/clients</t>
        </is>
      </c>
      <c r="D31" s="34" t="inlineStr">
        <is>
          <t>Database Klien Perorangan / PT</t>
        </is>
      </c>
      <c r="E31" s="34" t="inlineStr">
        <is>
          <t>Pencatatan identitas KYC klien, PIC perusahaan, dan riwayat retensi</t>
        </is>
      </c>
      <c r="F31" s="35" t="inlineStr">
        <is>
          <t>Sesuai</t>
        </is>
      </c>
      <c r="G31" s="32">
        <f>IF(F31="Sesuai",1,0)</f>
        <v/>
      </c>
      <c r="H31" s="34" t="inlineStr">
        <is>
          <t>Data tersimpan rapi</t>
        </is>
      </c>
      <c r="I31" s="33" t="inlineStr">
        <is>
          <t>Ops QA</t>
        </is>
      </c>
      <c r="J31" s="32" t="inlineStr">
        <is>
          <t>2026-08-28</t>
        </is>
      </c>
      <c r="K31" s="35" t="inlineStr">
        <is>
          <t>Normal</t>
        </is>
      </c>
    </row>
    <row r="32" ht="22" customHeight="1">
      <c r="A32" s="28" t="inlineStr">
        <is>
          <t>19</t>
        </is>
      </c>
      <c r="B32" s="29" t="inlineStr">
        <is>
          <t>Klien &amp; Kontak</t>
        </is>
      </c>
      <c r="C32" s="29" t="inlineStr">
        <is>
          <t>/clients/{id}</t>
        </is>
      </c>
      <c r="D32" s="30" t="inlineStr">
        <is>
          <t>Profil Klien &amp; Rekap Perkara</t>
        </is>
      </c>
      <c r="E32" s="30" t="inlineStr">
        <is>
          <t>Bento card ringkasan total tagihan, perkara aktif, dan kontrak retainer</t>
        </is>
      </c>
      <c r="F32" s="31" t="inlineStr">
        <is>
          <t>Sesuai</t>
        </is>
      </c>
      <c r="G32" s="28">
        <f>IF(F32="Sesuai",1,0)</f>
        <v/>
      </c>
      <c r="H32" s="30" t="inlineStr">
        <is>
          <t>Lengkap dan interaktif</t>
        </is>
      </c>
      <c r="I32" s="29" t="inlineStr">
        <is>
          <t>Ops QA</t>
        </is>
      </c>
      <c r="J32" s="28" t="inlineStr">
        <is>
          <t>2026-08-28</t>
        </is>
      </c>
      <c r="K32" s="31" t="inlineStr">
        <is>
          <t>Normal</t>
        </is>
      </c>
    </row>
    <row r="33" ht="22" customHeight="1">
      <c r="A33" s="32" t="inlineStr">
        <is>
          <t>20</t>
        </is>
      </c>
      <c r="B33" s="33" t="inlineStr">
        <is>
          <t>Klien &amp; Kontak</t>
        </is>
      </c>
      <c r="C33" s="33" t="inlineStr">
        <is>
          <t>/contacts</t>
        </is>
      </c>
      <c r="D33" s="34" t="inlineStr">
        <is>
          <t>Buku Kontak Pihak Terkait</t>
        </is>
      </c>
      <c r="E33" s="34" t="inlineStr">
        <is>
          <t>Database kontak pengadilan, kejaksaan, kepolisian, dan partner notaris</t>
        </is>
      </c>
      <c r="F33" s="35" t="inlineStr">
        <is>
          <t>Sesuai</t>
        </is>
      </c>
      <c r="G33" s="32">
        <f>IF(F33="Sesuai",1,0)</f>
        <v/>
      </c>
      <c r="H33" s="34" t="inlineStr">
        <is>
          <t>Aman</t>
        </is>
      </c>
      <c r="I33" s="33" t="inlineStr">
        <is>
          <t>Ops QA</t>
        </is>
      </c>
      <c r="J33" s="32" t="inlineStr">
        <is>
          <t>2026-08-28</t>
        </is>
      </c>
      <c r="K33" s="35" t="inlineStr">
        <is>
          <t>Rendah</t>
        </is>
      </c>
    </row>
    <row r="34" ht="22" customHeight="1">
      <c r="A34" s="28" t="inlineStr">
        <is>
          <t>21</t>
        </is>
      </c>
      <c r="B34" s="29" t="inlineStr">
        <is>
          <t>Kalender &amp; Sidang</t>
        </is>
      </c>
      <c r="C34" s="29" t="inlineStr">
        <is>
          <t>/calendar</t>
        </is>
      </c>
      <c r="D34" s="30" t="inlineStr">
        <is>
          <t>Jadwal Sidang &amp; Audiensi</t>
        </is>
      </c>
      <c r="E34" s="30" t="inlineStr">
        <is>
          <t>Sinkronisasi kalender per advokat, warna kategori perkara, reminder sidang</t>
        </is>
      </c>
      <c r="F34" s="31" t="inlineStr">
        <is>
          <t>Sesuai</t>
        </is>
      </c>
      <c r="G34" s="28">
        <f>IF(F34="Sesuai",1,0)</f>
        <v/>
      </c>
      <c r="H34" s="30" t="inlineStr">
        <is>
          <t>Kalender dinamis berfungsi baik</t>
        </is>
      </c>
      <c r="I34" s="29" t="inlineStr">
        <is>
          <t>Legal QA</t>
        </is>
      </c>
      <c r="J34" s="28" t="inlineStr">
        <is>
          <t>2026-08-28</t>
        </is>
      </c>
      <c r="K34" s="31" t="inlineStr">
        <is>
          <t>Tinggi</t>
        </is>
      </c>
    </row>
    <row r="35" ht="22" customHeight="1">
      <c r="A35" s="32" t="inlineStr">
        <is>
          <t>22</t>
        </is>
      </c>
      <c r="B35" s="33" t="inlineStr">
        <is>
          <t>Komunikasi</t>
        </is>
      </c>
      <c r="C35" s="33" t="inlineStr">
        <is>
          <t>/chat</t>
        </is>
      </c>
      <c r="D35" s="34" t="inlineStr">
        <is>
          <t>Internal Team Messaging</t>
        </is>
      </c>
      <c r="E35" s="34" t="inlineStr">
        <is>
          <t>Pesan instan antar advokat per grup perkara, enkripsi &amp; share dokumen</t>
        </is>
      </c>
      <c r="F35" s="35" t="inlineStr">
        <is>
          <t>Sesuai</t>
        </is>
      </c>
      <c r="G35" s="32">
        <f>IF(F35="Sesuai",1,0)</f>
        <v/>
      </c>
      <c r="H35" s="34" t="inlineStr">
        <is>
          <t>Real-time socket aman</t>
        </is>
      </c>
      <c r="I35" s="33" t="inlineStr">
        <is>
          <t>IT Security QA</t>
        </is>
      </c>
      <c r="J35" s="32" t="inlineStr">
        <is>
          <t>2026-08-28</t>
        </is>
      </c>
      <c r="K35" s="35" t="inlineStr">
        <is>
          <t>Normal</t>
        </is>
      </c>
    </row>
    <row r="36" ht="22" customHeight="1">
      <c r="A36" s="28" t="inlineStr">
        <is>
          <t>23</t>
        </is>
      </c>
      <c r="B36" s="29" t="inlineStr">
        <is>
          <t>Template Hukum</t>
        </is>
      </c>
      <c r="C36" s="29" t="inlineStr">
        <is>
          <t>/templates</t>
        </is>
      </c>
      <c r="D36" s="30" t="inlineStr">
        <is>
          <t>Master Template Surat Kuasa &amp; Gugatan</t>
        </is>
      </c>
      <c r="E36" s="30" t="inlineStr">
        <is>
          <t>Repository template kontrak, somasi, pledoi dengan placeholder dinamis</t>
        </is>
      </c>
      <c r="F36" s="31" t="inlineStr">
        <is>
          <t>Sesuai</t>
        </is>
      </c>
      <c r="G36" s="28">
        <f>IF(F36="Sesuai",1,0)</f>
        <v/>
      </c>
      <c r="H36" s="30" t="inlineStr">
        <is>
          <t>Siap pakai &amp; terstandarisasi</t>
        </is>
      </c>
      <c r="I36" s="29" t="inlineStr">
        <is>
          <t>Legal QA</t>
        </is>
      </c>
      <c r="J36" s="28" t="inlineStr">
        <is>
          <t>2026-08-28</t>
        </is>
      </c>
      <c r="K36" s="31" t="inlineStr">
        <is>
          <t>Normal</t>
        </is>
      </c>
    </row>
    <row r="37" ht="22" customHeight="1">
      <c r="A37" s="32" t="inlineStr">
        <is>
          <t>24</t>
        </is>
      </c>
      <c r="B37" s="33" t="inlineStr">
        <is>
          <t>Admin &amp; Keamanan</t>
        </is>
      </c>
      <c r="C37" s="33" t="inlineStr">
        <is>
          <t>/admin/users</t>
        </is>
      </c>
      <c r="D37" s="34" t="inlineStr">
        <is>
          <t>Manajemen User &amp; Role Access</t>
        </is>
      </c>
      <c r="E37" s="34" t="inlineStr">
        <is>
          <t>Pengaturan role Partner, Senior Associate, Junior Associate, Finance, Admin</t>
        </is>
      </c>
      <c r="F37" s="35" t="inlineStr">
        <is>
          <t>Sesuai</t>
        </is>
      </c>
      <c r="G37" s="32">
        <f>IF(F37="Sesuai",1,0)</f>
        <v/>
      </c>
      <c r="H37" s="34" t="inlineStr">
        <is>
          <t>Role-based Access Control (RBAC) ketat</t>
        </is>
      </c>
      <c r="I37" s="33" t="inlineStr">
        <is>
          <t>IT Security QA</t>
        </is>
      </c>
      <c r="J37" s="32" t="inlineStr">
        <is>
          <t>2026-08-28</t>
        </is>
      </c>
      <c r="K37" s="35" t="inlineStr">
        <is>
          <t>Kritis</t>
        </is>
      </c>
    </row>
    <row r="38" ht="22" customHeight="1">
      <c r="A38" s="28" t="inlineStr">
        <is>
          <t>25</t>
        </is>
      </c>
      <c r="B38" s="29" t="inlineStr">
        <is>
          <t>Admin &amp; Keamanan</t>
        </is>
      </c>
      <c r="C38" s="29" t="inlineStr">
        <is>
          <t>/admin/audit</t>
        </is>
      </c>
      <c r="D38" s="30" t="inlineStr">
        <is>
          <t>Audit Trail &amp; Activity Log</t>
        </is>
      </c>
      <c r="E38" s="30" t="inlineStr">
        <is>
          <t>Pencatatan log aktivitas user: login, edit data keuangan, unduh dokumen</t>
        </is>
      </c>
      <c r="F38" s="31" t="inlineStr">
        <is>
          <t>Sesuai</t>
        </is>
      </c>
      <c r="G38" s="28">
        <f>IF(F38="Sesuai",1,0)</f>
        <v/>
      </c>
      <c r="H38" s="30" t="inlineStr">
        <is>
          <t>Audit log immutable &amp; tercatat lengkap</t>
        </is>
      </c>
      <c r="I38" s="29" t="inlineStr">
        <is>
          <t>IT Security QA</t>
        </is>
      </c>
      <c r="J38" s="28" t="inlineStr">
        <is>
          <t>2026-08-28</t>
        </is>
      </c>
      <c r="K38" s="31" t="inlineStr">
        <is>
          <t>Kritis</t>
        </is>
      </c>
    </row>
    <row r="39" ht="22" customHeight="1">
      <c r="A39" s="32" t="inlineStr">
        <is>
          <t>26</t>
        </is>
      </c>
      <c r="B39" s="33" t="inlineStr">
        <is>
          <t>Pengaturan</t>
        </is>
      </c>
      <c r="C39" s="33" t="inlineStr">
        <is>
          <t>/settings/profile</t>
        </is>
      </c>
      <c r="D39" s="34" t="inlineStr">
        <is>
          <t>Informasi Advokat &amp; Tanda Tangan</t>
        </is>
      </c>
      <c r="E39" s="34" t="inlineStr">
        <is>
          <t>Profil advokat, nomor NIA Peradi, foto, dan spesimen tanda tangan digital</t>
        </is>
      </c>
      <c r="F39" s="35" t="inlineStr">
        <is>
          <t>Sesuai</t>
        </is>
      </c>
      <c r="G39" s="32">
        <f>IF(F39="Sesuai",1,0)</f>
        <v/>
      </c>
      <c r="H39" s="34" t="inlineStr">
        <is>
          <t>Aman</t>
        </is>
      </c>
      <c r="I39" s="33" t="inlineStr">
        <is>
          <t>Admin QA</t>
        </is>
      </c>
      <c r="J39" s="32" t="inlineStr">
        <is>
          <t>2026-08-28</t>
        </is>
      </c>
      <c r="K39" s="35" t="inlineStr">
        <is>
          <t>Normal</t>
        </is>
      </c>
    </row>
    <row r="40" ht="22" customHeight="1">
      <c r="A40" s="28" t="inlineStr">
        <is>
          <t>27</t>
        </is>
      </c>
      <c r="B40" s="29" t="inlineStr">
        <is>
          <t>Pengaturan</t>
        </is>
      </c>
      <c r="C40" s="29" t="inlineStr">
        <is>
          <t>/settings/security</t>
        </is>
      </c>
      <c r="D40" s="30" t="inlineStr">
        <is>
          <t>Keamanan Akun &amp; Two-Factor (2FA)</t>
        </is>
      </c>
      <c r="E40" s="30" t="inlineStr">
        <is>
          <t>Autentikasi 2FA via Authenticator App, ganti password, dan sesi aktif</t>
        </is>
      </c>
      <c r="F40" s="31" t="inlineStr">
        <is>
          <t>Sesuai</t>
        </is>
      </c>
      <c r="G40" s="28">
        <f>IF(F40="Sesuai",1,0)</f>
        <v/>
      </c>
      <c r="H40" s="30" t="inlineStr">
        <is>
          <t>2FA QR Code &amp; recovery code berjalan</t>
        </is>
      </c>
      <c r="I40" s="29" t="inlineStr">
        <is>
          <t>IT Security QA</t>
        </is>
      </c>
      <c r="J40" s="28" t="inlineStr">
        <is>
          <t>2026-08-28</t>
        </is>
      </c>
      <c r="K40" s="31" t="inlineStr">
        <is>
          <t>Kritis</t>
        </is>
      </c>
    </row>
    <row r="41" ht="22" customHeight="1">
      <c r="A41" s="32" t="inlineStr">
        <is>
          <t>28</t>
        </is>
      </c>
      <c r="B41" s="33" t="inlineStr">
        <is>
          <t>Pengaturan</t>
        </is>
      </c>
      <c r="C41" s="33" t="inlineStr">
        <is>
          <t>/settings/appearance</t>
        </is>
      </c>
      <c r="D41" s="34" t="inlineStr">
        <is>
          <t>Tema Tampilan (Light / Dark Mode)</t>
        </is>
      </c>
      <c r="E41" s="34" t="inlineStr">
        <is>
          <t>Dukungan tema gelap/terang dengan kontras warna nyaman untuk mata</t>
        </is>
      </c>
      <c r="F41" s="35" t="inlineStr">
        <is>
          <t>Sesuai</t>
        </is>
      </c>
      <c r="G41" s="32">
        <f>IF(F41="Sesuai",1,0)</f>
        <v/>
      </c>
      <c r="H41" s="34" t="inlineStr">
        <is>
          <t>Palette OKLCH konsisten</t>
        </is>
      </c>
      <c r="I41" s="33" t="inlineStr">
        <is>
          <t>Front-end QA</t>
        </is>
      </c>
      <c r="J41" s="32" t="inlineStr">
        <is>
          <t>2026-08-28</t>
        </is>
      </c>
      <c r="K41" s="35" t="inlineStr">
        <is>
          <t>Rendah</t>
        </is>
      </c>
    </row>
    <row r="42" ht="22" customHeight="1">
      <c r="A42" s="28" t="inlineStr">
        <is>
          <t>29</t>
        </is>
      </c>
      <c r="B42" s="29" t="inlineStr">
        <is>
          <t>Panduan Sistem</t>
        </is>
      </c>
      <c r="C42" s="29" t="inlineStr">
        <is>
          <t>/guide</t>
        </is>
      </c>
      <c r="D42" s="30" t="inlineStr">
        <is>
          <t>User Manual &amp; FAQ Penggunaan</t>
        </is>
      </c>
      <c r="E42" s="30" t="inlineStr">
        <is>
          <t>Dokumentasi tata cara penggunaan fitur bagi advokat dan staf baru</t>
        </is>
      </c>
      <c r="F42" s="31" t="inlineStr">
        <is>
          <t>Sesuai</t>
        </is>
      </c>
      <c r="G42" s="28">
        <f>IF(F42="Sesuai",1,0)</f>
        <v/>
      </c>
      <c r="H42" s="30" t="inlineStr">
        <is>
          <t>Panduan lengkap &amp; mudah dipahami</t>
        </is>
      </c>
      <c r="I42" s="29" t="inlineStr">
        <is>
          <t>Admin QA</t>
        </is>
      </c>
      <c r="J42" s="28" t="inlineStr">
        <is>
          <t>2026-08-28</t>
        </is>
      </c>
      <c r="K42" s="31" t="inlineStr">
        <is>
          <t>Rendah</t>
        </is>
      </c>
    </row>
    <row r="43" ht="22" customHeight="1">
      <c r="A43" s="32" t="inlineStr">
        <is>
          <t>30</t>
        </is>
      </c>
      <c r="B43" s="33" t="inlineStr">
        <is>
          <t>Pencarian Global</t>
        </is>
      </c>
      <c r="C43" s="33" t="inlineStr">
        <is>
          <t>/search</t>
        </is>
      </c>
      <c r="D43" s="34" t="inlineStr">
        <is>
          <t>Global Omnibox Search</t>
        </is>
      </c>
      <c r="E43" s="34" t="inlineStr">
        <is>
          <t>Pencarian cepat nomor perkara, klien, dokumen, dan kuitansi di seluruh sistem</t>
        </is>
      </c>
      <c r="F43" s="35" t="inlineStr">
        <is>
          <t>Sesuai</t>
        </is>
      </c>
      <c r="G43" s="32">
        <f>IF(F43="Sesuai",1,0)</f>
        <v/>
      </c>
      <c r="H43" s="34" t="inlineStr">
        <is>
          <t>Pencarian instan &amp; akurat</t>
        </is>
      </c>
      <c r="I43" s="33" t="inlineStr">
        <is>
          <t>Front-end QA</t>
        </is>
      </c>
      <c r="J43" s="32" t="inlineStr">
        <is>
          <t>2026-08-28</t>
        </is>
      </c>
      <c r="K43" s="35" t="inlineStr">
        <is>
          <t>Normal</t>
        </is>
      </c>
    </row>
  </sheetData>
  <mergeCells count="10">
    <mergeCell ref="J5:K5"/>
    <mergeCell ref="H6:I7"/>
    <mergeCell ref="B5:C5"/>
    <mergeCell ref="J6:K7"/>
    <mergeCell ref="F5:G5"/>
    <mergeCell ref="D5:E5"/>
    <mergeCell ref="D6:E7"/>
    <mergeCell ref="B6:C7"/>
    <mergeCell ref="H5:I5"/>
    <mergeCell ref="F6:G7"/>
  </mergeCells>
  <dataValidations count="2">
    <dataValidation sqref="F14:F43" showDropDown="0" showInputMessage="0" showErrorMessage="0" allowBlank="1" type="list">
      <formula1>"Sesuai,Perlu Revisi,Belum Dicek,Tidak Berlaku"</formula1>
    </dataValidation>
    <dataValidation sqref="K14:K43" showDropDown="0" showInputMessage="0" showErrorMessage="0" allowBlank="1" type="list">
      <formula1>"Rendah,Normal,Tinggi,Kritis"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2026-08-28T11:07:46Z</dcterms:created>
  <dcterms:modified xsi:type="dcterms:W3CDTF">2026-08-28T11:07:46Z</dcterms:modified>
</cp:coreProperties>
</file>